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fe2a72835d07ecd/Documents/"/>
    </mc:Choice>
  </mc:AlternateContent>
  <xr:revisionPtr revIDLastSave="775" documentId="8_{E0440D72-EBBA-4ED7-B1D6-A71411EF5E06}" xr6:coauthVersionLast="47" xr6:coauthVersionMax="47" xr10:uidLastSave="{9117503B-859A-43F6-B669-9D2AC76F8C7A}"/>
  <bookViews>
    <workbookView xWindow="-108" yWindow="-108" windowWidth="23256" windowHeight="12456" xr2:uid="{81F3D45D-7E8C-46F9-BBBB-16D8E092EA82}"/>
  </bookViews>
  <sheets>
    <sheet name="Datasets" sheetId="1" r:id="rId1"/>
    <sheet name=" Data Understanding" sheetId="2" r:id="rId2"/>
    <sheet name="Demographic Insights" sheetId="7" r:id="rId3"/>
    <sheet name="Job Satisfaction &amp; Work-Life Ba" sheetId="6" r:id="rId4"/>
    <sheet name=" Salary &amp; Experience Impact" sheetId="3" r:id="rId5"/>
    <sheet name="KPIs for Dashboard" sheetId="8" r:id="rId6"/>
  </sheets>
  <definedNames>
    <definedName name="_xlnm._FilterDatabase" localSheetId="0" hidden="1">Datasets!$A$1:$AI$1</definedName>
    <definedName name="_xlchart.v1.0" hidden="1">Datasets!$J$2:$J$1471</definedName>
    <definedName name="_xlchart.v1.1" hidden="1">Datasets!$J$2:$J$1471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8" l="1"/>
  <c r="E6" i="8"/>
  <c r="A9" i="2"/>
  <c r="I1473" i="1"/>
  <c r="B1473" i="1"/>
  <c r="I3" i="6" a="1"/>
  <c r="I3" i="6" s="1"/>
  <c r="I4" i="6" a="1"/>
  <c r="I4" i="6" s="1"/>
  <c r="I5" i="6" a="1"/>
  <c r="I5" i="6" s="1"/>
  <c r="I6" i="6" a="1"/>
  <c r="I6" i="6" s="1"/>
  <c r="I7" i="6" a="1"/>
  <c r="I7" i="6" s="1"/>
  <c r="I8" i="6" a="1"/>
  <c r="I8" i="6" s="1"/>
  <c r="I9" i="6" a="1"/>
  <c r="I9" i="6"/>
  <c r="I10" i="6" a="1"/>
  <c r="I10" i="6" s="1"/>
  <c r="I11" i="6" a="1"/>
  <c r="I11" i="6" s="1"/>
  <c r="I12" i="6" a="1"/>
  <c r="I12" i="6" s="1"/>
  <c r="I13" i="6" a="1"/>
  <c r="I13" i="6" s="1"/>
  <c r="I14" i="6" a="1"/>
  <c r="I14" i="6" s="1"/>
  <c r="I15" i="6" a="1"/>
  <c r="I15" i="6" s="1"/>
  <c r="I16" i="6" a="1"/>
  <c r="I16" i="6" s="1"/>
  <c r="I17" i="6" a="1"/>
  <c r="I17" i="6" s="1"/>
  <c r="I18" i="6" a="1"/>
  <c r="I18" i="6" s="1"/>
  <c r="I19" i="6" a="1"/>
  <c r="I19" i="6" s="1"/>
  <c r="I20" i="6" a="1"/>
  <c r="I20" i="6" s="1"/>
  <c r="I21" i="6" a="1"/>
  <c r="I21" i="6" s="1"/>
  <c r="I22" i="6" a="1"/>
  <c r="I22" i="6" s="1"/>
  <c r="I23" i="6" a="1"/>
  <c r="I23" i="6" s="1"/>
  <c r="I24" i="6" a="1"/>
  <c r="I24" i="6" s="1"/>
  <c r="I25" i="6" a="1"/>
  <c r="I25" i="6" s="1"/>
  <c r="I26" i="6" a="1"/>
  <c r="I26" i="6" s="1"/>
  <c r="I27" i="6" a="1"/>
  <c r="I27" i="6" s="1"/>
  <c r="I28" i="6" a="1"/>
  <c r="I28" i="6" s="1"/>
  <c r="I29" i="6" a="1"/>
  <c r="I29" i="6"/>
  <c r="I30" i="6" a="1"/>
  <c r="I30" i="6" s="1"/>
  <c r="I31" i="6" a="1"/>
  <c r="I31" i="6" s="1"/>
  <c r="I32" i="6" a="1"/>
  <c r="I32" i="6" s="1"/>
  <c r="I33" i="6" a="1"/>
  <c r="I33" i="6" s="1"/>
  <c r="I34" i="6" a="1"/>
  <c r="I34" i="6" s="1"/>
  <c r="I35" i="6" a="1"/>
  <c r="I35" i="6" s="1"/>
  <c r="I36" i="6" a="1"/>
  <c r="I36" i="6" s="1"/>
  <c r="I37" i="6" a="1"/>
  <c r="I37" i="6" s="1"/>
  <c r="I38" i="6" a="1"/>
  <c r="I38" i="6" s="1"/>
  <c r="I39" i="6" a="1"/>
  <c r="I39" i="6" s="1"/>
  <c r="I40" i="6" a="1"/>
  <c r="I40" i="6" s="1"/>
  <c r="I41" i="6" a="1"/>
  <c r="I41" i="6" s="1"/>
  <c r="I42" i="6" a="1"/>
  <c r="I42" i="6" s="1"/>
  <c r="I43" i="6" a="1"/>
  <c r="I43" i="6" s="1"/>
  <c r="I44" i="6" a="1"/>
  <c r="I44" i="6" s="1"/>
  <c r="I45" i="6" a="1"/>
  <c r="I45" i="6" s="1"/>
  <c r="I46" i="6" a="1"/>
  <c r="I46" i="6" s="1"/>
  <c r="I47" i="6" a="1"/>
  <c r="I47" i="6" s="1"/>
  <c r="I48" i="6" a="1"/>
  <c r="I48" i="6" s="1"/>
  <c r="I49" i="6" a="1"/>
  <c r="I49" i="6" s="1"/>
  <c r="I50" i="6" a="1"/>
  <c r="I50" i="6" s="1"/>
  <c r="I51" i="6" a="1"/>
  <c r="I51" i="6" s="1"/>
  <c r="I52" i="6" a="1"/>
  <c r="I52" i="6" s="1"/>
  <c r="I53" i="6" a="1"/>
  <c r="I53" i="6" s="1"/>
  <c r="I54" i="6" a="1"/>
  <c r="I54" i="6" s="1"/>
  <c r="I55" i="6" a="1"/>
  <c r="I55" i="6" s="1"/>
  <c r="I56" i="6" a="1"/>
  <c r="I56" i="6" s="1"/>
  <c r="I57" i="6" a="1"/>
  <c r="I57" i="6" s="1"/>
  <c r="I58" i="6" a="1"/>
  <c r="I58" i="6" s="1"/>
  <c r="I59" i="6" a="1"/>
  <c r="I59" i="6" s="1"/>
  <c r="I60" i="6" a="1"/>
  <c r="I60" i="6" s="1"/>
  <c r="I61" i="6" a="1"/>
  <c r="I61" i="6" s="1"/>
  <c r="I62" i="6" a="1"/>
  <c r="I62" i="6" s="1"/>
  <c r="I63" i="6" a="1"/>
  <c r="I63" i="6" s="1"/>
  <c r="I64" i="6" a="1"/>
  <c r="I64" i="6" s="1"/>
  <c r="I65" i="6" a="1"/>
  <c r="I65" i="6" s="1"/>
  <c r="I66" i="6" a="1"/>
  <c r="I66" i="6" s="1"/>
  <c r="I67" i="6" a="1"/>
  <c r="I67" i="6" s="1"/>
  <c r="I68" i="6" a="1"/>
  <c r="I68" i="6" s="1"/>
  <c r="I69" i="6" a="1"/>
  <c r="I69" i="6" s="1"/>
  <c r="I70" i="6" a="1"/>
  <c r="I70" i="6" s="1"/>
  <c r="I71" i="6" a="1"/>
  <c r="I71" i="6"/>
  <c r="I72" i="6" a="1"/>
  <c r="I72" i="6" s="1"/>
  <c r="I73" i="6" a="1"/>
  <c r="I73" i="6" s="1"/>
  <c r="I74" i="6" a="1"/>
  <c r="I74" i="6" s="1"/>
  <c r="I75" i="6" a="1"/>
  <c r="I75" i="6" s="1"/>
  <c r="I76" i="6" a="1"/>
  <c r="I76" i="6" s="1"/>
  <c r="I77" i="6" a="1"/>
  <c r="I77" i="6"/>
  <c r="I78" i="6" a="1"/>
  <c r="I78" i="6" s="1"/>
  <c r="I79" i="6" a="1"/>
  <c r="I79" i="6" s="1"/>
  <c r="I80" i="6" a="1"/>
  <c r="I80" i="6" s="1"/>
  <c r="I81" i="6" a="1"/>
  <c r="I81" i="6" s="1"/>
  <c r="I82" i="6" a="1"/>
  <c r="I82" i="6" s="1"/>
  <c r="I83" i="6" a="1"/>
  <c r="I83" i="6" s="1"/>
  <c r="I84" i="6" a="1"/>
  <c r="I84" i="6" s="1"/>
  <c r="I85" i="6" a="1"/>
  <c r="I85" i="6" s="1"/>
  <c r="I86" i="6" a="1"/>
  <c r="I86" i="6" s="1"/>
  <c r="I87" i="6" a="1"/>
  <c r="I87" i="6" s="1"/>
  <c r="I88" i="6" a="1"/>
  <c r="I88" i="6" s="1"/>
  <c r="I89" i="6" a="1"/>
  <c r="I89" i="6"/>
  <c r="I90" i="6" a="1"/>
  <c r="I90" i="6" s="1"/>
  <c r="I91" i="6" a="1"/>
  <c r="I91" i="6" s="1"/>
  <c r="I92" i="6" a="1"/>
  <c r="I92" i="6" s="1"/>
  <c r="I93" i="6" a="1"/>
  <c r="I93" i="6" s="1"/>
  <c r="I94" i="6" a="1"/>
  <c r="I94" i="6" s="1"/>
  <c r="I95" i="6" a="1"/>
  <c r="I95" i="6" s="1"/>
  <c r="I96" i="6" a="1"/>
  <c r="I96" i="6" s="1"/>
  <c r="I97" i="6" a="1"/>
  <c r="I97" i="6" s="1"/>
  <c r="I98" i="6" a="1"/>
  <c r="I98" i="6" s="1"/>
  <c r="I99" i="6" a="1"/>
  <c r="I99" i="6" s="1"/>
  <c r="I100" i="6" a="1"/>
  <c r="I100" i="6" s="1"/>
  <c r="I101" i="6" a="1"/>
  <c r="I101" i="6"/>
  <c r="I102" i="6" a="1"/>
  <c r="I102" i="6" s="1"/>
  <c r="I103" i="6" a="1"/>
  <c r="I103" i="6" s="1"/>
  <c r="I104" i="6" a="1"/>
  <c r="I104" i="6" s="1"/>
  <c r="I105" i="6" a="1"/>
  <c r="I105" i="6" s="1"/>
  <c r="I106" i="6" a="1"/>
  <c r="I106" i="6" s="1"/>
  <c r="I107" i="6" a="1"/>
  <c r="I107" i="6" s="1"/>
  <c r="I108" i="6" a="1"/>
  <c r="I108" i="6" s="1"/>
  <c r="I109" i="6" a="1"/>
  <c r="I109" i="6" s="1"/>
  <c r="I110" i="6" a="1"/>
  <c r="I110" i="6" s="1"/>
  <c r="I111" i="6" a="1"/>
  <c r="I111" i="6" s="1"/>
  <c r="I112" i="6" a="1"/>
  <c r="I112" i="6" s="1"/>
  <c r="I113" i="6" a="1"/>
  <c r="I113" i="6" s="1"/>
  <c r="I114" i="6" a="1"/>
  <c r="I114" i="6" s="1"/>
  <c r="I115" i="6" a="1"/>
  <c r="I115" i="6" s="1"/>
  <c r="I116" i="6" a="1"/>
  <c r="I116" i="6" s="1"/>
  <c r="I117" i="6" a="1"/>
  <c r="I117" i="6"/>
  <c r="I118" i="6" a="1"/>
  <c r="I118" i="6" s="1"/>
  <c r="I119" i="6" a="1"/>
  <c r="I119" i="6" s="1"/>
  <c r="I120" i="6" a="1"/>
  <c r="I120" i="6"/>
  <c r="I121" i="6" a="1"/>
  <c r="I121" i="6" s="1"/>
  <c r="I122" i="6" a="1"/>
  <c r="I122" i="6" s="1"/>
  <c r="I123" i="6" a="1"/>
  <c r="I123" i="6" s="1"/>
  <c r="I124" i="6" a="1"/>
  <c r="I124" i="6" s="1"/>
  <c r="I125" i="6" a="1"/>
  <c r="I125" i="6" s="1"/>
  <c r="I126" i="6" a="1"/>
  <c r="I126" i="6" s="1"/>
  <c r="I127" i="6" a="1"/>
  <c r="I127" i="6" s="1"/>
  <c r="I128" i="6" a="1"/>
  <c r="I128" i="6" s="1"/>
  <c r="I129" i="6" a="1"/>
  <c r="I129" i="6" s="1"/>
  <c r="I130" i="6" a="1"/>
  <c r="I130" i="6" s="1"/>
  <c r="I131" i="6" a="1"/>
  <c r="I131" i="6"/>
  <c r="I132" i="6" a="1"/>
  <c r="I132" i="6"/>
  <c r="I133" i="6" a="1"/>
  <c r="I133" i="6" s="1"/>
  <c r="I134" i="6" a="1"/>
  <c r="I134" i="6" s="1"/>
  <c r="I135" i="6" a="1"/>
  <c r="I135" i="6" s="1"/>
  <c r="I136" i="6" a="1"/>
  <c r="I136" i="6" s="1"/>
  <c r="I137" i="6" a="1"/>
  <c r="I137" i="6"/>
  <c r="I138" i="6" a="1"/>
  <c r="I138" i="6" s="1"/>
  <c r="I139" i="6" a="1"/>
  <c r="I139" i="6" s="1"/>
  <c r="I140" i="6" a="1"/>
  <c r="I140" i="6" s="1"/>
  <c r="I141" i="6" a="1"/>
  <c r="I141" i="6" s="1"/>
  <c r="I142" i="6" a="1"/>
  <c r="I142" i="6" s="1"/>
  <c r="I143" i="6" a="1"/>
  <c r="I143" i="6" s="1"/>
  <c r="I144" i="6" a="1"/>
  <c r="I144" i="6" s="1"/>
  <c r="I145" i="6" a="1"/>
  <c r="I145" i="6" s="1"/>
  <c r="I146" i="6" a="1"/>
  <c r="I146" i="6" s="1"/>
  <c r="I147" i="6" a="1"/>
  <c r="I147" i="6" s="1"/>
  <c r="I148" i="6" a="1"/>
  <c r="I148" i="6" s="1"/>
  <c r="I149" i="6" a="1"/>
  <c r="I149" i="6" s="1"/>
  <c r="I150" i="6" a="1"/>
  <c r="I150" i="6" s="1"/>
  <c r="I151" i="6" a="1"/>
  <c r="I151" i="6" s="1"/>
  <c r="I152" i="6" a="1"/>
  <c r="I152" i="6" s="1"/>
  <c r="I153" i="6" a="1"/>
  <c r="I153" i="6" s="1"/>
  <c r="I154" i="6" a="1"/>
  <c r="I154" i="6" s="1"/>
  <c r="I155" i="6" a="1"/>
  <c r="I155" i="6" s="1"/>
  <c r="I156" i="6" a="1"/>
  <c r="I156" i="6" s="1"/>
  <c r="I157" i="6" a="1"/>
  <c r="I157" i="6" s="1"/>
  <c r="I158" i="6" a="1"/>
  <c r="I158" i="6" s="1"/>
  <c r="I159" i="6" a="1"/>
  <c r="I159" i="6" s="1"/>
  <c r="I160" i="6" a="1"/>
  <c r="I160" i="6" s="1"/>
  <c r="I161" i="6" a="1"/>
  <c r="I161" i="6" s="1"/>
  <c r="I162" i="6" a="1"/>
  <c r="I162" i="6" s="1"/>
  <c r="I163" i="6" a="1"/>
  <c r="I163" i="6" s="1"/>
  <c r="I164" i="6" a="1"/>
  <c r="I164" i="6" s="1"/>
  <c r="I165" i="6" a="1"/>
  <c r="I165" i="6" s="1"/>
  <c r="I166" i="6" a="1"/>
  <c r="I166" i="6" s="1"/>
  <c r="I167" i="6" a="1"/>
  <c r="I167" i="6" s="1"/>
  <c r="I168" i="6" a="1"/>
  <c r="I168" i="6" s="1"/>
  <c r="I169" i="6" a="1"/>
  <c r="I169" i="6" s="1"/>
  <c r="I170" i="6" a="1"/>
  <c r="I170" i="6" s="1"/>
  <c r="I171" i="6" a="1"/>
  <c r="I171" i="6" s="1"/>
  <c r="I172" i="6" a="1"/>
  <c r="I172" i="6" s="1"/>
  <c r="I173" i="6" a="1"/>
  <c r="I173" i="6" s="1"/>
  <c r="I174" i="6" a="1"/>
  <c r="I174" i="6" s="1"/>
  <c r="I175" i="6" a="1"/>
  <c r="I175" i="6" s="1"/>
  <c r="I176" i="6" a="1"/>
  <c r="I176" i="6" s="1"/>
  <c r="I177" i="6" a="1"/>
  <c r="I177" i="6"/>
  <c r="I178" i="6" a="1"/>
  <c r="I178" i="6" s="1"/>
  <c r="I179" i="6" a="1"/>
  <c r="I179" i="6" s="1"/>
  <c r="I180" i="6" a="1"/>
  <c r="I180" i="6" s="1"/>
  <c r="I181" i="6" a="1"/>
  <c r="I181" i="6" s="1"/>
  <c r="I182" i="6" a="1"/>
  <c r="I182" i="6" s="1"/>
  <c r="I183" i="6" a="1"/>
  <c r="I183" i="6" s="1"/>
  <c r="I184" i="6" a="1"/>
  <c r="I184" i="6" s="1"/>
  <c r="I185" i="6" a="1"/>
  <c r="I185" i="6" s="1"/>
  <c r="I186" i="6" a="1"/>
  <c r="I186" i="6" s="1"/>
  <c r="I187" i="6" a="1"/>
  <c r="I187" i="6" s="1"/>
  <c r="I188" i="6" a="1"/>
  <c r="I188" i="6" s="1"/>
  <c r="I189" i="6" a="1"/>
  <c r="I189" i="6" s="1"/>
  <c r="I190" i="6" a="1"/>
  <c r="I190" i="6" s="1"/>
  <c r="I191" i="6" a="1"/>
  <c r="I191" i="6" s="1"/>
  <c r="I192" i="6" a="1"/>
  <c r="I192" i="6" s="1"/>
  <c r="I193" i="6" a="1"/>
  <c r="I193" i="6" s="1"/>
  <c r="I194" i="6" a="1"/>
  <c r="I194" i="6" s="1"/>
  <c r="I195" i="6" a="1"/>
  <c r="I195" i="6" s="1"/>
  <c r="I196" i="6" a="1"/>
  <c r="I196" i="6" s="1"/>
  <c r="I197" i="6" a="1"/>
  <c r="I197" i="6" s="1"/>
  <c r="I198" i="6" a="1"/>
  <c r="I198" i="6" s="1"/>
  <c r="I199" i="6" a="1"/>
  <c r="I199" i="6" s="1"/>
  <c r="I200" i="6" a="1"/>
  <c r="I200" i="6" s="1"/>
  <c r="I201" i="6" a="1"/>
  <c r="I201" i="6" s="1"/>
  <c r="I202" i="6" a="1"/>
  <c r="I202" i="6" s="1"/>
  <c r="I203" i="6" a="1"/>
  <c r="I203" i="6" s="1"/>
  <c r="I204" i="6" a="1"/>
  <c r="I204" i="6" s="1"/>
  <c r="I205" i="6" a="1"/>
  <c r="I205" i="6" s="1"/>
  <c r="I206" i="6" a="1"/>
  <c r="I206" i="6" s="1"/>
  <c r="I207" i="6" a="1"/>
  <c r="I207" i="6" s="1"/>
  <c r="I208" i="6" a="1"/>
  <c r="I208" i="6" s="1"/>
  <c r="I209" i="6" a="1"/>
  <c r="I209" i="6" s="1"/>
  <c r="I210" i="6" a="1"/>
  <c r="I210" i="6" s="1"/>
  <c r="I211" i="6" a="1"/>
  <c r="I211" i="6" s="1"/>
  <c r="I212" i="6" a="1"/>
  <c r="I212" i="6"/>
  <c r="I213" i="6" a="1"/>
  <c r="I213" i="6" s="1"/>
  <c r="I214" i="6" a="1"/>
  <c r="I214" i="6" s="1"/>
  <c r="I215" i="6" a="1"/>
  <c r="I215" i="6" s="1"/>
  <c r="I216" i="6" a="1"/>
  <c r="I216" i="6"/>
  <c r="I217" i="6" a="1"/>
  <c r="I217" i="6" s="1"/>
  <c r="I218" i="6" a="1"/>
  <c r="I218" i="6" s="1"/>
  <c r="I219" i="6" a="1"/>
  <c r="I219" i="6" s="1"/>
  <c r="I220" i="6" a="1"/>
  <c r="I220" i="6" s="1"/>
  <c r="I221" i="6" a="1"/>
  <c r="I221" i="6" s="1"/>
  <c r="I222" i="6" a="1"/>
  <c r="I222" i="6" s="1"/>
  <c r="I223" i="6" a="1"/>
  <c r="I223" i="6" s="1"/>
  <c r="I224" i="6" a="1"/>
  <c r="I224" i="6" s="1"/>
  <c r="I225" i="6" a="1"/>
  <c r="I225" i="6" s="1"/>
  <c r="I226" i="6" a="1"/>
  <c r="I226" i="6" s="1"/>
  <c r="I227" i="6" a="1"/>
  <c r="I227" i="6"/>
  <c r="I228" i="6" a="1"/>
  <c r="I228" i="6" s="1"/>
  <c r="I229" i="6" a="1"/>
  <c r="I229" i="6" s="1"/>
  <c r="I230" i="6" a="1"/>
  <c r="I230" i="6" s="1"/>
  <c r="I231" i="6" a="1"/>
  <c r="I231" i="6" s="1"/>
  <c r="I232" i="6" a="1"/>
  <c r="I232" i="6" s="1"/>
  <c r="I233" i="6" a="1"/>
  <c r="I233" i="6" s="1"/>
  <c r="I234" i="6" a="1"/>
  <c r="I234" i="6" s="1"/>
  <c r="I235" i="6" a="1"/>
  <c r="I235" i="6" s="1"/>
  <c r="I236" i="6" a="1"/>
  <c r="I236" i="6" s="1"/>
  <c r="I237" i="6" a="1"/>
  <c r="I237" i="6" s="1"/>
  <c r="I238" i="6" a="1"/>
  <c r="I238" i="6" s="1"/>
  <c r="I239" i="6" a="1"/>
  <c r="I239" i="6" s="1"/>
  <c r="I240" i="6" a="1"/>
  <c r="I240" i="6" s="1"/>
  <c r="I241" i="6" a="1"/>
  <c r="I241" i="6" s="1"/>
  <c r="I242" i="6" a="1"/>
  <c r="I242" i="6" s="1"/>
  <c r="I243" i="6" a="1"/>
  <c r="I243" i="6" s="1"/>
  <c r="I244" i="6" a="1"/>
  <c r="I244" i="6" s="1"/>
  <c r="I245" i="6" a="1"/>
  <c r="I245" i="6" s="1"/>
  <c r="I246" i="6" a="1"/>
  <c r="I246" i="6" s="1"/>
  <c r="I247" i="6" a="1"/>
  <c r="I247" i="6" s="1"/>
  <c r="I248" i="6" a="1"/>
  <c r="I248" i="6" s="1"/>
  <c r="I249" i="6" a="1"/>
  <c r="I249" i="6" s="1"/>
  <c r="I250" i="6" a="1"/>
  <c r="I250" i="6"/>
  <c r="I251" i="6" a="1"/>
  <c r="I251" i="6" s="1"/>
  <c r="I252" i="6" a="1"/>
  <c r="I252" i="6" s="1"/>
  <c r="I253" i="6" a="1"/>
  <c r="I253" i="6" s="1"/>
  <c r="I254" i="6" a="1"/>
  <c r="I254" i="6" s="1"/>
  <c r="I255" i="6" a="1"/>
  <c r="I255" i="6" s="1"/>
  <c r="I256" i="6" a="1"/>
  <c r="I256" i="6" s="1"/>
  <c r="I257" i="6" a="1"/>
  <c r="I257" i="6" s="1"/>
  <c r="I258" i="6" a="1"/>
  <c r="I258" i="6"/>
  <c r="I259" i="6" a="1"/>
  <c r="I259" i="6" s="1"/>
  <c r="I260" i="6" a="1"/>
  <c r="I260" i="6" s="1"/>
  <c r="I261" i="6" a="1"/>
  <c r="I261" i="6" s="1"/>
  <c r="I262" i="6" a="1"/>
  <c r="I262" i="6" s="1"/>
  <c r="I263" i="6" a="1"/>
  <c r="I263" i="6" s="1"/>
  <c r="I264" i="6" a="1"/>
  <c r="I264" i="6" s="1"/>
  <c r="I265" i="6" a="1"/>
  <c r="I265" i="6" s="1"/>
  <c r="I266" i="6" a="1"/>
  <c r="I266" i="6" s="1"/>
  <c r="I267" i="6" a="1"/>
  <c r="I267" i="6" s="1"/>
  <c r="I268" i="6" a="1"/>
  <c r="I268" i="6" s="1"/>
  <c r="I269" i="6" a="1"/>
  <c r="I269" i="6"/>
  <c r="I270" i="6" a="1"/>
  <c r="I270" i="6" s="1"/>
  <c r="I271" i="6" a="1"/>
  <c r="I271" i="6" s="1"/>
  <c r="I272" i="6" a="1"/>
  <c r="I272" i="6" s="1"/>
  <c r="I273" i="6" a="1"/>
  <c r="I273" i="6" s="1"/>
  <c r="I274" i="6" a="1"/>
  <c r="I274" i="6" s="1"/>
  <c r="I275" i="6" a="1"/>
  <c r="I275" i="6" s="1"/>
  <c r="I276" i="6" a="1"/>
  <c r="I276" i="6" s="1"/>
  <c r="I277" i="6" a="1"/>
  <c r="I277" i="6" s="1"/>
  <c r="I278" i="6" a="1"/>
  <c r="I278" i="6" s="1"/>
  <c r="I279" i="6" a="1"/>
  <c r="I279" i="6" s="1"/>
  <c r="I280" i="6" a="1"/>
  <c r="I280" i="6"/>
  <c r="I281" i="6" a="1"/>
  <c r="I281" i="6" s="1"/>
  <c r="I282" i="6" a="1"/>
  <c r="I282" i="6" s="1"/>
  <c r="I283" i="6" a="1"/>
  <c r="I283" i="6" s="1"/>
  <c r="I284" i="6" a="1"/>
  <c r="I284" i="6" s="1"/>
  <c r="I285" i="6" a="1"/>
  <c r="I285" i="6" s="1"/>
  <c r="I286" i="6" a="1"/>
  <c r="I286" i="6" s="1"/>
  <c r="I287" i="6" a="1"/>
  <c r="I287" i="6" s="1"/>
  <c r="I288" i="6" a="1"/>
  <c r="I288" i="6" s="1"/>
  <c r="I289" i="6" a="1"/>
  <c r="I289" i="6"/>
  <c r="I290" i="6" a="1"/>
  <c r="I290" i="6"/>
  <c r="I291" i="6" a="1"/>
  <c r="I291" i="6" s="1"/>
  <c r="I292" i="6" a="1"/>
  <c r="I292" i="6" s="1"/>
  <c r="I293" i="6" a="1"/>
  <c r="I293" i="6" s="1"/>
  <c r="I294" i="6" a="1"/>
  <c r="I294" i="6" s="1"/>
  <c r="I295" i="6" a="1"/>
  <c r="I295" i="6" s="1"/>
  <c r="I296" i="6" a="1"/>
  <c r="I296" i="6" s="1"/>
  <c r="I297" i="6" a="1"/>
  <c r="I297" i="6" s="1"/>
  <c r="I298" i="6" a="1"/>
  <c r="I298" i="6" s="1"/>
  <c r="I299" i="6" a="1"/>
  <c r="I299" i="6" s="1"/>
  <c r="I300" i="6" a="1"/>
  <c r="I300" i="6" s="1"/>
  <c r="I301" i="6" a="1"/>
  <c r="I301" i="6" s="1"/>
  <c r="I302" i="6" a="1"/>
  <c r="I302" i="6" s="1"/>
  <c r="I303" i="6" a="1"/>
  <c r="I303" i="6" s="1"/>
  <c r="I304" i="6" a="1"/>
  <c r="I304" i="6" s="1"/>
  <c r="I305" i="6" a="1"/>
  <c r="I305" i="6" s="1"/>
  <c r="I306" i="6" a="1"/>
  <c r="I306" i="6" s="1"/>
  <c r="I307" i="6" a="1"/>
  <c r="I307" i="6" s="1"/>
  <c r="I308" i="6" a="1"/>
  <c r="I308" i="6" s="1"/>
  <c r="I309" i="6" a="1"/>
  <c r="I309" i="6" s="1"/>
  <c r="I310" i="6" a="1"/>
  <c r="I310" i="6" s="1"/>
  <c r="I311" i="6" a="1"/>
  <c r="I311" i="6" s="1"/>
  <c r="I312" i="6" a="1"/>
  <c r="I312" i="6" s="1"/>
  <c r="I313" i="6" a="1"/>
  <c r="I313" i="6" s="1"/>
  <c r="I314" i="6" a="1"/>
  <c r="I314" i="6" s="1"/>
  <c r="I315" i="6" a="1"/>
  <c r="I315" i="6" s="1"/>
  <c r="I316" i="6" a="1"/>
  <c r="I316" i="6" s="1"/>
  <c r="I317" i="6" a="1"/>
  <c r="I317" i="6" s="1"/>
  <c r="I318" i="6" a="1"/>
  <c r="I318" i="6" s="1"/>
  <c r="I319" i="6" a="1"/>
  <c r="I319" i="6" s="1"/>
  <c r="I320" i="6" a="1"/>
  <c r="I320" i="6" s="1"/>
  <c r="I321" i="6" a="1"/>
  <c r="I321" i="6" s="1"/>
  <c r="I322" i="6" a="1"/>
  <c r="I322" i="6"/>
  <c r="I323" i="6" a="1"/>
  <c r="I323" i="6" s="1"/>
  <c r="I324" i="6" a="1"/>
  <c r="I324" i="6"/>
  <c r="I325" i="6" a="1"/>
  <c r="I325" i="6" s="1"/>
  <c r="I326" i="6" a="1"/>
  <c r="I326" i="6" s="1"/>
  <c r="I327" i="6" a="1"/>
  <c r="I327" i="6" s="1"/>
  <c r="I328" i="6" a="1"/>
  <c r="I328" i="6" s="1"/>
  <c r="I329" i="6" a="1"/>
  <c r="I329" i="6" s="1"/>
  <c r="I330" i="6" a="1"/>
  <c r="I330" i="6" s="1"/>
  <c r="I331" i="6" a="1"/>
  <c r="I331" i="6" s="1"/>
  <c r="I332" i="6" a="1"/>
  <c r="I332" i="6" s="1"/>
  <c r="I333" i="6" a="1"/>
  <c r="I333" i="6" s="1"/>
  <c r="I334" i="6" a="1"/>
  <c r="I334" i="6" s="1"/>
  <c r="I335" i="6" a="1"/>
  <c r="I335" i="6" s="1"/>
  <c r="I336" i="6" a="1"/>
  <c r="I336" i="6" s="1"/>
  <c r="I337" i="6" a="1"/>
  <c r="I337" i="6" s="1"/>
  <c r="I338" i="6" a="1"/>
  <c r="I338" i="6" s="1"/>
  <c r="I339" i="6" a="1"/>
  <c r="I339" i="6" s="1"/>
  <c r="I340" i="6" a="1"/>
  <c r="I340" i="6" s="1"/>
  <c r="I341" i="6" a="1"/>
  <c r="I341" i="6" s="1"/>
  <c r="I342" i="6" a="1"/>
  <c r="I342" i="6" s="1"/>
  <c r="I343" i="6" a="1"/>
  <c r="I343" i="6" s="1"/>
  <c r="I344" i="6" a="1"/>
  <c r="I344" i="6" s="1"/>
  <c r="I345" i="6" a="1"/>
  <c r="I345" i="6" s="1"/>
  <c r="I346" i="6" a="1"/>
  <c r="I346" i="6" s="1"/>
  <c r="I347" i="6" a="1"/>
  <c r="I347" i="6" s="1"/>
  <c r="I348" i="6" a="1"/>
  <c r="I348" i="6" s="1"/>
  <c r="I349" i="6" a="1"/>
  <c r="I349" i="6" s="1"/>
  <c r="I350" i="6" a="1"/>
  <c r="I350" i="6"/>
  <c r="I351" i="6" a="1"/>
  <c r="I351" i="6" s="1"/>
  <c r="I352" i="6" a="1"/>
  <c r="I352" i="6" s="1"/>
  <c r="I353" i="6" a="1"/>
  <c r="I353" i="6" s="1"/>
  <c r="I354" i="6" a="1"/>
  <c r="I354" i="6"/>
  <c r="I355" i="6" a="1"/>
  <c r="I355" i="6" s="1"/>
  <c r="I356" i="6" a="1"/>
  <c r="I356" i="6" s="1"/>
  <c r="I357" i="6" a="1"/>
  <c r="I357" i="6" s="1"/>
  <c r="I358" i="6" a="1"/>
  <c r="I358" i="6" s="1"/>
  <c r="I359" i="6" a="1"/>
  <c r="I359" i="6" s="1"/>
  <c r="I360" i="6" a="1"/>
  <c r="I360" i="6" s="1"/>
  <c r="I361" i="6" a="1"/>
  <c r="I361" i="6" s="1"/>
  <c r="I362" i="6" a="1"/>
  <c r="I362" i="6" s="1"/>
  <c r="I363" i="6" a="1"/>
  <c r="I363" i="6" s="1"/>
  <c r="I364" i="6" a="1"/>
  <c r="I364" i="6" s="1"/>
  <c r="I365" i="6" a="1"/>
  <c r="I365" i="6"/>
  <c r="I366" i="6" a="1"/>
  <c r="I366" i="6" s="1"/>
  <c r="I367" i="6" a="1"/>
  <c r="I367" i="6" s="1"/>
  <c r="I368" i="6" a="1"/>
  <c r="I368" i="6" s="1"/>
  <c r="I369" i="6" a="1"/>
  <c r="I369" i="6" s="1"/>
  <c r="I370" i="6" a="1"/>
  <c r="I370" i="6" s="1"/>
  <c r="I371" i="6" a="1"/>
  <c r="I371" i="6"/>
  <c r="I372" i="6" a="1"/>
  <c r="I372" i="6" s="1"/>
  <c r="I373" i="6" a="1"/>
  <c r="I373" i="6" s="1"/>
  <c r="I374" i="6" a="1"/>
  <c r="I374" i="6" s="1"/>
  <c r="I375" i="6" a="1"/>
  <c r="I375" i="6" s="1"/>
  <c r="I376" i="6" a="1"/>
  <c r="I376" i="6" s="1"/>
  <c r="I377" i="6" a="1"/>
  <c r="I377" i="6" s="1"/>
  <c r="I378" i="6" a="1"/>
  <c r="I378" i="6" s="1"/>
  <c r="I379" i="6" a="1"/>
  <c r="I379" i="6" s="1"/>
  <c r="I380" i="6" a="1"/>
  <c r="I380" i="6" s="1"/>
  <c r="I381" i="6" a="1"/>
  <c r="I381" i="6" s="1"/>
  <c r="I382" i="6" a="1"/>
  <c r="I382" i="6" s="1"/>
  <c r="I383" i="6" a="1"/>
  <c r="I383" i="6" s="1"/>
  <c r="I384" i="6" a="1"/>
  <c r="I384" i="6" s="1"/>
  <c r="I385" i="6" a="1"/>
  <c r="I385" i="6"/>
  <c r="I386" i="6" a="1"/>
  <c r="I386" i="6" s="1"/>
  <c r="I387" i="6" a="1"/>
  <c r="I387" i="6" s="1"/>
  <c r="I388" i="6" a="1"/>
  <c r="I388" i="6" s="1"/>
  <c r="I389" i="6" a="1"/>
  <c r="I389" i="6" s="1"/>
  <c r="I390" i="6" a="1"/>
  <c r="I390" i="6" s="1"/>
  <c r="I391" i="6" a="1"/>
  <c r="I391" i="6" s="1"/>
  <c r="I392" i="6" a="1"/>
  <c r="I392" i="6" s="1"/>
  <c r="I393" i="6" a="1"/>
  <c r="I393" i="6" s="1"/>
  <c r="I394" i="6" a="1"/>
  <c r="I394" i="6" s="1"/>
  <c r="I395" i="6" a="1"/>
  <c r="I395" i="6" s="1"/>
  <c r="I396" i="6" a="1"/>
  <c r="I396" i="6" s="1"/>
  <c r="I397" i="6" a="1"/>
  <c r="I397" i="6" s="1"/>
  <c r="I398" i="6" a="1"/>
  <c r="I398" i="6" s="1"/>
  <c r="I399" i="6" a="1"/>
  <c r="I399" i="6" s="1"/>
  <c r="I400" i="6" a="1"/>
  <c r="I400" i="6" s="1"/>
  <c r="I401" i="6" a="1"/>
  <c r="I401" i="6" s="1"/>
  <c r="I402" i="6" a="1"/>
  <c r="I402" i="6"/>
  <c r="I403" i="6" a="1"/>
  <c r="I403" i="6" s="1"/>
  <c r="I404" i="6" a="1"/>
  <c r="I404" i="6" s="1"/>
  <c r="I405" i="6" a="1"/>
  <c r="I405" i="6" s="1"/>
  <c r="I406" i="6" a="1"/>
  <c r="I406" i="6" s="1"/>
  <c r="I407" i="6" a="1"/>
  <c r="I407" i="6" s="1"/>
  <c r="I408" i="6" a="1"/>
  <c r="I408" i="6" s="1"/>
  <c r="I409" i="6" a="1"/>
  <c r="I409" i="6" s="1"/>
  <c r="I410" i="6" a="1"/>
  <c r="I410" i="6" s="1"/>
  <c r="I411" i="6" a="1"/>
  <c r="I411" i="6" s="1"/>
  <c r="I412" i="6" a="1"/>
  <c r="I412" i="6" s="1"/>
  <c r="I413" i="6" a="1"/>
  <c r="I413" i="6" s="1"/>
  <c r="I414" i="6" a="1"/>
  <c r="I414" i="6" s="1"/>
  <c r="I415" i="6" a="1"/>
  <c r="I415" i="6" s="1"/>
  <c r="I416" i="6" a="1"/>
  <c r="I416" i="6" s="1"/>
  <c r="I417" i="6" a="1"/>
  <c r="I417" i="6" s="1"/>
  <c r="I418" i="6" a="1"/>
  <c r="I418" i="6" s="1"/>
  <c r="I419" i="6" a="1"/>
  <c r="I419" i="6" s="1"/>
  <c r="I420" i="6" a="1"/>
  <c r="I420" i="6" s="1"/>
  <c r="I421" i="6" a="1"/>
  <c r="I421" i="6" s="1"/>
  <c r="I422" i="6" a="1"/>
  <c r="I422" i="6" s="1"/>
  <c r="I423" i="6" a="1"/>
  <c r="I423" i="6" s="1"/>
  <c r="I424" i="6" a="1"/>
  <c r="I424" i="6" s="1"/>
  <c r="I425" i="6" a="1"/>
  <c r="I425" i="6" s="1"/>
  <c r="I426" i="6" a="1"/>
  <c r="I426" i="6" s="1"/>
  <c r="I427" i="6" a="1"/>
  <c r="I427" i="6" s="1"/>
  <c r="I428" i="6" a="1"/>
  <c r="I428" i="6" s="1"/>
  <c r="I429" i="6" a="1"/>
  <c r="I429" i="6" s="1"/>
  <c r="I430" i="6" a="1"/>
  <c r="I430" i="6" s="1"/>
  <c r="I431" i="6" a="1"/>
  <c r="I431" i="6" s="1"/>
  <c r="I432" i="6" a="1"/>
  <c r="I432" i="6" s="1"/>
  <c r="I433" i="6" a="1"/>
  <c r="I433" i="6" s="1"/>
  <c r="I434" i="6" a="1"/>
  <c r="I434" i="6" s="1"/>
  <c r="I435" i="6" a="1"/>
  <c r="I435" i="6" s="1"/>
  <c r="I436" i="6" a="1"/>
  <c r="I436" i="6" s="1"/>
  <c r="I437" i="6" a="1"/>
  <c r="I437" i="6" s="1"/>
  <c r="I438" i="6" a="1"/>
  <c r="I438" i="6" s="1"/>
  <c r="I439" i="6" a="1"/>
  <c r="I439" i="6" s="1"/>
  <c r="I440" i="6" a="1"/>
  <c r="I440" i="6" s="1"/>
  <c r="I441" i="6" a="1"/>
  <c r="I441" i="6" s="1"/>
  <c r="I442" i="6" a="1"/>
  <c r="I442" i="6" s="1"/>
  <c r="I443" i="6" a="1"/>
  <c r="I443" i="6" s="1"/>
  <c r="I444" i="6" a="1"/>
  <c r="I444" i="6" s="1"/>
  <c r="I445" i="6" a="1"/>
  <c r="I445" i="6" s="1"/>
  <c r="I446" i="6" a="1"/>
  <c r="I446" i="6" s="1"/>
  <c r="I447" i="6" a="1"/>
  <c r="I447" i="6" s="1"/>
  <c r="I448" i="6" a="1"/>
  <c r="I448" i="6"/>
  <c r="I449" i="6" a="1"/>
  <c r="I449" i="6" s="1"/>
  <c r="I450" i="6" a="1"/>
  <c r="I450" i="6" s="1"/>
  <c r="I451" i="6" a="1"/>
  <c r="I451" i="6" s="1"/>
  <c r="I452" i="6" a="1"/>
  <c r="I452" i="6" s="1"/>
  <c r="I453" i="6" a="1"/>
  <c r="I453" i="6" s="1"/>
  <c r="I454" i="6" a="1"/>
  <c r="I454" i="6" s="1"/>
  <c r="I455" i="6" a="1"/>
  <c r="I455" i="6" s="1"/>
  <c r="I456" i="6" a="1"/>
  <c r="I456" i="6" s="1"/>
  <c r="I457" i="6" a="1"/>
  <c r="I457" i="6"/>
  <c r="I458" i="6" a="1"/>
  <c r="I458" i="6" s="1"/>
  <c r="I459" i="6" a="1"/>
  <c r="I459" i="6" s="1"/>
  <c r="I460" i="6" a="1"/>
  <c r="I460" i="6" s="1"/>
  <c r="I461" i="6" a="1"/>
  <c r="I461" i="6" s="1"/>
  <c r="I462" i="6" a="1"/>
  <c r="I462" i="6" s="1"/>
  <c r="I463" i="6" a="1"/>
  <c r="I463" i="6" s="1"/>
  <c r="I464" i="6" a="1"/>
  <c r="I464" i="6" s="1"/>
  <c r="I465" i="6" a="1"/>
  <c r="I465" i="6" s="1"/>
  <c r="I466" i="6" a="1"/>
  <c r="I466" i="6" s="1"/>
  <c r="I467" i="6" a="1"/>
  <c r="I467" i="6" s="1"/>
  <c r="I468" i="6" a="1"/>
  <c r="I468" i="6" s="1"/>
  <c r="I469" i="6" a="1"/>
  <c r="I469" i="6" s="1"/>
  <c r="I470" i="6" a="1"/>
  <c r="I470" i="6" s="1"/>
  <c r="I471" i="6" a="1"/>
  <c r="I471" i="6" s="1"/>
  <c r="I472" i="6" a="1"/>
  <c r="I472" i="6" s="1"/>
  <c r="I473" i="6" a="1"/>
  <c r="I473" i="6" s="1"/>
  <c r="I474" i="6" a="1"/>
  <c r="I474" i="6" s="1"/>
  <c r="I475" i="6" a="1"/>
  <c r="I475" i="6" s="1"/>
  <c r="I476" i="6" a="1"/>
  <c r="I476" i="6" s="1"/>
  <c r="I477" i="6" a="1"/>
  <c r="I477" i="6" s="1"/>
  <c r="I478" i="6" a="1"/>
  <c r="I478" i="6" s="1"/>
  <c r="I479" i="6" a="1"/>
  <c r="I479" i="6" s="1"/>
  <c r="I480" i="6" a="1"/>
  <c r="I480" i="6" s="1"/>
  <c r="I481" i="6" a="1"/>
  <c r="I481" i="6" s="1"/>
  <c r="I482" i="6" a="1"/>
  <c r="I482" i="6" s="1"/>
  <c r="I483" i="6" a="1"/>
  <c r="I483" i="6" s="1"/>
  <c r="I484" i="6" a="1"/>
  <c r="I484" i="6"/>
  <c r="I485" i="6" a="1"/>
  <c r="I485" i="6" s="1"/>
  <c r="I486" i="6" a="1"/>
  <c r="I486" i="6"/>
  <c r="I487" i="6" a="1"/>
  <c r="I487" i="6" s="1"/>
  <c r="I488" i="6" a="1"/>
  <c r="I488" i="6" s="1"/>
  <c r="I489" i="6" a="1"/>
  <c r="I489" i="6" s="1"/>
  <c r="I490" i="6" a="1"/>
  <c r="I490" i="6" s="1"/>
  <c r="I491" i="6" a="1"/>
  <c r="I491" i="6" s="1"/>
  <c r="I492" i="6" a="1"/>
  <c r="I492" i="6" s="1"/>
  <c r="I493" i="6" a="1"/>
  <c r="I493" i="6"/>
  <c r="I494" i="6" a="1"/>
  <c r="I494" i="6" s="1"/>
  <c r="I495" i="6" a="1"/>
  <c r="I495" i="6" s="1"/>
  <c r="I496" i="6" a="1"/>
  <c r="I496" i="6" s="1"/>
  <c r="I497" i="6" a="1"/>
  <c r="I497" i="6" s="1"/>
  <c r="I498" i="6" a="1"/>
  <c r="I498" i="6" s="1"/>
  <c r="I499" i="6" a="1"/>
  <c r="I499" i="6" s="1"/>
  <c r="I500" i="6" a="1"/>
  <c r="I500" i="6" s="1"/>
  <c r="I501" i="6" a="1"/>
  <c r="I501" i="6" s="1"/>
  <c r="I502" i="6" a="1"/>
  <c r="I502" i="6" s="1"/>
  <c r="I503" i="6" a="1"/>
  <c r="I503" i="6" s="1"/>
  <c r="I504" i="6" a="1"/>
  <c r="I504" i="6" s="1"/>
  <c r="I505" i="6" a="1"/>
  <c r="I505" i="6" s="1"/>
  <c r="I506" i="6" a="1"/>
  <c r="I506" i="6" s="1"/>
  <c r="I507" i="6" a="1"/>
  <c r="I507" i="6" s="1"/>
  <c r="I508" i="6" a="1"/>
  <c r="I508" i="6" s="1"/>
  <c r="I509" i="6" a="1"/>
  <c r="I509" i="6" s="1"/>
  <c r="I510" i="6" a="1"/>
  <c r="I510" i="6" s="1"/>
  <c r="I511" i="6" a="1"/>
  <c r="I511" i="6" s="1"/>
  <c r="I512" i="6" a="1"/>
  <c r="I512" i="6" s="1"/>
  <c r="I513" i="6" a="1"/>
  <c r="I513" i="6" s="1"/>
  <c r="I514" i="6" a="1"/>
  <c r="I514" i="6" s="1"/>
  <c r="I515" i="6" a="1"/>
  <c r="I515" i="6"/>
  <c r="I516" i="6" a="1"/>
  <c r="I516" i="6" s="1"/>
  <c r="I517" i="6" a="1"/>
  <c r="I517" i="6" s="1"/>
  <c r="I518" i="6" a="1"/>
  <c r="I518" i="6" s="1"/>
  <c r="I519" i="6" a="1"/>
  <c r="I519" i="6" s="1"/>
  <c r="I520" i="6" a="1"/>
  <c r="I520" i="6" s="1"/>
  <c r="I521" i="6" a="1"/>
  <c r="I521" i="6" s="1"/>
  <c r="I522" i="6" a="1"/>
  <c r="I522" i="6" s="1"/>
  <c r="I523" i="6" a="1"/>
  <c r="I523" i="6" s="1"/>
  <c r="I524" i="6" a="1"/>
  <c r="I524" i="6" s="1"/>
  <c r="I525" i="6" a="1"/>
  <c r="I525" i="6" s="1"/>
  <c r="I526" i="6" a="1"/>
  <c r="I526" i="6" s="1"/>
  <c r="I527" i="6" a="1"/>
  <c r="I527" i="6" s="1"/>
  <c r="I528" i="6" a="1"/>
  <c r="I528" i="6" s="1"/>
  <c r="I529" i="6" a="1"/>
  <c r="I529" i="6" s="1"/>
  <c r="I530" i="6" a="1"/>
  <c r="I530" i="6" s="1"/>
  <c r="I531" i="6" a="1"/>
  <c r="I531" i="6" s="1"/>
  <c r="I532" i="6" a="1"/>
  <c r="I532" i="6" s="1"/>
  <c r="I533" i="6" a="1"/>
  <c r="I533" i="6" s="1"/>
  <c r="I534" i="6" a="1"/>
  <c r="I534" i="6" s="1"/>
  <c r="I535" i="6" a="1"/>
  <c r="I535" i="6" s="1"/>
  <c r="I536" i="6" a="1"/>
  <c r="I536" i="6" s="1"/>
  <c r="I537" i="6" a="1"/>
  <c r="I537" i="6" s="1"/>
  <c r="I538" i="6" a="1"/>
  <c r="I538" i="6" s="1"/>
  <c r="I539" i="6" a="1"/>
  <c r="I539" i="6" s="1"/>
  <c r="I540" i="6" a="1"/>
  <c r="I540" i="6" s="1"/>
  <c r="I541" i="6" a="1"/>
  <c r="I541" i="6" s="1"/>
  <c r="I542" i="6" a="1"/>
  <c r="I542" i="6" s="1"/>
  <c r="I543" i="6" a="1"/>
  <c r="I543" i="6" s="1"/>
  <c r="I544" i="6" a="1"/>
  <c r="I544" i="6" s="1"/>
  <c r="I545" i="6" a="1"/>
  <c r="I545" i="6" s="1"/>
  <c r="I546" i="6" a="1"/>
  <c r="I546" i="6" s="1"/>
  <c r="I547" i="6" a="1"/>
  <c r="I547" i="6" s="1"/>
  <c r="I548" i="6" a="1"/>
  <c r="I548" i="6" s="1"/>
  <c r="I549" i="6" a="1"/>
  <c r="I549" i="6" s="1"/>
  <c r="I550" i="6" a="1"/>
  <c r="I550" i="6" s="1"/>
  <c r="I551" i="6" a="1"/>
  <c r="I551" i="6" s="1"/>
  <c r="I552" i="6" a="1"/>
  <c r="I552" i="6" s="1"/>
  <c r="I553" i="6" a="1"/>
  <c r="I553" i="6" s="1"/>
  <c r="I554" i="6" a="1"/>
  <c r="I554" i="6" s="1"/>
  <c r="I555" i="6" a="1"/>
  <c r="I555" i="6" s="1"/>
  <c r="I556" i="6" a="1"/>
  <c r="I556" i="6" s="1"/>
  <c r="I557" i="6" a="1"/>
  <c r="I557" i="6" s="1"/>
  <c r="I558" i="6" a="1"/>
  <c r="I558" i="6" s="1"/>
  <c r="I559" i="6" a="1"/>
  <c r="I559" i="6" s="1"/>
  <c r="I560" i="6" a="1"/>
  <c r="I560" i="6" s="1"/>
  <c r="I561" i="6" a="1"/>
  <c r="I561" i="6" s="1"/>
  <c r="I562" i="6" a="1"/>
  <c r="I562" i="6" s="1"/>
  <c r="I563" i="6" a="1"/>
  <c r="I563" i="6" s="1"/>
  <c r="I564" i="6" a="1"/>
  <c r="I564" i="6" s="1"/>
  <c r="I565" i="6" a="1"/>
  <c r="I565" i="6" s="1"/>
  <c r="I566" i="6" a="1"/>
  <c r="I566" i="6" s="1"/>
  <c r="I567" i="6" a="1"/>
  <c r="I567" i="6" s="1"/>
  <c r="I568" i="6" a="1"/>
  <c r="I568" i="6" s="1"/>
  <c r="I569" i="6" a="1"/>
  <c r="I569" i="6" s="1"/>
  <c r="I570" i="6" a="1"/>
  <c r="I570" i="6" s="1"/>
  <c r="I571" i="6" a="1"/>
  <c r="I571" i="6" s="1"/>
  <c r="I572" i="6" a="1"/>
  <c r="I572" i="6" s="1"/>
  <c r="I573" i="6" a="1"/>
  <c r="I573" i="6" s="1"/>
  <c r="I574" i="6" a="1"/>
  <c r="I574" i="6" s="1"/>
  <c r="I575" i="6" a="1"/>
  <c r="I575" i="6" s="1"/>
  <c r="I576" i="6" a="1"/>
  <c r="I576" i="6" s="1"/>
  <c r="I577" i="6" a="1"/>
  <c r="I577" i="6" s="1"/>
  <c r="I578" i="6" a="1"/>
  <c r="I578" i="6" s="1"/>
  <c r="I579" i="6" a="1"/>
  <c r="I579" i="6" s="1"/>
  <c r="I580" i="6" a="1"/>
  <c r="I580" i="6" s="1"/>
  <c r="I581" i="6" a="1"/>
  <c r="I581" i="6" s="1"/>
  <c r="I582" i="6" a="1"/>
  <c r="I582" i="6" s="1"/>
  <c r="I583" i="6" a="1"/>
  <c r="I583" i="6" s="1"/>
  <c r="I584" i="6" a="1"/>
  <c r="I584" i="6" s="1"/>
  <c r="I585" i="6" a="1"/>
  <c r="I585" i="6" s="1"/>
  <c r="I586" i="6" a="1"/>
  <c r="I586" i="6" s="1"/>
  <c r="I587" i="6" a="1"/>
  <c r="I587" i="6" s="1"/>
  <c r="I588" i="6" a="1"/>
  <c r="I588" i="6"/>
  <c r="I589" i="6" a="1"/>
  <c r="I589" i="6" s="1"/>
  <c r="I590" i="6" a="1"/>
  <c r="I590" i="6"/>
  <c r="I591" i="6" a="1"/>
  <c r="I591" i="6" s="1"/>
  <c r="I592" i="6" a="1"/>
  <c r="I592" i="6" s="1"/>
  <c r="I593" i="6" a="1"/>
  <c r="I593" i="6" s="1"/>
  <c r="I594" i="6" a="1"/>
  <c r="I594" i="6" s="1"/>
  <c r="I595" i="6" a="1"/>
  <c r="I595" i="6" s="1"/>
  <c r="I596" i="6" a="1"/>
  <c r="I596" i="6" s="1"/>
  <c r="I597" i="6" a="1"/>
  <c r="I597" i="6" s="1"/>
  <c r="I598" i="6" a="1"/>
  <c r="I598" i="6" s="1"/>
  <c r="I599" i="6" a="1"/>
  <c r="I599" i="6" s="1"/>
  <c r="I600" i="6" a="1"/>
  <c r="I600" i="6" s="1"/>
  <c r="I601" i="6" a="1"/>
  <c r="I601" i="6" s="1"/>
  <c r="I602" i="6" a="1"/>
  <c r="I602" i="6" s="1"/>
  <c r="I603" i="6" a="1"/>
  <c r="I603" i="6" s="1"/>
  <c r="I604" i="6" a="1"/>
  <c r="I604" i="6"/>
  <c r="I605" i="6" a="1"/>
  <c r="I605" i="6" s="1"/>
  <c r="I606" i="6" a="1"/>
  <c r="I606" i="6" s="1"/>
  <c r="I607" i="6" a="1"/>
  <c r="I607" i="6" s="1"/>
  <c r="I608" i="6" a="1"/>
  <c r="I608" i="6" s="1"/>
  <c r="I609" i="6" a="1"/>
  <c r="I609" i="6" s="1"/>
  <c r="I610" i="6" a="1"/>
  <c r="I610" i="6" s="1"/>
  <c r="I611" i="6" a="1"/>
  <c r="I611" i="6" s="1"/>
  <c r="I612" i="6" a="1"/>
  <c r="I612" i="6" s="1"/>
  <c r="I613" i="6" a="1"/>
  <c r="I613" i="6" s="1"/>
  <c r="I614" i="6" a="1"/>
  <c r="I614" i="6" s="1"/>
  <c r="I615" i="6" a="1"/>
  <c r="I615" i="6" s="1"/>
  <c r="I616" i="6" a="1"/>
  <c r="I616" i="6" s="1"/>
  <c r="I617" i="6" a="1"/>
  <c r="I617" i="6"/>
  <c r="I618" i="6" a="1"/>
  <c r="I618" i="6" s="1"/>
  <c r="I619" i="6" a="1"/>
  <c r="I619" i="6" s="1"/>
  <c r="I620" i="6" a="1"/>
  <c r="I620" i="6" s="1"/>
  <c r="I621" i="6" a="1"/>
  <c r="I621" i="6" s="1"/>
  <c r="I622" i="6" a="1"/>
  <c r="I622" i="6" s="1"/>
  <c r="I623" i="6" a="1"/>
  <c r="I623" i="6" s="1"/>
  <c r="I624" i="6" a="1"/>
  <c r="I624" i="6" s="1"/>
  <c r="I625" i="6" a="1"/>
  <c r="I625" i="6" s="1"/>
  <c r="I626" i="6" a="1"/>
  <c r="I626" i="6" s="1"/>
  <c r="I627" i="6" a="1"/>
  <c r="I627" i="6" s="1"/>
  <c r="I628" i="6" a="1"/>
  <c r="I628" i="6" s="1"/>
  <c r="I629" i="6" a="1"/>
  <c r="I629" i="6" s="1"/>
  <c r="I630" i="6" a="1"/>
  <c r="I630" i="6" s="1"/>
  <c r="I631" i="6" a="1"/>
  <c r="I631" i="6" s="1"/>
  <c r="I632" i="6" a="1"/>
  <c r="I632" i="6" s="1"/>
  <c r="I633" i="6" a="1"/>
  <c r="I633" i="6" s="1"/>
  <c r="I634" i="6" a="1"/>
  <c r="I634" i="6" s="1"/>
  <c r="I635" i="6" a="1"/>
  <c r="I635" i="6" s="1"/>
  <c r="I636" i="6" a="1"/>
  <c r="I636" i="6" s="1"/>
  <c r="I637" i="6" a="1"/>
  <c r="I637" i="6" s="1"/>
  <c r="I638" i="6" a="1"/>
  <c r="I638" i="6"/>
  <c r="I639" i="6" a="1"/>
  <c r="I639" i="6" s="1"/>
  <c r="I640" i="6" a="1"/>
  <c r="I640" i="6" s="1"/>
  <c r="I641" i="6" a="1"/>
  <c r="I641" i="6" s="1"/>
  <c r="I642" i="6" a="1"/>
  <c r="I642" i="6" s="1"/>
  <c r="I643" i="6" a="1"/>
  <c r="I643" i="6" s="1"/>
  <c r="I644" i="6" a="1"/>
  <c r="I644" i="6"/>
  <c r="I645" i="6" a="1"/>
  <c r="I645" i="6" s="1"/>
  <c r="I646" i="6" a="1"/>
  <c r="I646" i="6" s="1"/>
  <c r="I647" i="6" a="1"/>
  <c r="I647" i="6" s="1"/>
  <c r="I648" i="6" a="1"/>
  <c r="I648" i="6"/>
  <c r="I649" i="6" a="1"/>
  <c r="I649" i="6" s="1"/>
  <c r="I650" i="6" a="1"/>
  <c r="I650" i="6" s="1"/>
  <c r="I651" i="6" a="1"/>
  <c r="I651" i="6" s="1"/>
  <c r="I652" i="6" a="1"/>
  <c r="I652" i="6" s="1"/>
  <c r="I653" i="6" a="1"/>
  <c r="I653" i="6" s="1"/>
  <c r="I654" i="6" a="1"/>
  <c r="I654" i="6" s="1"/>
  <c r="I655" i="6" a="1"/>
  <c r="I655" i="6" s="1"/>
  <c r="I656" i="6" a="1"/>
  <c r="I656" i="6" s="1"/>
  <c r="I657" i="6" a="1"/>
  <c r="I657" i="6" s="1"/>
  <c r="I658" i="6" a="1"/>
  <c r="I658" i="6"/>
  <c r="I659" i="6" a="1"/>
  <c r="I659" i="6" s="1"/>
  <c r="I660" i="6" a="1"/>
  <c r="I660" i="6" s="1"/>
  <c r="I661" i="6" a="1"/>
  <c r="I661" i="6" s="1"/>
  <c r="I662" i="6" a="1"/>
  <c r="I662" i="6" s="1"/>
  <c r="I663" i="6" a="1"/>
  <c r="I663" i="6" s="1"/>
  <c r="I664" i="6" a="1"/>
  <c r="I664" i="6" s="1"/>
  <c r="I665" i="6" a="1"/>
  <c r="I665" i="6" s="1"/>
  <c r="I666" i="6" a="1"/>
  <c r="I666" i="6" s="1"/>
  <c r="I667" i="6" a="1"/>
  <c r="I667" i="6" s="1"/>
  <c r="I668" i="6" a="1"/>
  <c r="I668" i="6" s="1"/>
  <c r="I669" i="6" a="1"/>
  <c r="I669" i="6" s="1"/>
  <c r="I670" i="6" a="1"/>
  <c r="I670" i="6" s="1"/>
  <c r="I671" i="6" a="1"/>
  <c r="I671" i="6" s="1"/>
  <c r="I672" i="6" a="1"/>
  <c r="I672" i="6" s="1"/>
  <c r="I673" i="6" a="1"/>
  <c r="I673" i="6" s="1"/>
  <c r="I674" i="6" a="1"/>
  <c r="I674" i="6" s="1"/>
  <c r="I675" i="6" a="1"/>
  <c r="I675" i="6" s="1"/>
  <c r="I676" i="6" a="1"/>
  <c r="I676" i="6" s="1"/>
  <c r="I677" i="6" a="1"/>
  <c r="I677" i="6" s="1"/>
  <c r="I678" i="6" a="1"/>
  <c r="I678" i="6" s="1"/>
  <c r="I679" i="6" a="1"/>
  <c r="I679" i="6" s="1"/>
  <c r="I680" i="6" a="1"/>
  <c r="I680" i="6" s="1"/>
  <c r="I681" i="6" a="1"/>
  <c r="I681" i="6" s="1"/>
  <c r="I682" i="6" a="1"/>
  <c r="I682" i="6" s="1"/>
  <c r="I683" i="6" a="1"/>
  <c r="I683" i="6" s="1"/>
  <c r="I684" i="6" a="1"/>
  <c r="I684" i="6"/>
  <c r="I685" i="6" a="1"/>
  <c r="I685" i="6" s="1"/>
  <c r="I686" i="6" a="1"/>
  <c r="I686" i="6" s="1"/>
  <c r="I687" i="6" a="1"/>
  <c r="I687" i="6" s="1"/>
  <c r="I688" i="6" a="1"/>
  <c r="I688" i="6" s="1"/>
  <c r="I689" i="6" a="1"/>
  <c r="I689" i="6" s="1"/>
  <c r="I690" i="6" a="1"/>
  <c r="I690" i="6" s="1"/>
  <c r="I691" i="6" a="1"/>
  <c r="I691" i="6" s="1"/>
  <c r="I692" i="6" a="1"/>
  <c r="I692" i="6" s="1"/>
  <c r="I693" i="6" a="1"/>
  <c r="I693" i="6" s="1"/>
  <c r="I694" i="6" a="1"/>
  <c r="I694" i="6" s="1"/>
  <c r="I695" i="6" a="1"/>
  <c r="I695" i="6" s="1"/>
  <c r="I696" i="6" a="1"/>
  <c r="I696" i="6" s="1"/>
  <c r="I697" i="6" a="1"/>
  <c r="I697" i="6" s="1"/>
  <c r="I698" i="6" a="1"/>
  <c r="I698" i="6" s="1"/>
  <c r="I699" i="6" a="1"/>
  <c r="I699" i="6" s="1"/>
  <c r="I700" i="6" a="1"/>
  <c r="I700" i="6" s="1"/>
  <c r="I701" i="6" a="1"/>
  <c r="I701" i="6" s="1"/>
  <c r="I702" i="6" a="1"/>
  <c r="I702" i="6" s="1"/>
  <c r="I703" i="6" a="1"/>
  <c r="I703" i="6" s="1"/>
  <c r="I704" i="6" a="1"/>
  <c r="I704" i="6" s="1"/>
  <c r="I705" i="6" a="1"/>
  <c r="I705" i="6" s="1"/>
  <c r="I706" i="6" a="1"/>
  <c r="I706" i="6" s="1"/>
  <c r="I707" i="6" a="1"/>
  <c r="I707" i="6" s="1"/>
  <c r="I708" i="6" a="1"/>
  <c r="I708" i="6" s="1"/>
  <c r="I709" i="6" a="1"/>
  <c r="I709" i="6" s="1"/>
  <c r="I710" i="6" a="1"/>
  <c r="I710" i="6" s="1"/>
  <c r="I711" i="6" a="1"/>
  <c r="I711" i="6" s="1"/>
  <c r="I712" i="6" a="1"/>
  <c r="I712" i="6"/>
  <c r="I713" i="6" a="1"/>
  <c r="I713" i="6" s="1"/>
  <c r="I714" i="6" a="1"/>
  <c r="I714" i="6" s="1"/>
  <c r="I715" i="6" a="1"/>
  <c r="I715" i="6" s="1"/>
  <c r="I716" i="6" a="1"/>
  <c r="I716" i="6"/>
  <c r="I717" i="6" a="1"/>
  <c r="I717" i="6" s="1"/>
  <c r="I718" i="6" a="1"/>
  <c r="I718" i="6" s="1"/>
  <c r="I719" i="6" a="1"/>
  <c r="I719" i="6" s="1"/>
  <c r="I720" i="6" a="1"/>
  <c r="I720" i="6" s="1"/>
  <c r="I721" i="6" a="1"/>
  <c r="I721" i="6" s="1"/>
  <c r="I722" i="6" a="1"/>
  <c r="I722" i="6" s="1"/>
  <c r="I723" i="6" a="1"/>
  <c r="I723" i="6" s="1"/>
  <c r="I724" i="6" a="1"/>
  <c r="I724" i="6" s="1"/>
  <c r="I725" i="6" a="1"/>
  <c r="I725" i="6" s="1"/>
  <c r="I726" i="6" a="1"/>
  <c r="I726" i="6" s="1"/>
  <c r="I727" i="6" a="1"/>
  <c r="I727" i="6" s="1"/>
  <c r="I728" i="6" a="1"/>
  <c r="I728" i="6"/>
  <c r="I729" i="6" a="1"/>
  <c r="I729" i="6" s="1"/>
  <c r="I730" i="6" a="1"/>
  <c r="I730" i="6" s="1"/>
  <c r="I731" i="6" a="1"/>
  <c r="I731" i="6" s="1"/>
  <c r="I732" i="6" a="1"/>
  <c r="I732" i="6" s="1"/>
  <c r="I733" i="6" a="1"/>
  <c r="I733" i="6" s="1"/>
  <c r="I734" i="6" a="1"/>
  <c r="I734" i="6" s="1"/>
  <c r="I735" i="6" a="1"/>
  <c r="I735" i="6" s="1"/>
  <c r="I736" i="6" a="1"/>
  <c r="I736" i="6" s="1"/>
  <c r="I737" i="6" a="1"/>
  <c r="I737" i="6" s="1"/>
  <c r="I738" i="6" a="1"/>
  <c r="I738" i="6" s="1"/>
  <c r="I739" i="6" a="1"/>
  <c r="I739" i="6" s="1"/>
  <c r="I740" i="6" a="1"/>
  <c r="I740" i="6" s="1"/>
  <c r="I741" i="6" a="1"/>
  <c r="I741" i="6" s="1"/>
  <c r="I742" i="6" a="1"/>
  <c r="I742" i="6" s="1"/>
  <c r="I743" i="6" a="1"/>
  <c r="I743" i="6" s="1"/>
  <c r="I744" i="6" a="1"/>
  <c r="I744" i="6" s="1"/>
  <c r="I745" i="6" a="1"/>
  <c r="I745" i="6" s="1"/>
  <c r="I746" i="6" a="1"/>
  <c r="I746" i="6" s="1"/>
  <c r="I747" i="6" a="1"/>
  <c r="I747" i="6" s="1"/>
  <c r="I748" i="6" a="1"/>
  <c r="I748" i="6" s="1"/>
  <c r="I749" i="6" a="1"/>
  <c r="I749" i="6" s="1"/>
  <c r="I750" i="6" a="1"/>
  <c r="I750" i="6" s="1"/>
  <c r="I751" i="6" a="1"/>
  <c r="I751" i="6" s="1"/>
  <c r="I752" i="6" a="1"/>
  <c r="I752" i="6" s="1"/>
  <c r="I753" i="6" a="1"/>
  <c r="I753" i="6" s="1"/>
  <c r="I754" i="6" a="1"/>
  <c r="I754" i="6" s="1"/>
  <c r="I755" i="6" a="1"/>
  <c r="I755" i="6" s="1"/>
  <c r="I756" i="6" a="1"/>
  <c r="I756" i="6" s="1"/>
  <c r="I757" i="6" a="1"/>
  <c r="I757" i="6" s="1"/>
  <c r="I758" i="6" a="1"/>
  <c r="I758" i="6" s="1"/>
  <c r="I759" i="6" a="1"/>
  <c r="I759" i="6" s="1"/>
  <c r="I760" i="6" a="1"/>
  <c r="I760" i="6" s="1"/>
  <c r="I761" i="6" a="1"/>
  <c r="I761" i="6" s="1"/>
  <c r="I762" i="6" a="1"/>
  <c r="I762" i="6" s="1"/>
  <c r="I763" i="6" a="1"/>
  <c r="I763" i="6" s="1"/>
  <c r="I764" i="6" a="1"/>
  <c r="I764" i="6" s="1"/>
  <c r="I765" i="6" a="1"/>
  <c r="I765" i="6" s="1"/>
  <c r="I766" i="6" a="1"/>
  <c r="I766" i="6" s="1"/>
  <c r="I767" i="6" a="1"/>
  <c r="I767" i="6" s="1"/>
  <c r="I768" i="6" a="1"/>
  <c r="I768" i="6" s="1"/>
  <c r="I769" i="6" a="1"/>
  <c r="I769" i="6" s="1"/>
  <c r="I770" i="6" a="1"/>
  <c r="I770" i="6" s="1"/>
  <c r="I771" i="6" a="1"/>
  <c r="I771" i="6" s="1"/>
  <c r="I772" i="6" a="1"/>
  <c r="I772" i="6" s="1"/>
  <c r="I773" i="6" a="1"/>
  <c r="I773" i="6" s="1"/>
  <c r="I774" i="6" a="1"/>
  <c r="I774" i="6" s="1"/>
  <c r="I775" i="6" a="1"/>
  <c r="I775" i="6" s="1"/>
  <c r="I776" i="6" a="1"/>
  <c r="I776" i="6" s="1"/>
  <c r="I777" i="6" a="1"/>
  <c r="I777" i="6" s="1"/>
  <c r="I778" i="6" a="1"/>
  <c r="I778" i="6" s="1"/>
  <c r="I779" i="6" a="1"/>
  <c r="I779" i="6" s="1"/>
  <c r="I780" i="6" a="1"/>
  <c r="I780" i="6" s="1"/>
  <c r="I781" i="6" a="1"/>
  <c r="I781" i="6" s="1"/>
  <c r="I782" i="6" a="1"/>
  <c r="I782" i="6" s="1"/>
  <c r="I783" i="6" a="1"/>
  <c r="I783" i="6" s="1"/>
  <c r="I784" i="6" a="1"/>
  <c r="I784" i="6" s="1"/>
  <c r="I785" i="6" a="1"/>
  <c r="I785" i="6" s="1"/>
  <c r="I786" i="6" a="1"/>
  <c r="I786" i="6" s="1"/>
  <c r="I787" i="6" a="1"/>
  <c r="I787" i="6"/>
  <c r="I788" i="6" a="1"/>
  <c r="I788" i="6" s="1"/>
  <c r="I789" i="6" a="1"/>
  <c r="I789" i="6" s="1"/>
  <c r="I790" i="6" a="1"/>
  <c r="I790" i="6" s="1"/>
  <c r="I791" i="6" a="1"/>
  <c r="I791" i="6" s="1"/>
  <c r="I792" i="6" a="1"/>
  <c r="I792" i="6" s="1"/>
  <c r="I793" i="6" a="1"/>
  <c r="I793" i="6" s="1"/>
  <c r="I794" i="6" a="1"/>
  <c r="I794" i="6"/>
  <c r="I795" i="6" a="1"/>
  <c r="I795" i="6" s="1"/>
  <c r="I796" i="6" a="1"/>
  <c r="I796" i="6" s="1"/>
  <c r="I797" i="6" a="1"/>
  <c r="I797" i="6" s="1"/>
  <c r="I798" i="6" a="1"/>
  <c r="I798" i="6" s="1"/>
  <c r="I799" i="6" a="1"/>
  <c r="I799" i="6" s="1"/>
  <c r="I800" i="6" a="1"/>
  <c r="I800" i="6" s="1"/>
  <c r="I801" i="6" a="1"/>
  <c r="I801" i="6" s="1"/>
  <c r="I802" i="6" a="1"/>
  <c r="I802" i="6" s="1"/>
  <c r="I803" i="6" a="1"/>
  <c r="I803" i="6" s="1"/>
  <c r="I804" i="6" a="1"/>
  <c r="I804" i="6"/>
  <c r="I805" i="6" a="1"/>
  <c r="I805" i="6" s="1"/>
  <c r="I806" i="6" a="1"/>
  <c r="I806" i="6" s="1"/>
  <c r="I807" i="6" a="1"/>
  <c r="I807" i="6" s="1"/>
  <c r="I808" i="6" a="1"/>
  <c r="I808" i="6" s="1"/>
  <c r="I809" i="6" a="1"/>
  <c r="I809" i="6" s="1"/>
  <c r="I810" i="6" a="1"/>
  <c r="I810" i="6" s="1"/>
  <c r="I811" i="6" a="1"/>
  <c r="I811" i="6" s="1"/>
  <c r="I812" i="6" a="1"/>
  <c r="I812" i="6" s="1"/>
  <c r="I813" i="6" a="1"/>
  <c r="I813" i="6" s="1"/>
  <c r="I814" i="6" a="1"/>
  <c r="I814" i="6" s="1"/>
  <c r="I815" i="6" a="1"/>
  <c r="I815" i="6" s="1"/>
  <c r="I816" i="6" a="1"/>
  <c r="I816" i="6" s="1"/>
  <c r="I817" i="6" a="1"/>
  <c r="I817" i="6" s="1"/>
  <c r="I818" i="6" a="1"/>
  <c r="I818" i="6" s="1"/>
  <c r="I819" i="6" a="1"/>
  <c r="I819" i="6" s="1"/>
  <c r="I820" i="6" a="1"/>
  <c r="I820" i="6" s="1"/>
  <c r="I821" i="6" a="1"/>
  <c r="I821" i="6" s="1"/>
  <c r="I822" i="6" a="1"/>
  <c r="I822" i="6" s="1"/>
  <c r="I823" i="6" a="1"/>
  <c r="I823" i="6" s="1"/>
  <c r="I824" i="6" a="1"/>
  <c r="I824" i="6"/>
  <c r="I825" i="6" a="1"/>
  <c r="I825" i="6" s="1"/>
  <c r="I826" i="6" a="1"/>
  <c r="I826" i="6" s="1"/>
  <c r="I827" i="6" a="1"/>
  <c r="I827" i="6" s="1"/>
  <c r="I828" i="6" a="1"/>
  <c r="I828" i="6" s="1"/>
  <c r="I829" i="6" a="1"/>
  <c r="I829" i="6" s="1"/>
  <c r="I830" i="6" a="1"/>
  <c r="I830" i="6" s="1"/>
  <c r="I831" i="6" a="1"/>
  <c r="I831" i="6" s="1"/>
  <c r="I832" i="6" a="1"/>
  <c r="I832" i="6"/>
  <c r="I833" i="6" a="1"/>
  <c r="I833" i="6" s="1"/>
  <c r="I834" i="6" a="1"/>
  <c r="I834" i="6" s="1"/>
  <c r="I835" i="6" a="1"/>
  <c r="I835" i="6" s="1"/>
  <c r="I836" i="6" a="1"/>
  <c r="I836" i="6" s="1"/>
  <c r="I837" i="6" a="1"/>
  <c r="I837" i="6" s="1"/>
  <c r="I838" i="6" a="1"/>
  <c r="I838" i="6" s="1"/>
  <c r="I839" i="6" a="1"/>
  <c r="I839" i="6" s="1"/>
  <c r="I840" i="6" a="1"/>
  <c r="I840" i="6" s="1"/>
  <c r="I841" i="6" a="1"/>
  <c r="I841" i="6" s="1"/>
  <c r="I842" i="6" a="1"/>
  <c r="I842" i="6" s="1"/>
  <c r="I843" i="6" a="1"/>
  <c r="I843" i="6" s="1"/>
  <c r="I844" i="6" a="1"/>
  <c r="I844" i="6" s="1"/>
  <c r="I845" i="6" a="1"/>
  <c r="I845" i="6" s="1"/>
  <c r="I846" i="6" a="1"/>
  <c r="I846" i="6" s="1"/>
  <c r="I847" i="6" a="1"/>
  <c r="I847" i="6" s="1"/>
  <c r="I848" i="6" a="1"/>
  <c r="I848" i="6" s="1"/>
  <c r="I849" i="6" a="1"/>
  <c r="I849" i="6" s="1"/>
  <c r="I850" i="6" a="1"/>
  <c r="I850" i="6" s="1"/>
  <c r="I851" i="6" a="1"/>
  <c r="I851" i="6" s="1"/>
  <c r="I852" i="6" a="1"/>
  <c r="I852" i="6" s="1"/>
  <c r="I853" i="6" a="1"/>
  <c r="I853" i="6" s="1"/>
  <c r="I854" i="6" a="1"/>
  <c r="I854" i="6" s="1"/>
  <c r="I855" i="6" a="1"/>
  <c r="I855" i="6" s="1"/>
  <c r="I856" i="6" a="1"/>
  <c r="I856" i="6" s="1"/>
  <c r="I857" i="6" a="1"/>
  <c r="I857" i="6" s="1"/>
  <c r="I858" i="6" a="1"/>
  <c r="I858" i="6" s="1"/>
  <c r="I859" i="6" a="1"/>
  <c r="I859" i="6" s="1"/>
  <c r="I860" i="6" a="1"/>
  <c r="I860" i="6" s="1"/>
  <c r="I861" i="6" a="1"/>
  <c r="I861" i="6" s="1"/>
  <c r="I862" i="6" a="1"/>
  <c r="I862" i="6" s="1"/>
  <c r="I863" i="6" a="1"/>
  <c r="I863" i="6" s="1"/>
  <c r="I864" i="6" a="1"/>
  <c r="I864" i="6" s="1"/>
  <c r="I865" i="6" a="1"/>
  <c r="I865" i="6" s="1"/>
  <c r="I866" i="6" a="1"/>
  <c r="I866" i="6" s="1"/>
  <c r="I867" i="6" a="1"/>
  <c r="I867" i="6" s="1"/>
  <c r="I868" i="6" a="1"/>
  <c r="I868" i="6" s="1"/>
  <c r="I869" i="6" a="1"/>
  <c r="I869" i="6" s="1"/>
  <c r="I870" i="6" a="1"/>
  <c r="I870" i="6" s="1"/>
  <c r="I871" i="6" a="1"/>
  <c r="I871" i="6" s="1"/>
  <c r="I872" i="6" a="1"/>
  <c r="I872" i="6" s="1"/>
  <c r="I873" i="6" a="1"/>
  <c r="I873" i="6" s="1"/>
  <c r="I874" i="6" a="1"/>
  <c r="I874" i="6" s="1"/>
  <c r="I875" i="6" a="1"/>
  <c r="I875" i="6" s="1"/>
  <c r="I876" i="6" a="1"/>
  <c r="I876" i="6" s="1"/>
  <c r="I877" i="6" a="1"/>
  <c r="I877" i="6" s="1"/>
  <c r="I878" i="6" a="1"/>
  <c r="I878" i="6" s="1"/>
  <c r="I879" i="6" a="1"/>
  <c r="I879" i="6" s="1"/>
  <c r="I880" i="6" a="1"/>
  <c r="I880" i="6" s="1"/>
  <c r="I881" i="6" a="1"/>
  <c r="I881" i="6" s="1"/>
  <c r="I882" i="6" a="1"/>
  <c r="I882" i="6"/>
  <c r="I883" i="6" a="1"/>
  <c r="I883" i="6" s="1"/>
  <c r="I884" i="6" a="1"/>
  <c r="I884" i="6" s="1"/>
  <c r="I885" i="6" a="1"/>
  <c r="I885" i="6" s="1"/>
  <c r="I886" i="6" a="1"/>
  <c r="I886" i="6" s="1"/>
  <c r="I887" i="6" a="1"/>
  <c r="I887" i="6" s="1"/>
  <c r="I888" i="6" a="1"/>
  <c r="I888" i="6" s="1"/>
  <c r="I889" i="6" a="1"/>
  <c r="I889" i="6" s="1"/>
  <c r="I890" i="6" a="1"/>
  <c r="I890" i="6" s="1"/>
  <c r="I891" i="6" a="1"/>
  <c r="I891" i="6" s="1"/>
  <c r="I892" i="6" a="1"/>
  <c r="I892" i="6" s="1"/>
  <c r="I893" i="6" a="1"/>
  <c r="I893" i="6" s="1"/>
  <c r="I894" i="6" a="1"/>
  <c r="I894" i="6" s="1"/>
  <c r="I895" i="6" a="1"/>
  <c r="I895" i="6" s="1"/>
  <c r="I896" i="6" a="1"/>
  <c r="I896" i="6"/>
  <c r="I897" i="6" a="1"/>
  <c r="I897" i="6" s="1"/>
  <c r="I898" i="6" a="1"/>
  <c r="I898" i="6" s="1"/>
  <c r="I899" i="6" a="1"/>
  <c r="I899" i="6"/>
  <c r="I900" i="6" a="1"/>
  <c r="I900" i="6" s="1"/>
  <c r="I901" i="6" a="1"/>
  <c r="I901" i="6" s="1"/>
  <c r="I902" i="6" a="1"/>
  <c r="I902" i="6" s="1"/>
  <c r="I903" i="6" a="1"/>
  <c r="I903" i="6" s="1"/>
  <c r="I904" i="6" a="1"/>
  <c r="I904" i="6" s="1"/>
  <c r="I905" i="6" a="1"/>
  <c r="I905" i="6" s="1"/>
  <c r="I906" i="6" a="1"/>
  <c r="I906" i="6"/>
  <c r="I907" i="6" a="1"/>
  <c r="I907" i="6" s="1"/>
  <c r="I908" i="6" a="1"/>
  <c r="I908" i="6" s="1"/>
  <c r="I909" i="6" a="1"/>
  <c r="I909" i="6" s="1"/>
  <c r="I910" i="6" a="1"/>
  <c r="I910" i="6"/>
  <c r="I911" i="6" a="1"/>
  <c r="I911" i="6" s="1"/>
  <c r="I912" i="6" a="1"/>
  <c r="I912" i="6" s="1"/>
  <c r="I913" i="6" a="1"/>
  <c r="I913" i="6" s="1"/>
  <c r="I914" i="6" a="1"/>
  <c r="I914" i="6" s="1"/>
  <c r="I915" i="6" a="1"/>
  <c r="I915" i="6" s="1"/>
  <c r="I916" i="6" a="1"/>
  <c r="I916" i="6" s="1"/>
  <c r="I917" i="6" a="1"/>
  <c r="I917" i="6" s="1"/>
  <c r="I918" i="6" a="1"/>
  <c r="I918" i="6" s="1"/>
  <c r="I919" i="6" a="1"/>
  <c r="I919" i="6"/>
  <c r="I920" i="6" a="1"/>
  <c r="I920" i="6" s="1"/>
  <c r="I921" i="6" a="1"/>
  <c r="I921" i="6" s="1"/>
  <c r="I922" i="6" a="1"/>
  <c r="I922" i="6" s="1"/>
  <c r="I923" i="6" a="1"/>
  <c r="I923" i="6" s="1"/>
  <c r="I924" i="6" a="1"/>
  <c r="I924" i="6" s="1"/>
  <c r="I925" i="6" a="1"/>
  <c r="I925" i="6" s="1"/>
  <c r="I926" i="6" a="1"/>
  <c r="I926" i="6" s="1"/>
  <c r="I927" i="6" a="1"/>
  <c r="I927" i="6" s="1"/>
  <c r="I928" i="6" a="1"/>
  <c r="I928" i="6" s="1"/>
  <c r="I929" i="6" a="1"/>
  <c r="I929" i="6" s="1"/>
  <c r="I930" i="6" a="1"/>
  <c r="I930" i="6"/>
  <c r="I931" i="6" a="1"/>
  <c r="I931" i="6" s="1"/>
  <c r="I932" i="6" a="1"/>
  <c r="I932" i="6" s="1"/>
  <c r="I933" i="6" a="1"/>
  <c r="I933" i="6" s="1"/>
  <c r="I934" i="6" a="1"/>
  <c r="I934" i="6" s="1"/>
  <c r="I935" i="6" a="1"/>
  <c r="I935" i="6" s="1"/>
  <c r="I936" i="6" a="1"/>
  <c r="I936" i="6" s="1"/>
  <c r="I937" i="6" a="1"/>
  <c r="I937" i="6"/>
  <c r="I938" i="6" a="1"/>
  <c r="I938" i="6" s="1"/>
  <c r="I939" i="6" a="1"/>
  <c r="I939" i="6" s="1"/>
  <c r="I940" i="6" a="1"/>
  <c r="I940" i="6"/>
  <c r="I941" i="6" a="1"/>
  <c r="I941" i="6" s="1"/>
  <c r="I942" i="6" a="1"/>
  <c r="I942" i="6" s="1"/>
  <c r="I943" i="6" a="1"/>
  <c r="I943" i="6" s="1"/>
  <c r="I944" i="6" a="1"/>
  <c r="I944" i="6" s="1"/>
  <c r="I945" i="6" a="1"/>
  <c r="I945" i="6" s="1"/>
  <c r="I946" i="6" a="1"/>
  <c r="I946" i="6" s="1"/>
  <c r="I947" i="6" a="1"/>
  <c r="I947" i="6" s="1"/>
  <c r="I948" i="6" a="1"/>
  <c r="I948" i="6" s="1"/>
  <c r="I949" i="6" a="1"/>
  <c r="I949" i="6" s="1"/>
  <c r="I950" i="6" a="1"/>
  <c r="I950" i="6"/>
  <c r="I951" i="6" a="1"/>
  <c r="I951" i="6" s="1"/>
  <c r="I952" i="6" a="1"/>
  <c r="I952" i="6" s="1"/>
  <c r="I953" i="6" a="1"/>
  <c r="I953" i="6" s="1"/>
  <c r="I954" i="6" a="1"/>
  <c r="I954" i="6" s="1"/>
  <c r="I955" i="6" a="1"/>
  <c r="I955" i="6" s="1"/>
  <c r="I956" i="6" a="1"/>
  <c r="I956" i="6"/>
  <c r="I957" i="6" a="1"/>
  <c r="I957" i="6" s="1"/>
  <c r="I958" i="6" a="1"/>
  <c r="I958" i="6" s="1"/>
  <c r="I959" i="6" a="1"/>
  <c r="I959" i="6" s="1"/>
  <c r="I960" i="6" a="1"/>
  <c r="I960" i="6" s="1"/>
  <c r="I961" i="6" a="1"/>
  <c r="I961" i="6" s="1"/>
  <c r="I962" i="6" a="1"/>
  <c r="I962" i="6" s="1"/>
  <c r="I963" i="6" a="1"/>
  <c r="I963" i="6" s="1"/>
  <c r="I964" i="6" a="1"/>
  <c r="I964" i="6" s="1"/>
  <c r="I965" i="6" a="1"/>
  <c r="I965" i="6" s="1"/>
  <c r="I966" i="6" a="1"/>
  <c r="I966" i="6" s="1"/>
  <c r="I967" i="6" a="1"/>
  <c r="I967" i="6" s="1"/>
  <c r="I968" i="6" a="1"/>
  <c r="I968" i="6" s="1"/>
  <c r="I969" i="6" a="1"/>
  <c r="I969" i="6" s="1"/>
  <c r="I970" i="6" a="1"/>
  <c r="I970" i="6" s="1"/>
  <c r="I971" i="6" a="1"/>
  <c r="I971" i="6" s="1"/>
  <c r="I972" i="6" a="1"/>
  <c r="I972" i="6" s="1"/>
  <c r="I973" i="6" a="1"/>
  <c r="I973" i="6" s="1"/>
  <c r="I974" i="6" a="1"/>
  <c r="I974" i="6" s="1"/>
  <c r="I975" i="6" a="1"/>
  <c r="I975" i="6" s="1"/>
  <c r="I976" i="6" a="1"/>
  <c r="I976" i="6" s="1"/>
  <c r="I977" i="6" a="1"/>
  <c r="I977" i="6" s="1"/>
  <c r="I978" i="6" a="1"/>
  <c r="I978" i="6" s="1"/>
  <c r="I979" i="6" a="1"/>
  <c r="I979" i="6" s="1"/>
  <c r="I980" i="6" a="1"/>
  <c r="I980" i="6" s="1"/>
  <c r="I981" i="6" a="1"/>
  <c r="I981" i="6" s="1"/>
  <c r="I982" i="6" a="1"/>
  <c r="I982" i="6" s="1"/>
  <c r="I983" i="6" a="1"/>
  <c r="I983" i="6" s="1"/>
  <c r="I984" i="6" a="1"/>
  <c r="I984" i="6" s="1"/>
  <c r="I985" i="6" a="1"/>
  <c r="I985" i="6" s="1"/>
  <c r="I986" i="6" a="1"/>
  <c r="I986" i="6" s="1"/>
  <c r="I987" i="6" a="1"/>
  <c r="I987" i="6" s="1"/>
  <c r="I988" i="6" a="1"/>
  <c r="I988" i="6" s="1"/>
  <c r="I989" i="6" a="1"/>
  <c r="I989" i="6" s="1"/>
  <c r="I990" i="6" a="1"/>
  <c r="I990" i="6" s="1"/>
  <c r="I991" i="6" a="1"/>
  <c r="I991" i="6" s="1"/>
  <c r="I992" i="6" a="1"/>
  <c r="I992" i="6" s="1"/>
  <c r="I993" i="6" a="1"/>
  <c r="I993" i="6" s="1"/>
  <c r="I994" i="6" a="1"/>
  <c r="I994" i="6" s="1"/>
  <c r="I995" i="6" a="1"/>
  <c r="I995" i="6" s="1"/>
  <c r="I996" i="6" a="1"/>
  <c r="I996" i="6"/>
  <c r="I997" i="6" a="1"/>
  <c r="I997" i="6" s="1"/>
  <c r="I998" i="6" a="1"/>
  <c r="I998" i="6" s="1"/>
  <c r="I999" i="6" a="1"/>
  <c r="I999" i="6" s="1"/>
  <c r="I1000" i="6" a="1"/>
  <c r="I1000" i="6" s="1"/>
  <c r="I1001" i="6" a="1"/>
  <c r="I1001" i="6"/>
  <c r="I1002" i="6" a="1"/>
  <c r="I1002" i="6" s="1"/>
  <c r="I1003" i="6" a="1"/>
  <c r="I1003" i="6" s="1"/>
  <c r="I1004" i="6" a="1"/>
  <c r="I1004" i="6" s="1"/>
  <c r="I1005" i="6" a="1"/>
  <c r="I1005" i="6" s="1"/>
  <c r="I1006" i="6" a="1"/>
  <c r="I1006" i="6" s="1"/>
  <c r="I1007" i="6" a="1"/>
  <c r="I1007" i="6" s="1"/>
  <c r="I1008" i="6" a="1"/>
  <c r="I1008" i="6" s="1"/>
  <c r="I1009" i="6" a="1"/>
  <c r="I1009" i="6" s="1"/>
  <c r="I1010" i="6" a="1"/>
  <c r="I1010" i="6" s="1"/>
  <c r="I1011" i="6" a="1"/>
  <c r="I1011" i="6" s="1"/>
  <c r="I1012" i="6" a="1"/>
  <c r="I1012" i="6"/>
  <c r="I1013" i="6" a="1"/>
  <c r="I1013" i="6" s="1"/>
  <c r="I1014" i="6" a="1"/>
  <c r="I1014" i="6" s="1"/>
  <c r="I1015" i="6" a="1"/>
  <c r="I1015" i="6"/>
  <c r="I1016" i="6" a="1"/>
  <c r="I1016" i="6" s="1"/>
  <c r="I1017" i="6" a="1"/>
  <c r="I1017" i="6" s="1"/>
  <c r="I1018" i="6" a="1"/>
  <c r="I1018" i="6" s="1"/>
  <c r="I1019" i="6" a="1"/>
  <c r="I1019" i="6" s="1"/>
  <c r="I1020" i="6" a="1"/>
  <c r="I1020" i="6" s="1"/>
  <c r="I1021" i="6" a="1"/>
  <c r="I1021" i="6" s="1"/>
  <c r="I1022" i="6" a="1"/>
  <c r="I1022" i="6" s="1"/>
  <c r="I1023" i="6" a="1"/>
  <c r="I1023" i="6" s="1"/>
  <c r="I1024" i="6" a="1"/>
  <c r="I1024" i="6" s="1"/>
  <c r="I1025" i="6" a="1"/>
  <c r="I1025" i="6" s="1"/>
  <c r="I1026" i="6" a="1"/>
  <c r="I1026" i="6" s="1"/>
  <c r="I1027" i="6" a="1"/>
  <c r="I1027" i="6" s="1"/>
  <c r="I1028" i="6" a="1"/>
  <c r="I1028" i="6" s="1"/>
  <c r="I1029" i="6" a="1"/>
  <c r="I1029" i="6" s="1"/>
  <c r="I1030" i="6" a="1"/>
  <c r="I1030" i="6" s="1"/>
  <c r="I1031" i="6" a="1"/>
  <c r="I1031" i="6" s="1"/>
  <c r="I1032" i="6" a="1"/>
  <c r="I1032" i="6" s="1"/>
  <c r="I1033" i="6" a="1"/>
  <c r="I1033" i="6" s="1"/>
  <c r="I1034" i="6" a="1"/>
  <c r="I1034" i="6" s="1"/>
  <c r="I1035" i="6" a="1"/>
  <c r="I1035" i="6" s="1"/>
  <c r="I1036" i="6" a="1"/>
  <c r="I1036" i="6" s="1"/>
  <c r="I1037" i="6" a="1"/>
  <c r="I1037" i="6" s="1"/>
  <c r="I1038" i="6" a="1"/>
  <c r="I1038" i="6" s="1"/>
  <c r="I1039" i="6" a="1"/>
  <c r="I1039" i="6" s="1"/>
  <c r="I1040" i="6" a="1"/>
  <c r="I1040" i="6" s="1"/>
  <c r="I1041" i="6" a="1"/>
  <c r="I1041" i="6" s="1"/>
  <c r="I1042" i="6" a="1"/>
  <c r="I1042" i="6" s="1"/>
  <c r="I1043" i="6" a="1"/>
  <c r="I1043" i="6" s="1"/>
  <c r="I1044" i="6" a="1"/>
  <c r="I1044" i="6" s="1"/>
  <c r="I1045" i="6" a="1"/>
  <c r="I1045" i="6" s="1"/>
  <c r="I1046" i="6" a="1"/>
  <c r="I1046" i="6" s="1"/>
  <c r="I1047" i="6" a="1"/>
  <c r="I1047" i="6" s="1"/>
  <c r="I1048" i="6" a="1"/>
  <c r="I1048" i="6" s="1"/>
  <c r="I1049" i="6" a="1"/>
  <c r="I1049" i="6" s="1"/>
  <c r="I1050" i="6" a="1"/>
  <c r="I1050" i="6" s="1"/>
  <c r="I1051" i="6" a="1"/>
  <c r="I1051" i="6" s="1"/>
  <c r="I1052" i="6" a="1"/>
  <c r="I1052" i="6" s="1"/>
  <c r="I1053" i="6" a="1"/>
  <c r="I1053" i="6" s="1"/>
  <c r="I1054" i="6" a="1"/>
  <c r="I1054" i="6" s="1"/>
  <c r="I1055" i="6" a="1"/>
  <c r="I1055" i="6" s="1"/>
  <c r="I1056" i="6" a="1"/>
  <c r="I1056" i="6" s="1"/>
  <c r="I1057" i="6" a="1"/>
  <c r="I1057" i="6" s="1"/>
  <c r="I1058" i="6" a="1"/>
  <c r="I1058" i="6" s="1"/>
  <c r="I1059" i="6" a="1"/>
  <c r="I1059" i="6" s="1"/>
  <c r="I1060" i="6" a="1"/>
  <c r="I1060" i="6" s="1"/>
  <c r="I1061" i="6" a="1"/>
  <c r="I1061" i="6" s="1"/>
  <c r="I1062" i="6" a="1"/>
  <c r="I1062" i="6" s="1"/>
  <c r="I1063" i="6" a="1"/>
  <c r="I1063" i="6" s="1"/>
  <c r="I1064" i="6" a="1"/>
  <c r="I1064" i="6" s="1"/>
  <c r="I1065" i="6" a="1"/>
  <c r="I1065" i="6" s="1"/>
  <c r="I1066" i="6" a="1"/>
  <c r="I1066" i="6" s="1"/>
  <c r="I1067" i="6" a="1"/>
  <c r="I1067" i="6" s="1"/>
  <c r="I1068" i="6" a="1"/>
  <c r="I1068" i="6" s="1"/>
  <c r="I1069" i="6" a="1"/>
  <c r="I1069" i="6" s="1"/>
  <c r="I1070" i="6" a="1"/>
  <c r="I1070" i="6" s="1"/>
  <c r="I1071" i="6" a="1"/>
  <c r="I1071" i="6" s="1"/>
  <c r="I1072" i="6" a="1"/>
  <c r="I1072" i="6" s="1"/>
  <c r="I1073" i="6" a="1"/>
  <c r="I1073" i="6" s="1"/>
  <c r="I1074" i="6" a="1"/>
  <c r="I1074" i="6"/>
  <c r="I1075" i="6" a="1"/>
  <c r="I1075" i="6" s="1"/>
  <c r="I1076" i="6" a="1"/>
  <c r="I1076" i="6" s="1"/>
  <c r="I1077" i="6" a="1"/>
  <c r="I1077" i="6" s="1"/>
  <c r="I1078" i="6" a="1"/>
  <c r="I1078" i="6" s="1"/>
  <c r="I1079" i="6" a="1"/>
  <c r="I1079" i="6" s="1"/>
  <c r="I1080" i="6" a="1"/>
  <c r="I1080" i="6" s="1"/>
  <c r="I1081" i="6" a="1"/>
  <c r="I1081" i="6" s="1"/>
  <c r="I1082" i="6" a="1"/>
  <c r="I1082" i="6" s="1"/>
  <c r="I1083" i="6" a="1"/>
  <c r="I1083" i="6" s="1"/>
  <c r="I1084" i="6" a="1"/>
  <c r="I1084" i="6" s="1"/>
  <c r="I1085" i="6" a="1"/>
  <c r="I1085" i="6" s="1"/>
  <c r="I1086" i="6" a="1"/>
  <c r="I1086" i="6" s="1"/>
  <c r="I1087" i="6" a="1"/>
  <c r="I1087" i="6" s="1"/>
  <c r="I1088" i="6" a="1"/>
  <c r="I1088" i="6" s="1"/>
  <c r="I1089" i="6" a="1"/>
  <c r="I1089" i="6" s="1"/>
  <c r="I1090" i="6" a="1"/>
  <c r="I1090" i="6" s="1"/>
  <c r="I1091" i="6" a="1"/>
  <c r="I1091" i="6" s="1"/>
  <c r="I1092" i="6" a="1"/>
  <c r="I1092" i="6" s="1"/>
  <c r="I1093" i="6" a="1"/>
  <c r="I1093" i="6" s="1"/>
  <c r="I1094" i="6" a="1"/>
  <c r="I1094" i="6" s="1"/>
  <c r="I1095" i="6" a="1"/>
  <c r="I1095" i="6" s="1"/>
  <c r="I1096" i="6" a="1"/>
  <c r="I1096" i="6" s="1"/>
  <c r="I1097" i="6" a="1"/>
  <c r="I1097" i="6" s="1"/>
  <c r="I1098" i="6" a="1"/>
  <c r="I1098" i="6" s="1"/>
  <c r="I1099" i="6" a="1"/>
  <c r="I1099" i="6"/>
  <c r="I1100" i="6" a="1"/>
  <c r="I1100" i="6" s="1"/>
  <c r="I1101" i="6" a="1"/>
  <c r="I1101" i="6" s="1"/>
  <c r="I1102" i="6" a="1"/>
  <c r="I1102" i="6" s="1"/>
  <c r="I1103" i="6" a="1"/>
  <c r="I1103" i="6" s="1"/>
  <c r="I1104" i="6" a="1"/>
  <c r="I1104" i="6" s="1"/>
  <c r="I1105" i="6" a="1"/>
  <c r="I1105" i="6" s="1"/>
  <c r="I1106" i="6" a="1"/>
  <c r="I1106" i="6" s="1"/>
  <c r="I1107" i="6" a="1"/>
  <c r="I1107" i="6" s="1"/>
  <c r="I1108" i="6" a="1"/>
  <c r="I1108" i="6" s="1"/>
  <c r="I1109" i="6" a="1"/>
  <c r="I1109" i="6" s="1"/>
  <c r="I1110" i="6" a="1"/>
  <c r="I1110" i="6"/>
  <c r="I1111" i="6" a="1"/>
  <c r="I1111" i="6" s="1"/>
  <c r="I1112" i="6" a="1"/>
  <c r="I1112" i="6" s="1"/>
  <c r="I1113" i="6" a="1"/>
  <c r="I1113" i="6" s="1"/>
  <c r="I1114" i="6" a="1"/>
  <c r="I1114" i="6" s="1"/>
  <c r="I1115" i="6" a="1"/>
  <c r="I1115" i="6" s="1"/>
  <c r="I1116" i="6" a="1"/>
  <c r="I1116" i="6" s="1"/>
  <c r="I1117" i="6" a="1"/>
  <c r="I1117" i="6" s="1"/>
  <c r="I1118" i="6" a="1"/>
  <c r="I1118" i="6" s="1"/>
  <c r="I1119" i="6" a="1"/>
  <c r="I1119" i="6" s="1"/>
  <c r="I1120" i="6" a="1"/>
  <c r="I1120" i="6" s="1"/>
  <c r="I1121" i="6" a="1"/>
  <c r="I1121" i="6" s="1"/>
  <c r="I1122" i="6" a="1"/>
  <c r="I1122" i="6" s="1"/>
  <c r="I1123" i="6" a="1"/>
  <c r="I1123" i="6" s="1"/>
  <c r="I1124" i="6" a="1"/>
  <c r="I1124" i="6" s="1"/>
  <c r="I1125" i="6" a="1"/>
  <c r="I1125" i="6" s="1"/>
  <c r="I1126" i="6" a="1"/>
  <c r="I1126" i="6" s="1"/>
  <c r="I1127" i="6" a="1"/>
  <c r="I1127" i="6" s="1"/>
  <c r="I1128" i="6" a="1"/>
  <c r="I1128" i="6" s="1"/>
  <c r="I1129" i="6" a="1"/>
  <c r="I1129" i="6" s="1"/>
  <c r="I1130" i="6" a="1"/>
  <c r="I1130" i="6" s="1"/>
  <c r="I1131" i="6" a="1"/>
  <c r="I1131" i="6" s="1"/>
  <c r="I1132" i="6" a="1"/>
  <c r="I1132" i="6" s="1"/>
  <c r="I1133" i="6" a="1"/>
  <c r="I1133" i="6" s="1"/>
  <c r="I1134" i="6" a="1"/>
  <c r="I1134" i="6" s="1"/>
  <c r="I1135" i="6" a="1"/>
  <c r="I1135" i="6" s="1"/>
  <c r="I1136" i="6" a="1"/>
  <c r="I1136" i="6"/>
  <c r="I1137" i="6" a="1"/>
  <c r="I1137" i="6"/>
  <c r="I1138" i="6" a="1"/>
  <c r="I1138" i="6" s="1"/>
  <c r="I1139" i="6" a="1"/>
  <c r="I1139" i="6" s="1"/>
  <c r="I1140" i="6" a="1"/>
  <c r="I1140" i="6" s="1"/>
  <c r="I1141" i="6" a="1"/>
  <c r="I1141" i="6" s="1"/>
  <c r="I1142" i="6" a="1"/>
  <c r="I1142" i="6" s="1"/>
  <c r="I1143" i="6" a="1"/>
  <c r="I1143" i="6" s="1"/>
  <c r="I1144" i="6" a="1"/>
  <c r="I1144" i="6" s="1"/>
  <c r="I1145" i="6" a="1"/>
  <c r="I1145" i="6" s="1"/>
  <c r="I1146" i="6" a="1"/>
  <c r="I1146" i="6" s="1"/>
  <c r="I1147" i="6" a="1"/>
  <c r="I1147" i="6" s="1"/>
  <c r="I1148" i="6" a="1"/>
  <c r="I1148" i="6" s="1"/>
  <c r="I1149" i="6" a="1"/>
  <c r="I1149" i="6"/>
  <c r="I1150" i="6" a="1"/>
  <c r="I1150" i="6" s="1"/>
  <c r="I1151" i="6" a="1"/>
  <c r="I1151" i="6" s="1"/>
  <c r="I1152" i="6" a="1"/>
  <c r="I1152" i="6" s="1"/>
  <c r="I1153" i="6" a="1"/>
  <c r="I1153" i="6" s="1"/>
  <c r="I1154" i="6" a="1"/>
  <c r="I1154" i="6" s="1"/>
  <c r="I1155" i="6" a="1"/>
  <c r="I1155" i="6" s="1"/>
  <c r="I1156" i="6" a="1"/>
  <c r="I1156" i="6" s="1"/>
  <c r="I1157" i="6" a="1"/>
  <c r="I1157" i="6" s="1"/>
  <c r="I1158" i="6" a="1"/>
  <c r="I1158" i="6"/>
  <c r="I1159" i="6" a="1"/>
  <c r="I1159" i="6" s="1"/>
  <c r="I1160" i="6" a="1"/>
  <c r="I1160" i="6" s="1"/>
  <c r="I1161" i="6" a="1"/>
  <c r="I1161" i="6" s="1"/>
  <c r="I1162" i="6" a="1"/>
  <c r="I1162" i="6" s="1"/>
  <c r="I1163" i="6" a="1"/>
  <c r="I1163" i="6" s="1"/>
  <c r="I1164" i="6" a="1"/>
  <c r="I1164" i="6" s="1"/>
  <c r="I1165" i="6" a="1"/>
  <c r="I1165" i="6" s="1"/>
  <c r="I1166" i="6" a="1"/>
  <c r="I1166" i="6" s="1"/>
  <c r="I1167" i="6" a="1"/>
  <c r="I1167" i="6" s="1"/>
  <c r="I1168" i="6" a="1"/>
  <c r="I1168" i="6" s="1"/>
  <c r="I1169" i="6" a="1"/>
  <c r="I1169" i="6" s="1"/>
  <c r="I1170" i="6" a="1"/>
  <c r="I1170" i="6"/>
  <c r="I1171" i="6" a="1"/>
  <c r="I1171" i="6" s="1"/>
  <c r="I1172" i="6" a="1"/>
  <c r="I1172" i="6" s="1"/>
  <c r="I1173" i="6" a="1"/>
  <c r="I1173" i="6" s="1"/>
  <c r="I1174" i="6" a="1"/>
  <c r="I1174" i="6" s="1"/>
  <c r="I1175" i="6" a="1"/>
  <c r="I1175" i="6" s="1"/>
  <c r="I1176" i="6" a="1"/>
  <c r="I1176" i="6" s="1"/>
  <c r="I1177" i="6" a="1"/>
  <c r="I1177" i="6" s="1"/>
  <c r="I1178" i="6" a="1"/>
  <c r="I1178" i="6"/>
  <c r="I1179" i="6" a="1"/>
  <c r="I1179" i="6" s="1"/>
  <c r="I1180" i="6" a="1"/>
  <c r="I1180" i="6" s="1"/>
  <c r="I1181" i="6" a="1"/>
  <c r="I1181" i="6" s="1"/>
  <c r="I1182" i="6" a="1"/>
  <c r="I1182" i="6" s="1"/>
  <c r="I1183" i="6" a="1"/>
  <c r="I1183" i="6"/>
  <c r="I1184" i="6" a="1"/>
  <c r="I1184" i="6" s="1"/>
  <c r="I1185" i="6" a="1"/>
  <c r="I1185" i="6"/>
  <c r="I1186" i="6" a="1"/>
  <c r="I1186" i="6" s="1"/>
  <c r="I1187" i="6" a="1"/>
  <c r="I1187" i="6" s="1"/>
  <c r="I1188" i="6" a="1"/>
  <c r="I1188" i="6" s="1"/>
  <c r="I1189" i="6" a="1"/>
  <c r="I1189" i="6" s="1"/>
  <c r="I1190" i="6" a="1"/>
  <c r="I1190" i="6" s="1"/>
  <c r="I1191" i="6" a="1"/>
  <c r="I1191" i="6" s="1"/>
  <c r="I1192" i="6" a="1"/>
  <c r="I1192" i="6" s="1"/>
  <c r="I1193" i="6" a="1"/>
  <c r="I1193" i="6" s="1"/>
  <c r="I1194" i="6" a="1"/>
  <c r="I1194" i="6"/>
  <c r="I1195" i="6" a="1"/>
  <c r="I1195" i="6" s="1"/>
  <c r="I1196" i="6" a="1"/>
  <c r="I1196" i="6" s="1"/>
  <c r="I1197" i="6" a="1"/>
  <c r="I1197" i="6"/>
  <c r="I1198" i="6" a="1"/>
  <c r="I1198" i="6" s="1"/>
  <c r="I1199" i="6" a="1"/>
  <c r="I1199" i="6" s="1"/>
  <c r="I1200" i="6" a="1"/>
  <c r="I1200" i="6" s="1"/>
  <c r="I1201" i="6" a="1"/>
  <c r="I1201" i="6" s="1"/>
  <c r="I1202" i="6" a="1"/>
  <c r="I1202" i="6" s="1"/>
  <c r="I1203" i="6" a="1"/>
  <c r="I1203" i="6" s="1"/>
  <c r="I1204" i="6" a="1"/>
  <c r="I1204" i="6" s="1"/>
  <c r="I1205" i="6" a="1"/>
  <c r="I1205" i="6"/>
  <c r="I1206" i="6" a="1"/>
  <c r="I1206" i="6" s="1"/>
  <c r="I1207" i="6" a="1"/>
  <c r="I1207" i="6" s="1"/>
  <c r="I1208" i="6" a="1"/>
  <c r="I1208" i="6" s="1"/>
  <c r="I1209" i="6" a="1"/>
  <c r="I1209" i="6" s="1"/>
  <c r="I1210" i="6" a="1"/>
  <c r="I1210" i="6" s="1"/>
  <c r="I1211" i="6" a="1"/>
  <c r="I1211" i="6" s="1"/>
  <c r="I1212" i="6" a="1"/>
  <c r="I1212" i="6" s="1"/>
  <c r="I1213" i="6" a="1"/>
  <c r="I1213" i="6" s="1"/>
  <c r="I1214" i="6" a="1"/>
  <c r="I1214" i="6"/>
  <c r="I1215" i="6" a="1"/>
  <c r="I1215" i="6" s="1"/>
  <c r="I1216" i="6" a="1"/>
  <c r="I1216" i="6" s="1"/>
  <c r="I1217" i="6" a="1"/>
  <c r="I1217" i="6" s="1"/>
  <c r="I1218" i="6" a="1"/>
  <c r="I1218" i="6" s="1"/>
  <c r="I1219" i="6" a="1"/>
  <c r="I1219" i="6" s="1"/>
  <c r="I1220" i="6" a="1"/>
  <c r="I1220" i="6" s="1"/>
  <c r="I1221" i="6" a="1"/>
  <c r="I1221" i="6" s="1"/>
  <c r="I1222" i="6" a="1"/>
  <c r="I1222" i="6" s="1"/>
  <c r="I1223" i="6" a="1"/>
  <c r="I1223" i="6" s="1"/>
  <c r="I1224" i="6" a="1"/>
  <c r="I1224" i="6" s="1"/>
  <c r="I1225" i="6" a="1"/>
  <c r="I1225" i="6" s="1"/>
  <c r="I1226" i="6" a="1"/>
  <c r="I1226" i="6" s="1"/>
  <c r="I1227" i="6" a="1"/>
  <c r="I1227" i="6" s="1"/>
  <c r="I1228" i="6" a="1"/>
  <c r="I1228" i="6" s="1"/>
  <c r="I1229" i="6" a="1"/>
  <c r="I1229" i="6"/>
  <c r="I1230" i="6" a="1"/>
  <c r="I1230" i="6" s="1"/>
  <c r="I1231" i="6" a="1"/>
  <c r="I1231" i="6"/>
  <c r="I1232" i="6" a="1"/>
  <c r="I1232" i="6" s="1"/>
  <c r="I1233" i="6" a="1"/>
  <c r="I1233" i="6" s="1"/>
  <c r="I1234" i="6" a="1"/>
  <c r="I1234" i="6" s="1"/>
  <c r="I1235" i="6" a="1"/>
  <c r="I1235" i="6" s="1"/>
  <c r="I1236" i="6" a="1"/>
  <c r="I1236" i="6" s="1"/>
  <c r="I1237" i="6" a="1"/>
  <c r="I1237" i="6"/>
  <c r="I1238" i="6" a="1"/>
  <c r="I1238" i="6" s="1"/>
  <c r="I1239" i="6" a="1"/>
  <c r="I1239" i="6" s="1"/>
  <c r="I1240" i="6" a="1"/>
  <c r="I1240" i="6" s="1"/>
  <c r="I1241" i="6" a="1"/>
  <c r="I1241" i="6"/>
  <c r="I1242" i="6" a="1"/>
  <c r="I1242" i="6" s="1"/>
  <c r="I1243" i="6" a="1"/>
  <c r="I1243" i="6" s="1"/>
  <c r="I1244" i="6" a="1"/>
  <c r="I1244" i="6" s="1"/>
  <c r="I1245" i="6" a="1"/>
  <c r="I1245" i="6" s="1"/>
  <c r="I1246" i="6" a="1"/>
  <c r="I1246" i="6" s="1"/>
  <c r="I1247" i="6" a="1"/>
  <c r="I1247" i="6" s="1"/>
  <c r="I1248" i="6" a="1"/>
  <c r="I1248" i="6" s="1"/>
  <c r="I1249" i="6" a="1"/>
  <c r="I1249" i="6" s="1"/>
  <c r="I1250" i="6" a="1"/>
  <c r="I1250" i="6" s="1"/>
  <c r="I1251" i="6" a="1"/>
  <c r="I1251" i="6" s="1"/>
  <c r="I1252" i="6" a="1"/>
  <c r="I1252" i="6" s="1"/>
  <c r="I1253" i="6" a="1"/>
  <c r="I1253" i="6" s="1"/>
  <c r="I1254" i="6" a="1"/>
  <c r="I1254" i="6" s="1"/>
  <c r="I1255" i="6" a="1"/>
  <c r="I1255" i="6"/>
  <c r="I1256" i="6" a="1"/>
  <c r="I1256" i="6" s="1"/>
  <c r="I1257" i="6" a="1"/>
  <c r="I1257" i="6" s="1"/>
  <c r="I1258" i="6" a="1"/>
  <c r="I1258" i="6" s="1"/>
  <c r="I1259" i="6" a="1"/>
  <c r="I1259" i="6" s="1"/>
  <c r="I1260" i="6" a="1"/>
  <c r="I1260" i="6"/>
  <c r="I1261" i="6" a="1"/>
  <c r="I1261" i="6" s="1"/>
  <c r="I1262" i="6" a="1"/>
  <c r="I1262" i="6" s="1"/>
  <c r="I1263" i="6" a="1"/>
  <c r="I1263" i="6" s="1"/>
  <c r="I1264" i="6" a="1"/>
  <c r="I1264" i="6" s="1"/>
  <c r="I1265" i="6" a="1"/>
  <c r="I1265" i="6" s="1"/>
  <c r="I1266" i="6" a="1"/>
  <c r="I1266" i="6" s="1"/>
  <c r="I1267" i="6" a="1"/>
  <c r="I1267" i="6" s="1"/>
  <c r="I1268" i="6" a="1"/>
  <c r="I1268" i="6"/>
  <c r="I1269" i="6" a="1"/>
  <c r="I1269" i="6" s="1"/>
  <c r="I1270" i="6" a="1"/>
  <c r="I1270" i="6" s="1"/>
  <c r="I1271" i="6" a="1"/>
  <c r="I1271" i="6" s="1"/>
  <c r="I1272" i="6" a="1"/>
  <c r="I1272" i="6" s="1"/>
  <c r="I1273" i="6" a="1"/>
  <c r="I1273" i="6"/>
  <c r="I1274" i="6" a="1"/>
  <c r="I1274" i="6" s="1"/>
  <c r="I1275" i="6" a="1"/>
  <c r="I1275" i="6" s="1"/>
  <c r="I1276" i="6" a="1"/>
  <c r="I1276" i="6" s="1"/>
  <c r="I1277" i="6" a="1"/>
  <c r="I1277" i="6" s="1"/>
  <c r="I1278" i="6" a="1"/>
  <c r="I1278" i="6" s="1"/>
  <c r="I1279" i="6" a="1"/>
  <c r="I1279" i="6" s="1"/>
  <c r="I1280" i="6" a="1"/>
  <c r="I1280" i="6" s="1"/>
  <c r="I1281" i="6" a="1"/>
  <c r="I1281" i="6" s="1"/>
  <c r="I1282" i="6" a="1"/>
  <c r="I1282" i="6" s="1"/>
  <c r="I1283" i="6" a="1"/>
  <c r="I1283" i="6" s="1"/>
  <c r="I1284" i="6" a="1"/>
  <c r="I1284" i="6" s="1"/>
  <c r="I1285" i="6" a="1"/>
  <c r="I1285" i="6" s="1"/>
  <c r="I1286" i="6" a="1"/>
  <c r="I1286" i="6" s="1"/>
  <c r="I1287" i="6" a="1"/>
  <c r="I1287" i="6" s="1"/>
  <c r="I1288" i="6" a="1"/>
  <c r="I1288" i="6" s="1"/>
  <c r="I1289" i="6" a="1"/>
  <c r="I1289" i="6" s="1"/>
  <c r="I1290" i="6" a="1"/>
  <c r="I1290" i="6"/>
  <c r="I1291" i="6" a="1"/>
  <c r="I1291" i="6" s="1"/>
  <c r="I1292" i="6" a="1"/>
  <c r="I1292" i="6"/>
  <c r="I1293" i="6" a="1"/>
  <c r="I1293" i="6" s="1"/>
  <c r="I1294" i="6" a="1"/>
  <c r="I1294" i="6" s="1"/>
  <c r="I1295" i="6" a="1"/>
  <c r="I1295" i="6" s="1"/>
  <c r="I1296" i="6" a="1"/>
  <c r="I1296" i="6" s="1"/>
  <c r="I1297" i="6" a="1"/>
  <c r="I1297" i="6" s="1"/>
  <c r="I1298" i="6" a="1"/>
  <c r="I1298" i="6" s="1"/>
  <c r="I1299" i="6" a="1"/>
  <c r="I1299" i="6" s="1"/>
  <c r="I1300" i="6" a="1"/>
  <c r="I1300" i="6" s="1"/>
  <c r="I1301" i="6" a="1"/>
  <c r="I1301" i="6" s="1"/>
  <c r="I1302" i="6" a="1"/>
  <c r="I1302" i="6"/>
  <c r="I1303" i="6" a="1"/>
  <c r="I1303" i="6" s="1"/>
  <c r="I1304" i="6" a="1"/>
  <c r="I1304" i="6" s="1"/>
  <c r="I1305" i="6" a="1"/>
  <c r="I1305" i="6" s="1"/>
  <c r="I1306" i="6" a="1"/>
  <c r="I1306" i="6" s="1"/>
  <c r="I1307" i="6" a="1"/>
  <c r="I1307" i="6" s="1"/>
  <c r="I1308" i="6" a="1"/>
  <c r="I1308" i="6" s="1"/>
  <c r="I1309" i="6" a="1"/>
  <c r="I1309" i="6" s="1"/>
  <c r="I1310" i="6" a="1"/>
  <c r="I1310" i="6" s="1"/>
  <c r="I1311" i="6" a="1"/>
  <c r="I1311" i="6" s="1"/>
  <c r="I1312" i="6" a="1"/>
  <c r="I1312" i="6" s="1"/>
  <c r="I1313" i="6" a="1"/>
  <c r="I1313" i="6"/>
  <c r="I1314" i="6" a="1"/>
  <c r="I1314" i="6" s="1"/>
  <c r="I1315" i="6" a="1"/>
  <c r="I1315" i="6" s="1"/>
  <c r="I1316" i="6" a="1"/>
  <c r="I1316" i="6" s="1"/>
  <c r="I1317" i="6" a="1"/>
  <c r="I1317" i="6" s="1"/>
  <c r="I1318" i="6" a="1"/>
  <c r="I1318" i="6" s="1"/>
  <c r="I1319" i="6" a="1"/>
  <c r="I1319" i="6" s="1"/>
  <c r="I1320" i="6" a="1"/>
  <c r="I1320" i="6" s="1"/>
  <c r="I1321" i="6" a="1"/>
  <c r="I1321" i="6" s="1"/>
  <c r="I1322" i="6" a="1"/>
  <c r="I1322" i="6"/>
  <c r="I1323" i="6" a="1"/>
  <c r="I1323" i="6" s="1"/>
  <c r="I1324" i="6" a="1"/>
  <c r="I1324" i="6" s="1"/>
  <c r="I1325" i="6" a="1"/>
  <c r="I1325" i="6" s="1"/>
  <c r="I1326" i="6" a="1"/>
  <c r="I1326" i="6" s="1"/>
  <c r="I1327" i="6" a="1"/>
  <c r="I1327" i="6" s="1"/>
  <c r="I1328" i="6" a="1"/>
  <c r="I1328" i="6" s="1"/>
  <c r="I1329" i="6" a="1"/>
  <c r="I1329" i="6"/>
  <c r="I1330" i="6" a="1"/>
  <c r="I1330" i="6" s="1"/>
  <c r="I1331" i="6" a="1"/>
  <c r="I1331" i="6" s="1"/>
  <c r="I1332" i="6" a="1"/>
  <c r="I1332" i="6" s="1"/>
  <c r="I1333" i="6" a="1"/>
  <c r="I1333" i="6" s="1"/>
  <c r="I1334" i="6" a="1"/>
  <c r="I1334" i="6" s="1"/>
  <c r="I1335" i="6" a="1"/>
  <c r="I1335" i="6" s="1"/>
  <c r="I1336" i="6" a="1"/>
  <c r="I1336" i="6" s="1"/>
  <c r="I1337" i="6" a="1"/>
  <c r="I1337" i="6" s="1"/>
  <c r="I1338" i="6" a="1"/>
  <c r="I1338" i="6" s="1"/>
  <c r="I1339" i="6" a="1"/>
  <c r="I1339" i="6"/>
  <c r="I1340" i="6" a="1"/>
  <c r="I1340" i="6" s="1"/>
  <c r="I1341" i="6" a="1"/>
  <c r="I1341" i="6" s="1"/>
  <c r="I1342" i="6" a="1"/>
  <c r="I1342" i="6" s="1"/>
  <c r="I1343" i="6" a="1"/>
  <c r="I1343" i="6" s="1"/>
  <c r="I1344" i="6" a="1"/>
  <c r="I1344" i="6" s="1"/>
  <c r="I1345" i="6" a="1"/>
  <c r="I1345" i="6" s="1"/>
  <c r="I1346" i="6" a="1"/>
  <c r="I1346" i="6" s="1"/>
  <c r="I1347" i="6" a="1"/>
  <c r="I1347" i="6" s="1"/>
  <c r="I1348" i="6" a="1"/>
  <c r="I1348" i="6" s="1"/>
  <c r="I1349" i="6" a="1"/>
  <c r="I1349" i="6" s="1"/>
  <c r="I1350" i="6" a="1"/>
  <c r="I1350" i="6" s="1"/>
  <c r="I1351" i="6" a="1"/>
  <c r="I1351" i="6" s="1"/>
  <c r="I1352" i="6" a="1"/>
  <c r="I1352" i="6" s="1"/>
  <c r="I1353" i="6" a="1"/>
  <c r="I1353" i="6" s="1"/>
  <c r="I1354" i="6" a="1"/>
  <c r="I1354" i="6" s="1"/>
  <c r="I1355" i="6" a="1"/>
  <c r="I1355" i="6" s="1"/>
  <c r="I1356" i="6" a="1"/>
  <c r="I1356" i="6" s="1"/>
  <c r="I1357" i="6" a="1"/>
  <c r="I1357" i="6" s="1"/>
  <c r="I1358" i="6" a="1"/>
  <c r="I1358" i="6" s="1"/>
  <c r="I1359" i="6" a="1"/>
  <c r="I1359" i="6" s="1"/>
  <c r="I1360" i="6" a="1"/>
  <c r="I1360" i="6" s="1"/>
  <c r="I1361" i="6" a="1"/>
  <c r="I1361" i="6" s="1"/>
  <c r="I1362" i="6" a="1"/>
  <c r="I1362" i="6" s="1"/>
  <c r="I1363" i="6" a="1"/>
  <c r="I1363" i="6" s="1"/>
  <c r="I1364" i="6" a="1"/>
  <c r="I1364" i="6"/>
  <c r="I1365" i="6" a="1"/>
  <c r="I1365" i="6"/>
  <c r="I1366" i="6" a="1"/>
  <c r="I1366" i="6" s="1"/>
  <c r="I1367" i="6" a="1"/>
  <c r="I1367" i="6" s="1"/>
  <c r="I1368" i="6" a="1"/>
  <c r="I1368" i="6" s="1"/>
  <c r="I1369" i="6" a="1"/>
  <c r="I1369" i="6" s="1"/>
  <c r="I1370" i="6" a="1"/>
  <c r="I1370" i="6" s="1"/>
  <c r="I1371" i="6" a="1"/>
  <c r="I1371" i="6" s="1"/>
  <c r="I1372" i="6" a="1"/>
  <c r="I1372" i="6" s="1"/>
  <c r="I1373" i="6" a="1"/>
  <c r="I1373" i="6" s="1"/>
  <c r="I1374" i="6" a="1"/>
  <c r="I1374" i="6" s="1"/>
  <c r="I1375" i="6" a="1"/>
  <c r="I1375" i="6" s="1"/>
  <c r="I1376" i="6" a="1"/>
  <c r="I1376" i="6" s="1"/>
  <c r="I1377" i="6" a="1"/>
  <c r="I1377" i="6" s="1"/>
  <c r="I1378" i="6" a="1"/>
  <c r="I1378" i="6" s="1"/>
  <c r="I1379" i="6" a="1"/>
  <c r="I1379" i="6" s="1"/>
  <c r="I1380" i="6" a="1"/>
  <c r="I1380" i="6" s="1"/>
  <c r="I1381" i="6" a="1"/>
  <c r="I1381" i="6" s="1"/>
  <c r="I1382" i="6" a="1"/>
  <c r="I1382" i="6" s="1"/>
  <c r="I1383" i="6" a="1"/>
  <c r="I1383" i="6" s="1"/>
  <c r="I1384" i="6" a="1"/>
  <c r="I1384" i="6" s="1"/>
  <c r="I1385" i="6" a="1"/>
  <c r="I1385" i="6"/>
  <c r="I1386" i="6" a="1"/>
  <c r="I1386" i="6" s="1"/>
  <c r="I1387" i="6" a="1"/>
  <c r="I1387" i="6" s="1"/>
  <c r="I1388" i="6" a="1"/>
  <c r="I1388" i="6" s="1"/>
  <c r="I1389" i="6" a="1"/>
  <c r="I1389" i="6" s="1"/>
  <c r="I1390" i="6" a="1"/>
  <c r="I1390" i="6" s="1"/>
  <c r="I1391" i="6" a="1"/>
  <c r="I1391" i="6"/>
  <c r="I1392" i="6" a="1"/>
  <c r="I1392" i="6" s="1"/>
  <c r="I1393" i="6" a="1"/>
  <c r="I1393" i="6" s="1"/>
  <c r="I1394" i="6" a="1"/>
  <c r="I1394" i="6" s="1"/>
  <c r="I1395" i="6" a="1"/>
  <c r="I1395" i="6" s="1"/>
  <c r="I1396" i="6" a="1"/>
  <c r="I1396" i="6" s="1"/>
  <c r="I1397" i="6" a="1"/>
  <c r="I1397" i="6" s="1"/>
  <c r="I1398" i="6" a="1"/>
  <c r="I1398" i="6" s="1"/>
  <c r="I1399" i="6" a="1"/>
  <c r="I1399" i="6" s="1"/>
  <c r="I1400" i="6" a="1"/>
  <c r="I1400" i="6" s="1"/>
  <c r="I1401" i="6" a="1"/>
  <c r="I1401" i="6" s="1"/>
  <c r="I1402" i="6" a="1"/>
  <c r="I1402" i="6" s="1"/>
  <c r="I1403" i="6" a="1"/>
  <c r="I1403" i="6" s="1"/>
  <c r="I1404" i="6" a="1"/>
  <c r="I1404" i="6"/>
  <c r="I1405" i="6" a="1"/>
  <c r="I1405" i="6" s="1"/>
  <c r="I1406" i="6" a="1"/>
  <c r="I1406" i="6" s="1"/>
  <c r="I1407" i="6" a="1"/>
  <c r="I1407" i="6" s="1"/>
  <c r="I1408" i="6" a="1"/>
  <c r="I1408" i="6" s="1"/>
  <c r="I1409" i="6" a="1"/>
  <c r="I1409" i="6" s="1"/>
  <c r="I1410" i="6" a="1"/>
  <c r="I1410" i="6" s="1"/>
  <c r="I1411" i="6" a="1"/>
  <c r="I1411" i="6" s="1"/>
  <c r="I1412" i="6" a="1"/>
  <c r="I1412" i="6" s="1"/>
  <c r="I1413" i="6" a="1"/>
  <c r="I1413" i="6" s="1"/>
  <c r="I1414" i="6" a="1"/>
  <c r="I1414" i="6" s="1"/>
  <c r="I1415" i="6" a="1"/>
  <c r="I1415" i="6" s="1"/>
  <c r="I1416" i="6" a="1"/>
  <c r="I1416" i="6" s="1"/>
  <c r="I1417" i="6" a="1"/>
  <c r="I1417" i="6" s="1"/>
  <c r="I1418" i="6" a="1"/>
  <c r="I1418" i="6" s="1"/>
  <c r="I1419" i="6" a="1"/>
  <c r="I1419" i="6" s="1"/>
  <c r="I1420" i="6" a="1"/>
  <c r="I1420" i="6" s="1"/>
  <c r="I1421" i="6" a="1"/>
  <c r="I1421" i="6" s="1"/>
  <c r="I1422" i="6" a="1"/>
  <c r="I1422" i="6" s="1"/>
  <c r="I1423" i="6" a="1"/>
  <c r="I1423" i="6" s="1"/>
  <c r="I1424" i="6" a="1"/>
  <c r="I1424" i="6" s="1"/>
  <c r="I1425" i="6" a="1"/>
  <c r="I1425" i="6" s="1"/>
  <c r="I1426" i="6" a="1"/>
  <c r="I1426" i="6" s="1"/>
  <c r="I1427" i="6" a="1"/>
  <c r="I1427" i="6" s="1"/>
  <c r="I1428" i="6" a="1"/>
  <c r="I1428" i="6" s="1"/>
  <c r="I1429" i="6" a="1"/>
  <c r="I1429" i="6" s="1"/>
  <c r="I1430" i="6" a="1"/>
  <c r="I1430" i="6"/>
  <c r="I1431" i="6" a="1"/>
  <c r="I1431" i="6" s="1"/>
  <c r="I1432" i="6" a="1"/>
  <c r="I1432" i="6" s="1"/>
  <c r="I1433" i="6" a="1"/>
  <c r="I1433" i="6"/>
  <c r="I1434" i="6" a="1"/>
  <c r="I1434" i="6" s="1"/>
  <c r="I1435" i="6" a="1"/>
  <c r="I1435" i="6" s="1"/>
  <c r="I1436" i="6" a="1"/>
  <c r="I1436" i="6" s="1"/>
  <c r="I1437" i="6" a="1"/>
  <c r="I1437" i="6" s="1"/>
  <c r="I1438" i="6" a="1"/>
  <c r="I1438" i="6" s="1"/>
  <c r="I1439" i="6" a="1"/>
  <c r="I1439" i="6" s="1"/>
  <c r="I1440" i="6" a="1"/>
  <c r="I1440" i="6"/>
  <c r="I1441" i="6" a="1"/>
  <c r="I1441" i="6" s="1"/>
  <c r="I1442" i="6" a="1"/>
  <c r="I1442" i="6" s="1"/>
  <c r="I1443" i="6" a="1"/>
  <c r="I1443" i="6" s="1"/>
  <c r="I1444" i="6" a="1"/>
  <c r="I1444" i="6" s="1"/>
  <c r="I1445" i="6" a="1"/>
  <c r="I1445" i="6" s="1"/>
  <c r="I1446" i="6" a="1"/>
  <c r="I1446" i="6" s="1"/>
  <c r="I1447" i="6" a="1"/>
  <c r="I1447" i="6" s="1"/>
  <c r="I1448" i="6" a="1"/>
  <c r="I1448" i="6" s="1"/>
  <c r="I1449" i="6" a="1"/>
  <c r="I1449" i="6"/>
  <c r="I1450" i="6" a="1"/>
  <c r="I1450" i="6" s="1"/>
  <c r="I1451" i="6" a="1"/>
  <c r="I1451" i="6" s="1"/>
  <c r="I1452" i="6" a="1"/>
  <c r="I1452" i="6" s="1"/>
  <c r="I1453" i="6" a="1"/>
  <c r="I1453" i="6" s="1"/>
  <c r="I1454" i="6" a="1"/>
  <c r="I1454" i="6" s="1"/>
  <c r="I1455" i="6" a="1"/>
  <c r="I1455" i="6" s="1"/>
  <c r="I1456" i="6" a="1"/>
  <c r="I1456" i="6" s="1"/>
  <c r="I1457" i="6" a="1"/>
  <c r="I1457" i="6"/>
  <c r="I1458" i="6" a="1"/>
  <c r="I1458" i="6" s="1"/>
  <c r="I1459" i="6" a="1"/>
  <c r="I1459" i="6"/>
  <c r="I1460" i="6" a="1"/>
  <c r="I1460" i="6" s="1"/>
  <c r="I1461" i="6" a="1"/>
  <c r="I1461" i="6" s="1"/>
  <c r="I1462" i="6" a="1"/>
  <c r="I1462" i="6" s="1"/>
  <c r="I1463" i="6" a="1"/>
  <c r="I1463" i="6" s="1"/>
  <c r="I1464" i="6" a="1"/>
  <c r="I1464" i="6" s="1"/>
  <c r="I1465" i="6" a="1"/>
  <c r="I1465" i="6" s="1"/>
  <c r="I1466" i="6" a="1"/>
  <c r="I1466" i="6" s="1"/>
  <c r="I1467" i="6" a="1"/>
  <c r="I1467" i="6" s="1"/>
  <c r="I1468" i="6" a="1"/>
  <c r="I1468" i="6" s="1"/>
  <c r="I1469" i="6" a="1"/>
  <c r="I1469" i="6" s="1"/>
  <c r="I1470" i="6" a="1"/>
  <c r="I1470" i="6" s="1"/>
  <c r="I1471" i="6" a="1"/>
  <c r="I1471" i="6" s="1"/>
  <c r="I2" i="6" a="1"/>
  <c r="I2" i="6" s="1"/>
  <c r="F4" i="7" a="1"/>
  <c r="F4" i="7" s="1"/>
  <c r="F5" i="7" a="1"/>
  <c r="F5" i="7" s="1"/>
  <c r="F6" i="7" a="1"/>
  <c r="F6" i="7" s="1"/>
  <c r="F7" i="7" a="1"/>
  <c r="F7" i="7" s="1"/>
  <c r="F8" i="7" a="1"/>
  <c r="F8" i="7" s="1"/>
  <c r="F9" i="7" a="1"/>
  <c r="F9" i="7" s="1"/>
  <c r="F10" i="7" a="1"/>
  <c r="F10" i="7" s="1"/>
  <c r="F11" i="7" a="1"/>
  <c r="F11" i="7" s="1"/>
  <c r="F12" i="7" a="1"/>
  <c r="F12" i="7" s="1"/>
  <c r="F13" i="7" a="1"/>
  <c r="F13" i="7" s="1"/>
  <c r="F14" i="7" a="1"/>
  <c r="F14" i="7"/>
  <c r="F15" i="7" a="1"/>
  <c r="F15" i="7" s="1"/>
  <c r="F16" i="7" a="1"/>
  <c r="F16" i="7" s="1"/>
  <c r="F17" i="7" a="1"/>
  <c r="F17" i="7" s="1"/>
  <c r="F18" i="7" a="1"/>
  <c r="F18" i="7" s="1"/>
  <c r="F19" i="7" a="1"/>
  <c r="F19" i="7" s="1"/>
  <c r="F20" i="7" a="1"/>
  <c r="F20" i="7" s="1"/>
  <c r="F21" i="7" a="1"/>
  <c r="F21" i="7" s="1"/>
  <c r="F22" i="7" a="1"/>
  <c r="F22" i="7" s="1"/>
  <c r="F23" i="7" a="1"/>
  <c r="F23" i="7" s="1"/>
  <c r="F24" i="7" a="1"/>
  <c r="F24" i="7" s="1"/>
  <c r="F25" i="7" a="1"/>
  <c r="F25" i="7" s="1"/>
  <c r="F26" i="7" a="1"/>
  <c r="F26" i="7" s="1"/>
  <c r="F27" i="7" a="1"/>
  <c r="F27" i="7" s="1"/>
  <c r="F28" i="7" a="1"/>
  <c r="F28" i="7" s="1"/>
  <c r="F29" i="7" a="1"/>
  <c r="F29" i="7" s="1"/>
  <c r="F30" i="7" a="1"/>
  <c r="F30" i="7"/>
  <c r="F31" i="7" a="1"/>
  <c r="F31" i="7" s="1"/>
  <c r="F32" i="7" a="1"/>
  <c r="F32" i="7"/>
  <c r="F33" i="7" a="1"/>
  <c r="F33" i="7"/>
  <c r="F34" i="7" a="1"/>
  <c r="F34" i="7" s="1"/>
  <c r="F35" i="7" a="1"/>
  <c r="F35" i="7"/>
  <c r="F36" i="7" a="1"/>
  <c r="F36" i="7" s="1"/>
  <c r="F37" i="7" a="1"/>
  <c r="F37" i="7" s="1"/>
  <c r="F38" i="7" a="1"/>
  <c r="F38" i="7" s="1"/>
  <c r="F39" i="7" a="1"/>
  <c r="F39" i="7" s="1"/>
  <c r="F40" i="7" a="1"/>
  <c r="F40" i="7" s="1"/>
  <c r="F41" i="7" a="1"/>
  <c r="F41" i="7" s="1"/>
  <c r="F42" i="7" a="1"/>
  <c r="F42" i="7"/>
  <c r="F43" i="7" a="1"/>
  <c r="F43" i="7" s="1"/>
  <c r="F44" i="7" a="1"/>
  <c r="F44" i="7" s="1"/>
  <c r="F45" i="7" a="1"/>
  <c r="F45" i="7" s="1"/>
  <c r="F46" i="7" a="1"/>
  <c r="F46" i="7" s="1"/>
  <c r="F47" i="7" a="1"/>
  <c r="F47" i="7" s="1"/>
  <c r="F48" i="7" a="1"/>
  <c r="F48" i="7" s="1"/>
  <c r="F49" i="7" a="1"/>
  <c r="F49" i="7" s="1"/>
  <c r="F50" i="7" a="1"/>
  <c r="F50" i="7"/>
  <c r="F51" i="7" a="1"/>
  <c r="F51" i="7" s="1"/>
  <c r="F52" i="7" a="1"/>
  <c r="F52" i="7" s="1"/>
  <c r="F53" i="7" a="1"/>
  <c r="F53" i="7" s="1"/>
  <c r="F54" i="7" a="1"/>
  <c r="F54" i="7" s="1"/>
  <c r="F55" i="7" a="1"/>
  <c r="F55" i="7" s="1"/>
  <c r="F56" i="7" a="1"/>
  <c r="F56" i="7" s="1"/>
  <c r="F57" i="7" a="1"/>
  <c r="F57" i="7" s="1"/>
  <c r="F58" i="7" a="1"/>
  <c r="F58" i="7" s="1"/>
  <c r="F59" i="7" a="1"/>
  <c r="F59" i="7" s="1"/>
  <c r="F60" i="7" a="1"/>
  <c r="F60" i="7"/>
  <c r="F61" i="7" a="1"/>
  <c r="F61" i="7" s="1"/>
  <c r="F62" i="7" a="1"/>
  <c r="F62" i="7" s="1"/>
  <c r="F63" i="7" a="1"/>
  <c r="F63" i="7" s="1"/>
  <c r="F64" i="7" a="1"/>
  <c r="F64" i="7" s="1"/>
  <c r="F65" i="7" a="1"/>
  <c r="F65" i="7"/>
  <c r="F66" i="7" a="1"/>
  <c r="F66" i="7" s="1"/>
  <c r="F67" i="7" a="1"/>
  <c r="F67" i="7" s="1"/>
  <c r="F68" i="7" a="1"/>
  <c r="F68" i="7" s="1"/>
  <c r="F69" i="7" a="1"/>
  <c r="F69" i="7" s="1"/>
  <c r="F70" i="7" a="1"/>
  <c r="F70" i="7" s="1"/>
  <c r="F71" i="7" a="1"/>
  <c r="F71" i="7" s="1"/>
  <c r="F72" i="7" a="1"/>
  <c r="F72" i="7" s="1"/>
  <c r="F73" i="7" a="1"/>
  <c r="F73" i="7" s="1"/>
  <c r="F74" i="7" a="1"/>
  <c r="F74" i="7"/>
  <c r="F75" i="7" a="1"/>
  <c r="F75" i="7" s="1"/>
  <c r="F76" i="7" a="1"/>
  <c r="F76" i="7" s="1"/>
  <c r="F77" i="7" a="1"/>
  <c r="F77" i="7" s="1"/>
  <c r="F78" i="7" a="1"/>
  <c r="F78" i="7" s="1"/>
  <c r="F79" i="7" a="1"/>
  <c r="F79" i="7" s="1"/>
  <c r="F80" i="7" a="1"/>
  <c r="F80" i="7" s="1"/>
  <c r="F81" i="7" a="1"/>
  <c r="F81" i="7" s="1"/>
  <c r="F82" i="7" a="1"/>
  <c r="F82" i="7" s="1"/>
  <c r="F83" i="7" a="1"/>
  <c r="F83" i="7" s="1"/>
  <c r="F84" i="7" a="1"/>
  <c r="F84" i="7" s="1"/>
  <c r="F85" i="7" a="1"/>
  <c r="F85" i="7"/>
  <c r="F86" i="7" a="1"/>
  <c r="F86" i="7"/>
  <c r="F87" i="7" a="1"/>
  <c r="F87" i="7" s="1"/>
  <c r="F88" i="7" a="1"/>
  <c r="F88" i="7" s="1"/>
  <c r="F89" i="7" a="1"/>
  <c r="F89" i="7" s="1"/>
  <c r="F90" i="7" a="1"/>
  <c r="F90" i="7" s="1"/>
  <c r="F91" i="7" a="1"/>
  <c r="F91" i="7" s="1"/>
  <c r="F92" i="7" a="1"/>
  <c r="F92" i="7" s="1"/>
  <c r="F93" i="7" a="1"/>
  <c r="F93" i="7" s="1"/>
  <c r="F94" i="7" a="1"/>
  <c r="F94" i="7" s="1"/>
  <c r="F95" i="7" a="1"/>
  <c r="F95" i="7" s="1"/>
  <c r="F96" i="7" a="1"/>
  <c r="F96" i="7"/>
  <c r="F97" i="7" a="1"/>
  <c r="F97" i="7" s="1"/>
  <c r="F98" i="7" a="1"/>
  <c r="F98" i="7" s="1"/>
  <c r="F99" i="7" a="1"/>
  <c r="F99" i="7" s="1"/>
  <c r="F100" i="7" a="1"/>
  <c r="F100" i="7" s="1"/>
  <c r="F101" i="7" a="1"/>
  <c r="F101" i="7" s="1"/>
  <c r="F102" i="7" a="1"/>
  <c r="F102" i="7" s="1"/>
  <c r="F103" i="7" a="1"/>
  <c r="F103" i="7" s="1"/>
  <c r="F104" i="7" a="1"/>
  <c r="F104" i="7"/>
  <c r="F105" i="7" a="1"/>
  <c r="F105" i="7" s="1"/>
  <c r="F106" i="7" a="1"/>
  <c r="F106" i="7" s="1"/>
  <c r="F107" i="7" a="1"/>
  <c r="F107" i="7" s="1"/>
  <c r="F108" i="7" a="1"/>
  <c r="F108" i="7" s="1"/>
  <c r="F109" i="7" a="1"/>
  <c r="F109" i="7" s="1"/>
  <c r="F110" i="7" a="1"/>
  <c r="F110" i="7" s="1"/>
  <c r="F111" i="7" a="1"/>
  <c r="F111" i="7"/>
  <c r="F112" i="7" a="1"/>
  <c r="F112" i="7" s="1"/>
  <c r="F113" i="7" a="1"/>
  <c r="F113" i="7"/>
  <c r="F114" i="7" a="1"/>
  <c r="F114" i="7"/>
  <c r="F115" i="7" a="1"/>
  <c r="F115" i="7" s="1"/>
  <c r="F116" i="7" a="1"/>
  <c r="F116" i="7" s="1"/>
  <c r="F117" i="7" a="1"/>
  <c r="F117" i="7" s="1"/>
  <c r="F118" i="7" a="1"/>
  <c r="F118" i="7" s="1"/>
  <c r="F119" i="7" a="1"/>
  <c r="F119" i="7" s="1"/>
  <c r="F120" i="7" a="1"/>
  <c r="F120" i="7" s="1"/>
  <c r="F121" i="7" a="1"/>
  <c r="F121" i="7" s="1"/>
  <c r="F122" i="7" a="1"/>
  <c r="F122" i="7"/>
  <c r="F123" i="7" a="1"/>
  <c r="F123" i="7" s="1"/>
  <c r="F124" i="7" a="1"/>
  <c r="F124" i="7" s="1"/>
  <c r="F125" i="7" a="1"/>
  <c r="F125" i="7" s="1"/>
  <c r="F126" i="7" a="1"/>
  <c r="F126" i="7" s="1"/>
  <c r="F127" i="7" a="1"/>
  <c r="F127" i="7" s="1"/>
  <c r="F128" i="7" a="1"/>
  <c r="F128" i="7" s="1"/>
  <c r="F129" i="7" a="1"/>
  <c r="F129" i="7" s="1"/>
  <c r="F130" i="7" a="1"/>
  <c r="F130" i="7" s="1"/>
  <c r="F131" i="7" a="1"/>
  <c r="F131" i="7"/>
  <c r="F132" i="7" a="1"/>
  <c r="F132" i="7" s="1"/>
  <c r="F133" i="7" a="1"/>
  <c r="F133" i="7" s="1"/>
  <c r="F134" i="7" a="1"/>
  <c r="F134" i="7" s="1"/>
  <c r="F135" i="7" a="1"/>
  <c r="F135" i="7" s="1"/>
  <c r="F136" i="7" a="1"/>
  <c r="F136" i="7" s="1"/>
  <c r="F137" i="7" a="1"/>
  <c r="F137" i="7"/>
  <c r="F138" i="7" a="1"/>
  <c r="F138" i="7"/>
  <c r="F139" i="7" a="1"/>
  <c r="F139" i="7" s="1"/>
  <c r="F140" i="7" a="1"/>
  <c r="F140" i="7" s="1"/>
  <c r="F141" i="7" a="1"/>
  <c r="F141" i="7" s="1"/>
  <c r="F142" i="7" a="1"/>
  <c r="F142" i="7" s="1"/>
  <c r="F143" i="7" a="1"/>
  <c r="F143" i="7"/>
  <c r="F144" i="7" a="1"/>
  <c r="F144" i="7"/>
  <c r="F145" i="7" a="1"/>
  <c r="F145" i="7"/>
  <c r="F146" i="7" a="1"/>
  <c r="F146" i="7"/>
  <c r="F147" i="7" a="1"/>
  <c r="F147" i="7" s="1"/>
  <c r="F148" i="7" a="1"/>
  <c r="F148" i="7" s="1"/>
  <c r="F149" i="7" a="1"/>
  <c r="F149" i="7" s="1"/>
  <c r="F150" i="7" a="1"/>
  <c r="F150" i="7" s="1"/>
  <c r="F151" i="7" a="1"/>
  <c r="F151" i="7" s="1"/>
  <c r="F152" i="7" a="1"/>
  <c r="F152" i="7" s="1"/>
  <c r="F153" i="7" a="1"/>
  <c r="F153" i="7"/>
  <c r="F154" i="7" a="1"/>
  <c r="F154" i="7" s="1"/>
  <c r="F155" i="7" a="1"/>
  <c r="F155" i="7" s="1"/>
  <c r="F156" i="7" a="1"/>
  <c r="F156" i="7"/>
  <c r="F157" i="7" a="1"/>
  <c r="F157" i="7" s="1"/>
  <c r="F158" i="7" a="1"/>
  <c r="F158" i="7" s="1"/>
  <c r="F159" i="7" a="1"/>
  <c r="F159" i="7" s="1"/>
  <c r="F160" i="7" a="1"/>
  <c r="F160" i="7" s="1"/>
  <c r="F161" i="7" a="1"/>
  <c r="F161" i="7" s="1"/>
  <c r="F162" i="7" a="1"/>
  <c r="F162" i="7"/>
  <c r="F163" i="7" a="1"/>
  <c r="F163" i="7"/>
  <c r="F164" i="7" a="1"/>
  <c r="F164" i="7" s="1"/>
  <c r="F165" i="7" a="1"/>
  <c r="F165" i="7" s="1"/>
  <c r="F166" i="7" a="1"/>
  <c r="F166" i="7" s="1"/>
  <c r="F167" i="7" a="1"/>
  <c r="F167" i="7" s="1"/>
  <c r="F168" i="7" a="1"/>
  <c r="F168" i="7" s="1"/>
  <c r="F169" i="7" a="1"/>
  <c r="F169" i="7" s="1"/>
  <c r="F170" i="7" a="1"/>
  <c r="F170" i="7"/>
  <c r="F171" i="7" a="1"/>
  <c r="F171" i="7" s="1"/>
  <c r="F172" i="7" a="1"/>
  <c r="F172" i="7" s="1"/>
  <c r="F173" i="7" a="1"/>
  <c r="F173" i="7" s="1"/>
  <c r="F174" i="7" a="1"/>
  <c r="F174" i="7"/>
  <c r="F175" i="7" a="1"/>
  <c r="F175" i="7" s="1"/>
  <c r="F176" i="7" a="1"/>
  <c r="F176" i="7" s="1"/>
  <c r="F177" i="7" a="1"/>
  <c r="F177" i="7" s="1"/>
  <c r="F178" i="7" a="1"/>
  <c r="F178" i="7" s="1"/>
  <c r="F179" i="7" a="1"/>
  <c r="F179" i="7" s="1"/>
  <c r="F180" i="7" a="1"/>
  <c r="F180" i="7" s="1"/>
  <c r="F181" i="7" a="1"/>
  <c r="F181" i="7"/>
  <c r="F182" i="7" a="1"/>
  <c r="F182" i="7" s="1"/>
  <c r="F183" i="7" a="1"/>
  <c r="F183" i="7" s="1"/>
  <c r="F184" i="7" a="1"/>
  <c r="F184" i="7" s="1"/>
  <c r="F185" i="7" a="1"/>
  <c r="F185" i="7" s="1"/>
  <c r="F186" i="7" a="1"/>
  <c r="F186" i="7" s="1"/>
  <c r="F187" i="7" a="1"/>
  <c r="F187" i="7" s="1"/>
  <c r="F188" i="7" a="1"/>
  <c r="F188" i="7" s="1"/>
  <c r="F189" i="7" a="1"/>
  <c r="F189" i="7" s="1"/>
  <c r="F190" i="7" a="1"/>
  <c r="F190" i="7" s="1"/>
  <c r="F191" i="7" a="1"/>
  <c r="F191" i="7" s="1"/>
  <c r="F192" i="7" a="1"/>
  <c r="F192" i="7" s="1"/>
  <c r="F193" i="7" a="1"/>
  <c r="F193" i="7" s="1"/>
  <c r="F194" i="7" a="1"/>
  <c r="F194" i="7" s="1"/>
  <c r="F195" i="7" a="1"/>
  <c r="F195" i="7" s="1"/>
  <c r="F196" i="7" a="1"/>
  <c r="F196" i="7" s="1"/>
  <c r="F197" i="7" a="1"/>
  <c r="F197" i="7" s="1"/>
  <c r="F198" i="7" a="1"/>
  <c r="F198" i="7" s="1"/>
  <c r="F199" i="7" a="1"/>
  <c r="F199" i="7" s="1"/>
  <c r="F200" i="7" a="1"/>
  <c r="F200" i="7" s="1"/>
  <c r="F201" i="7" a="1"/>
  <c r="F201" i="7"/>
  <c r="F202" i="7" a="1"/>
  <c r="F202" i="7" s="1"/>
  <c r="F203" i="7" a="1"/>
  <c r="F203" i="7" s="1"/>
  <c r="F204" i="7" a="1"/>
  <c r="F204" i="7" s="1"/>
  <c r="F205" i="7" a="1"/>
  <c r="F205" i="7"/>
  <c r="F206" i="7" a="1"/>
  <c r="F206" i="7" s="1"/>
  <c r="F207" i="7" a="1"/>
  <c r="F207" i="7" s="1"/>
  <c r="F208" i="7" a="1"/>
  <c r="F208" i="7" s="1"/>
  <c r="F209" i="7" a="1"/>
  <c r="F209" i="7"/>
  <c r="F210" i="7" a="1"/>
  <c r="F210" i="7"/>
  <c r="F211" i="7" a="1"/>
  <c r="F211" i="7" s="1"/>
  <c r="F212" i="7" a="1"/>
  <c r="F212" i="7" s="1"/>
  <c r="F213" i="7" a="1"/>
  <c r="F213" i="7" s="1"/>
  <c r="F214" i="7" a="1"/>
  <c r="F214" i="7" s="1"/>
  <c r="F215" i="7" a="1"/>
  <c r="F215" i="7" s="1"/>
  <c r="F216" i="7" a="1"/>
  <c r="F216" i="7" s="1"/>
  <c r="F217" i="7" a="1"/>
  <c r="F217" i="7" s="1"/>
  <c r="F218" i="7" a="1"/>
  <c r="F218" i="7" s="1"/>
  <c r="F219" i="7" a="1"/>
  <c r="F219" i="7"/>
  <c r="F220" i="7" a="1"/>
  <c r="F220" i="7" s="1"/>
  <c r="F221" i="7" a="1"/>
  <c r="F221" i="7" s="1"/>
  <c r="F222" i="7" a="1"/>
  <c r="F222" i="7" s="1"/>
  <c r="F223" i="7" a="1"/>
  <c r="F223" i="7" s="1"/>
  <c r="F224" i="7" a="1"/>
  <c r="F224" i="7" s="1"/>
  <c r="F225" i="7" a="1"/>
  <c r="F225" i="7" s="1"/>
  <c r="F226" i="7" a="1"/>
  <c r="F226" i="7" s="1"/>
  <c r="F227" i="7" a="1"/>
  <c r="F227" i="7" s="1"/>
  <c r="F228" i="7" a="1"/>
  <c r="F228" i="7"/>
  <c r="F229" i="7" a="1"/>
  <c r="F229" i="7" s="1"/>
  <c r="F230" i="7" a="1"/>
  <c r="F230" i="7" s="1"/>
  <c r="F231" i="7" a="1"/>
  <c r="F231" i="7" s="1"/>
  <c r="F232" i="7" a="1"/>
  <c r="F232" i="7" s="1"/>
  <c r="F233" i="7" a="1"/>
  <c r="F233" i="7"/>
  <c r="F234" i="7" a="1"/>
  <c r="F234" i="7" s="1"/>
  <c r="F235" i="7" a="1"/>
  <c r="F235" i="7" s="1"/>
  <c r="F236" i="7" a="1"/>
  <c r="F236" i="7" s="1"/>
  <c r="F237" i="7" a="1"/>
  <c r="F237" i="7" s="1"/>
  <c r="F238" i="7" a="1"/>
  <c r="F238" i="7" s="1"/>
  <c r="F239" i="7" a="1"/>
  <c r="F239" i="7" s="1"/>
  <c r="F240" i="7" a="1"/>
  <c r="F240" i="7" s="1"/>
  <c r="F241" i="7" a="1"/>
  <c r="F241" i="7" s="1"/>
  <c r="F242" i="7" a="1"/>
  <c r="F242" i="7" s="1"/>
  <c r="F243" i="7" a="1"/>
  <c r="F243" i="7" s="1"/>
  <c r="F244" i="7" a="1"/>
  <c r="F244" i="7" s="1"/>
  <c r="F245" i="7" a="1"/>
  <c r="F245" i="7" s="1"/>
  <c r="F246" i="7" a="1"/>
  <c r="F246" i="7" s="1"/>
  <c r="F247" i="7" a="1"/>
  <c r="F247" i="7" s="1"/>
  <c r="F248" i="7" a="1"/>
  <c r="F248" i="7"/>
  <c r="F249" i="7" a="1"/>
  <c r="F249" i="7" s="1"/>
  <c r="F250" i="7" a="1"/>
  <c r="F250" i="7" s="1"/>
  <c r="F251" i="7" a="1"/>
  <c r="F251" i="7"/>
  <c r="F252" i="7" a="1"/>
  <c r="F252" i="7"/>
  <c r="F253" i="7" a="1"/>
  <c r="F253" i="7" s="1"/>
  <c r="F254" i="7" a="1"/>
  <c r="F254" i="7" s="1"/>
  <c r="F255" i="7" a="1"/>
  <c r="F255" i="7" s="1"/>
  <c r="F256" i="7" a="1"/>
  <c r="F256" i="7" s="1"/>
  <c r="F257" i="7" a="1"/>
  <c r="F257" i="7" s="1"/>
  <c r="F258" i="7" a="1"/>
  <c r="F258" i="7"/>
  <c r="F259" i="7" a="1"/>
  <c r="F259" i="7" s="1"/>
  <c r="F260" i="7" a="1"/>
  <c r="F260" i="7" s="1"/>
  <c r="F261" i="7" a="1"/>
  <c r="F261" i="7"/>
  <c r="F262" i="7" a="1"/>
  <c r="F262" i="7" s="1"/>
  <c r="F263" i="7" a="1"/>
  <c r="F263" i="7" s="1"/>
  <c r="F264" i="7" a="1"/>
  <c r="F264" i="7" s="1"/>
  <c r="F265" i="7" a="1"/>
  <c r="F265" i="7" s="1"/>
  <c r="F266" i="7" a="1"/>
  <c r="F266" i="7" s="1"/>
  <c r="F267" i="7" a="1"/>
  <c r="F267" i="7" s="1"/>
  <c r="F268" i="7" a="1"/>
  <c r="F268" i="7" s="1"/>
  <c r="F269" i="7" a="1"/>
  <c r="F269" i="7" s="1"/>
  <c r="F270" i="7" a="1"/>
  <c r="F270" i="7" s="1"/>
  <c r="F271" i="7" a="1"/>
  <c r="F271" i="7" s="1"/>
  <c r="F272" i="7" a="1"/>
  <c r="F272" i="7" s="1"/>
  <c r="F273" i="7" a="1"/>
  <c r="F273" i="7"/>
  <c r="F274" i="7" a="1"/>
  <c r="F274" i="7" s="1"/>
  <c r="F275" i="7" a="1"/>
  <c r="F275" i="7" s="1"/>
  <c r="F276" i="7" a="1"/>
  <c r="F276" i="7" s="1"/>
  <c r="F277" i="7" a="1"/>
  <c r="F277" i="7" s="1"/>
  <c r="F278" i="7" a="1"/>
  <c r="F278" i="7" s="1"/>
  <c r="F279" i="7" a="1"/>
  <c r="F279" i="7" s="1"/>
  <c r="F280" i="7" a="1"/>
  <c r="F280" i="7" s="1"/>
  <c r="F281" i="7" a="1"/>
  <c r="F281" i="7" s="1"/>
  <c r="F282" i="7" a="1"/>
  <c r="F282" i="7"/>
  <c r="F283" i="7" a="1"/>
  <c r="F283" i="7" s="1"/>
  <c r="F284" i="7" a="1"/>
  <c r="F284" i="7" s="1"/>
  <c r="F285" i="7" a="1"/>
  <c r="F285" i="7" s="1"/>
  <c r="F286" i="7" a="1"/>
  <c r="F286" i="7" s="1"/>
  <c r="F287" i="7" a="1"/>
  <c r="F287" i="7" s="1"/>
  <c r="F288" i="7" a="1"/>
  <c r="F288" i="7" s="1"/>
  <c r="F289" i="7" a="1"/>
  <c r="F289" i="7" s="1"/>
  <c r="F290" i="7" a="1"/>
  <c r="F290" i="7"/>
  <c r="F291" i="7" a="1"/>
  <c r="F291" i="7" s="1"/>
  <c r="F292" i="7" a="1"/>
  <c r="F292" i="7" s="1"/>
  <c r="F293" i="7" a="1"/>
  <c r="F293" i="7"/>
  <c r="F294" i="7" a="1"/>
  <c r="F294" i="7" s="1"/>
  <c r="F295" i="7" a="1"/>
  <c r="F295" i="7" s="1"/>
  <c r="F296" i="7" a="1"/>
  <c r="F296" i="7" s="1"/>
  <c r="F297" i="7" a="1"/>
  <c r="F297" i="7" s="1"/>
  <c r="F298" i="7" a="1"/>
  <c r="F298" i="7" s="1"/>
  <c r="F299" i="7" a="1"/>
  <c r="F299" i="7" s="1"/>
  <c r="F300" i="7" a="1"/>
  <c r="F300" i="7" s="1"/>
  <c r="F301" i="7" a="1"/>
  <c r="F301" i="7"/>
  <c r="F302" i="7" a="1"/>
  <c r="F302" i="7" s="1"/>
  <c r="F303" i="7" a="1"/>
  <c r="F303" i="7" s="1"/>
  <c r="F304" i="7" a="1"/>
  <c r="F304" i="7" s="1"/>
  <c r="F305" i="7" a="1"/>
  <c r="F305" i="7" s="1"/>
  <c r="F306" i="7" a="1"/>
  <c r="F306" i="7" s="1"/>
  <c r="F307" i="7" a="1"/>
  <c r="F307" i="7" s="1"/>
  <c r="F308" i="7" a="1"/>
  <c r="F308" i="7" s="1"/>
  <c r="F309" i="7" a="1"/>
  <c r="F309" i="7" s="1"/>
  <c r="F310" i="7" a="1"/>
  <c r="F310" i="7" s="1"/>
  <c r="F311" i="7" a="1"/>
  <c r="F311" i="7"/>
  <c r="F312" i="7" a="1"/>
  <c r="F312" i="7" s="1"/>
  <c r="F313" i="7" a="1"/>
  <c r="F313" i="7" s="1"/>
  <c r="F314" i="7" a="1"/>
  <c r="F314" i="7" s="1"/>
  <c r="F315" i="7" a="1"/>
  <c r="F315" i="7" s="1"/>
  <c r="F316" i="7" a="1"/>
  <c r="F316" i="7" s="1"/>
  <c r="F317" i="7" a="1"/>
  <c r="F317" i="7" s="1"/>
  <c r="F318" i="7" a="1"/>
  <c r="F318" i="7" s="1"/>
  <c r="F319" i="7" a="1"/>
  <c r="F319" i="7"/>
  <c r="F320" i="7" a="1"/>
  <c r="F320" i="7" s="1"/>
  <c r="F321" i="7" a="1"/>
  <c r="F321" i="7" s="1"/>
  <c r="F322" i="7" a="1"/>
  <c r="F322" i="7" s="1"/>
  <c r="F323" i="7" a="1"/>
  <c r="F323" i="7" s="1"/>
  <c r="F324" i="7" a="1"/>
  <c r="F324" i="7"/>
  <c r="F325" i="7" a="1"/>
  <c r="F325" i="7" s="1"/>
  <c r="F326" i="7" a="1"/>
  <c r="F326" i="7" s="1"/>
  <c r="F327" i="7" a="1"/>
  <c r="F327" i="7" s="1"/>
  <c r="F328" i="7" a="1"/>
  <c r="F328" i="7" s="1"/>
  <c r="F329" i="7" a="1"/>
  <c r="F329" i="7" s="1"/>
  <c r="F330" i="7" a="1"/>
  <c r="F330" i="7" s="1"/>
  <c r="F331" i="7" a="1"/>
  <c r="F331" i="7" s="1"/>
  <c r="F332" i="7" a="1"/>
  <c r="F332" i="7" s="1"/>
  <c r="F333" i="7" a="1"/>
  <c r="F333" i="7" s="1"/>
  <c r="F334" i="7" a="1"/>
  <c r="F334" i="7" s="1"/>
  <c r="F335" i="7" a="1"/>
  <c r="F335" i="7" s="1"/>
  <c r="F336" i="7" a="1"/>
  <c r="F336" i="7" s="1"/>
  <c r="F337" i="7" a="1"/>
  <c r="F337" i="7" s="1"/>
  <c r="F338" i="7" a="1"/>
  <c r="F338" i="7" s="1"/>
  <c r="F339" i="7" a="1"/>
  <c r="F339" i="7" s="1"/>
  <c r="F340" i="7" a="1"/>
  <c r="F340" i="7" s="1"/>
  <c r="F341" i="7" a="1"/>
  <c r="F341" i="7"/>
  <c r="F342" i="7" a="1"/>
  <c r="F342" i="7" s="1"/>
  <c r="F343" i="7" a="1"/>
  <c r="F343" i="7" s="1"/>
  <c r="F344" i="7" a="1"/>
  <c r="F344" i="7" s="1"/>
  <c r="F345" i="7" a="1"/>
  <c r="F345" i="7" s="1"/>
  <c r="F346" i="7" a="1"/>
  <c r="F346" i="7" s="1"/>
  <c r="F347" i="7" a="1"/>
  <c r="F347" i="7" s="1"/>
  <c r="F348" i="7" a="1"/>
  <c r="F348" i="7" s="1"/>
  <c r="F349" i="7" a="1"/>
  <c r="F349" i="7" s="1"/>
  <c r="F350" i="7" a="1"/>
  <c r="F350" i="7" s="1"/>
  <c r="F351" i="7" a="1"/>
  <c r="F351" i="7"/>
  <c r="F352" i="7" a="1"/>
  <c r="F352" i="7" s="1"/>
  <c r="F353" i="7" a="1"/>
  <c r="F353" i="7" s="1"/>
  <c r="F354" i="7" a="1"/>
  <c r="F354" i="7" s="1"/>
  <c r="F355" i="7" a="1"/>
  <c r="F355" i="7" s="1"/>
  <c r="F356" i="7" a="1"/>
  <c r="F356" i="7" s="1"/>
  <c r="F357" i="7" a="1"/>
  <c r="F357" i="7" s="1"/>
  <c r="F358" i="7" a="1"/>
  <c r="F358" i="7" s="1"/>
  <c r="F359" i="7" a="1"/>
  <c r="F359" i="7" s="1"/>
  <c r="F360" i="7" a="1"/>
  <c r="F360" i="7" s="1"/>
  <c r="F361" i="7" a="1"/>
  <c r="F361" i="7" s="1"/>
  <c r="F362" i="7" a="1"/>
  <c r="F362" i="7" s="1"/>
  <c r="F363" i="7" a="1"/>
  <c r="F363" i="7" s="1"/>
  <c r="F364" i="7" a="1"/>
  <c r="F364" i="7" s="1"/>
  <c r="F365" i="7" a="1"/>
  <c r="F365" i="7" s="1"/>
  <c r="F366" i="7" a="1"/>
  <c r="F366" i="7"/>
  <c r="F367" i="7" a="1"/>
  <c r="F367" i="7" s="1"/>
  <c r="F368" i="7" a="1"/>
  <c r="F368" i="7"/>
  <c r="F369" i="7" a="1"/>
  <c r="F369" i="7" s="1"/>
  <c r="F370" i="7" a="1"/>
  <c r="F370" i="7" s="1"/>
  <c r="F371" i="7" a="1"/>
  <c r="F371" i="7" s="1"/>
  <c r="F372" i="7" a="1"/>
  <c r="F372" i="7" s="1"/>
  <c r="F373" i="7" a="1"/>
  <c r="F373" i="7"/>
  <c r="F374" i="7" a="1"/>
  <c r="F374" i="7" s="1"/>
  <c r="F375" i="7" a="1"/>
  <c r="F375" i="7"/>
  <c r="F376" i="7" a="1"/>
  <c r="F376" i="7" s="1"/>
  <c r="F377" i="7" a="1"/>
  <c r="F377" i="7" s="1"/>
  <c r="F378" i="7" a="1"/>
  <c r="F378" i="7" s="1"/>
  <c r="F379" i="7" a="1"/>
  <c r="F379" i="7" s="1"/>
  <c r="F380" i="7" a="1"/>
  <c r="F380" i="7"/>
  <c r="F381" i="7" a="1"/>
  <c r="F381" i="7" s="1"/>
  <c r="F382" i="7" a="1"/>
  <c r="F382" i="7" s="1"/>
  <c r="F383" i="7" a="1"/>
  <c r="F383" i="7" s="1"/>
  <c r="F384" i="7" a="1"/>
  <c r="F384" i="7" s="1"/>
  <c r="F385" i="7" a="1"/>
  <c r="F385" i="7" s="1"/>
  <c r="F386" i="7" a="1"/>
  <c r="F386" i="7" s="1"/>
  <c r="F387" i="7" a="1"/>
  <c r="F387" i="7" s="1"/>
  <c r="F388" i="7" a="1"/>
  <c r="F388" i="7" s="1"/>
  <c r="F389" i="7" a="1"/>
  <c r="F389" i="7"/>
  <c r="F390" i="7" a="1"/>
  <c r="F390" i="7" s="1"/>
  <c r="F391" i="7" a="1"/>
  <c r="F391" i="7" s="1"/>
  <c r="F392" i="7" a="1"/>
  <c r="F392" i="7" s="1"/>
  <c r="F393" i="7" a="1"/>
  <c r="F393" i="7" s="1"/>
  <c r="F394" i="7" a="1"/>
  <c r="F394" i="7" s="1"/>
  <c r="F395" i="7" a="1"/>
  <c r="F395" i="7"/>
  <c r="F396" i="7" a="1"/>
  <c r="F396" i="7" s="1"/>
  <c r="F397" i="7" a="1"/>
  <c r="F397" i="7" s="1"/>
  <c r="F398" i="7" a="1"/>
  <c r="F398" i="7" s="1"/>
  <c r="F399" i="7" a="1"/>
  <c r="F399" i="7"/>
  <c r="F400" i="7" a="1"/>
  <c r="F400" i="7" s="1"/>
  <c r="F401" i="7" a="1"/>
  <c r="F401" i="7" s="1"/>
  <c r="F402" i="7" a="1"/>
  <c r="F402" i="7" s="1"/>
  <c r="F403" i="7" a="1"/>
  <c r="F403" i="7" s="1"/>
  <c r="F404" i="7" a="1"/>
  <c r="F404" i="7" s="1"/>
  <c r="F405" i="7" a="1"/>
  <c r="F405" i="7" s="1"/>
  <c r="F406" i="7" a="1"/>
  <c r="F406" i="7" s="1"/>
  <c r="F407" i="7" a="1"/>
  <c r="F407" i="7" s="1"/>
  <c r="F408" i="7" a="1"/>
  <c r="F408" i="7" s="1"/>
  <c r="F409" i="7" a="1"/>
  <c r="F409" i="7" s="1"/>
  <c r="F410" i="7" a="1"/>
  <c r="F410" i="7" s="1"/>
  <c r="F411" i="7" a="1"/>
  <c r="F411" i="7" s="1"/>
  <c r="F412" i="7" a="1"/>
  <c r="F412" i="7" s="1"/>
  <c r="F413" i="7" a="1"/>
  <c r="F413" i="7" s="1"/>
  <c r="F414" i="7" a="1"/>
  <c r="F414" i="7"/>
  <c r="F415" i="7" a="1"/>
  <c r="F415" i="7" s="1"/>
  <c r="F416" i="7" a="1"/>
  <c r="F416" i="7" s="1"/>
  <c r="F417" i="7" a="1"/>
  <c r="F417" i="7" s="1"/>
  <c r="F418" i="7" a="1"/>
  <c r="F418" i="7" s="1"/>
  <c r="F419" i="7" a="1"/>
  <c r="F419" i="7"/>
  <c r="F420" i="7" a="1"/>
  <c r="F420" i="7" s="1"/>
  <c r="F421" i="7" a="1"/>
  <c r="F421" i="7"/>
  <c r="F422" i="7" a="1"/>
  <c r="F422" i="7" s="1"/>
  <c r="F423" i="7" a="1"/>
  <c r="F423" i="7" s="1"/>
  <c r="F424" i="7" a="1"/>
  <c r="F424" i="7" s="1"/>
  <c r="F425" i="7" a="1"/>
  <c r="F425" i="7"/>
  <c r="F426" i="7" a="1"/>
  <c r="F426" i="7" s="1"/>
  <c r="F427" i="7" a="1"/>
  <c r="F427" i="7" s="1"/>
  <c r="F428" i="7" a="1"/>
  <c r="F428" i="7" s="1"/>
  <c r="F429" i="7" a="1"/>
  <c r="F429" i="7" s="1"/>
  <c r="F430" i="7" a="1"/>
  <c r="F430" i="7" s="1"/>
  <c r="F431" i="7" a="1"/>
  <c r="F431" i="7" s="1"/>
  <c r="F432" i="7" a="1"/>
  <c r="F432" i="7" s="1"/>
  <c r="F433" i="7" a="1"/>
  <c r="F433" i="7" s="1"/>
  <c r="F434" i="7" a="1"/>
  <c r="F434" i="7" s="1"/>
  <c r="F435" i="7" a="1"/>
  <c r="F435" i="7" s="1"/>
  <c r="F436" i="7" a="1"/>
  <c r="F436" i="7" s="1"/>
  <c r="F437" i="7" a="1"/>
  <c r="F437" i="7"/>
  <c r="F438" i="7" a="1"/>
  <c r="F438" i="7" s="1"/>
  <c r="F439" i="7" a="1"/>
  <c r="F439" i="7" s="1"/>
  <c r="F440" i="7" a="1"/>
  <c r="F440" i="7" s="1"/>
  <c r="F441" i="7" a="1"/>
  <c r="F441" i="7" s="1"/>
  <c r="F442" i="7" a="1"/>
  <c r="F442" i="7" s="1"/>
  <c r="F443" i="7" a="1"/>
  <c r="F443" i="7" s="1"/>
  <c r="F444" i="7" a="1"/>
  <c r="F444" i="7" s="1"/>
  <c r="F445" i="7" a="1"/>
  <c r="F445" i="7"/>
  <c r="F446" i="7" a="1"/>
  <c r="F446" i="7" s="1"/>
  <c r="F447" i="7" a="1"/>
  <c r="F447" i="7" s="1"/>
  <c r="F448" i="7" a="1"/>
  <c r="F448" i="7" s="1"/>
  <c r="F449" i="7" a="1"/>
  <c r="F449" i="7" s="1"/>
  <c r="F450" i="7" a="1"/>
  <c r="F450" i="7" s="1"/>
  <c r="F451" i="7" a="1"/>
  <c r="F451" i="7" s="1"/>
  <c r="F452" i="7" a="1"/>
  <c r="F452" i="7"/>
  <c r="F453" i="7" a="1"/>
  <c r="F453" i="7" s="1"/>
  <c r="F454" i="7" a="1"/>
  <c r="F454" i="7" s="1"/>
  <c r="F455" i="7" a="1"/>
  <c r="F455" i="7" s="1"/>
  <c r="F456" i="7" a="1"/>
  <c r="F456" i="7" s="1"/>
  <c r="F457" i="7" a="1"/>
  <c r="F457" i="7" s="1"/>
  <c r="F458" i="7" a="1"/>
  <c r="F458" i="7" s="1"/>
  <c r="F459" i="7" a="1"/>
  <c r="F459" i="7" s="1"/>
  <c r="F460" i="7" a="1"/>
  <c r="F460" i="7" s="1"/>
  <c r="F461" i="7" a="1"/>
  <c r="F461" i="7" s="1"/>
  <c r="F462" i="7" a="1"/>
  <c r="F462" i="7" s="1"/>
  <c r="F463" i="7" a="1"/>
  <c r="F463" i="7" s="1"/>
  <c r="F464" i="7" a="1"/>
  <c r="F464" i="7" s="1"/>
  <c r="F465" i="7" a="1"/>
  <c r="F465" i="7" s="1"/>
  <c r="F466" i="7" a="1"/>
  <c r="F466" i="7" s="1"/>
  <c r="F467" i="7" a="1"/>
  <c r="F467" i="7"/>
  <c r="F468" i="7" a="1"/>
  <c r="F468" i="7" s="1"/>
  <c r="F469" i="7" a="1"/>
  <c r="F469" i="7" s="1"/>
  <c r="F470" i="7" a="1"/>
  <c r="F470" i="7" s="1"/>
  <c r="F471" i="7" a="1"/>
  <c r="F471" i="7" s="1"/>
  <c r="F472" i="7" a="1"/>
  <c r="F472" i="7" s="1"/>
  <c r="F473" i="7" a="1"/>
  <c r="F473" i="7"/>
  <c r="F474" i="7" a="1"/>
  <c r="F474" i="7"/>
  <c r="F475" i="7" a="1"/>
  <c r="F475" i="7" s="1"/>
  <c r="F476" i="7" a="1"/>
  <c r="F476" i="7" s="1"/>
  <c r="F477" i="7" a="1"/>
  <c r="F477" i="7" s="1"/>
  <c r="F478" i="7" a="1"/>
  <c r="F478" i="7" s="1"/>
  <c r="F479" i="7" a="1"/>
  <c r="F479" i="7" s="1"/>
  <c r="F480" i="7" a="1"/>
  <c r="F480" i="7" s="1"/>
  <c r="F481" i="7" a="1"/>
  <c r="F481" i="7" s="1"/>
  <c r="F482" i="7" a="1"/>
  <c r="F482" i="7" s="1"/>
  <c r="F483" i="7" a="1"/>
  <c r="F483" i="7" s="1"/>
  <c r="F484" i="7" a="1"/>
  <c r="F484" i="7" s="1"/>
  <c r="F485" i="7" a="1"/>
  <c r="F485" i="7"/>
  <c r="F486" i="7" a="1"/>
  <c r="F486" i="7" s="1"/>
  <c r="F487" i="7" a="1"/>
  <c r="F487" i="7" s="1"/>
  <c r="F488" i="7" a="1"/>
  <c r="F488" i="7" s="1"/>
  <c r="F489" i="7" a="1"/>
  <c r="F489" i="7" s="1"/>
  <c r="F490" i="7" a="1"/>
  <c r="F490" i="7" s="1"/>
  <c r="F491" i="7" a="1"/>
  <c r="F491" i="7" s="1"/>
  <c r="F492" i="7" a="1"/>
  <c r="F492" i="7"/>
  <c r="F493" i="7" a="1"/>
  <c r="F493" i="7" s="1"/>
  <c r="F494" i="7" a="1"/>
  <c r="F494" i="7"/>
  <c r="F495" i="7" a="1"/>
  <c r="F495" i="7" s="1"/>
  <c r="F496" i="7" a="1"/>
  <c r="F496" i="7" s="1"/>
  <c r="F497" i="7" a="1"/>
  <c r="F497" i="7" s="1"/>
  <c r="F498" i="7" a="1"/>
  <c r="F498" i="7" s="1"/>
  <c r="F499" i="7" a="1"/>
  <c r="F499" i="7" s="1"/>
  <c r="F500" i="7" a="1"/>
  <c r="F500" i="7" s="1"/>
  <c r="F501" i="7" a="1"/>
  <c r="F501" i="7" s="1"/>
  <c r="F502" i="7" a="1"/>
  <c r="F502" i="7" s="1"/>
  <c r="F503" i="7" a="1"/>
  <c r="F503" i="7" s="1"/>
  <c r="F504" i="7" a="1"/>
  <c r="F504" i="7" s="1"/>
  <c r="F505" i="7" a="1"/>
  <c r="F505" i="7" s="1"/>
  <c r="F506" i="7" a="1"/>
  <c r="F506" i="7" s="1"/>
  <c r="F507" i="7" a="1"/>
  <c r="F507" i="7" s="1"/>
  <c r="F508" i="7" a="1"/>
  <c r="F508" i="7" s="1"/>
  <c r="F509" i="7" a="1"/>
  <c r="F509" i="7" s="1"/>
  <c r="F510" i="7" a="1"/>
  <c r="F510" i="7" s="1"/>
  <c r="F511" i="7" a="1"/>
  <c r="F511" i="7" s="1"/>
  <c r="F512" i="7" a="1"/>
  <c r="F512" i="7" s="1"/>
  <c r="F513" i="7" a="1"/>
  <c r="F513" i="7" s="1"/>
  <c r="F514" i="7" a="1"/>
  <c r="F514" i="7" s="1"/>
  <c r="F515" i="7" a="1"/>
  <c r="F515" i="7" s="1"/>
  <c r="F516" i="7" a="1"/>
  <c r="F516" i="7" s="1"/>
  <c r="F517" i="7" a="1"/>
  <c r="F517" i="7" s="1"/>
  <c r="F518" i="7" a="1"/>
  <c r="F518" i="7" s="1"/>
  <c r="F519" i="7" a="1"/>
  <c r="F519" i="7" s="1"/>
  <c r="F520" i="7" a="1"/>
  <c r="F520" i="7" s="1"/>
  <c r="F521" i="7" a="1"/>
  <c r="F521" i="7" s="1"/>
  <c r="F522" i="7" a="1"/>
  <c r="F522" i="7" s="1"/>
  <c r="F523" i="7" a="1"/>
  <c r="F523" i="7" s="1"/>
  <c r="F524" i="7" a="1"/>
  <c r="F524" i="7" s="1"/>
  <c r="F525" i="7" a="1"/>
  <c r="F525" i="7" s="1"/>
  <c r="F526" i="7" a="1"/>
  <c r="F526" i="7" s="1"/>
  <c r="F527" i="7" a="1"/>
  <c r="F527" i="7" s="1"/>
  <c r="F528" i="7" a="1"/>
  <c r="F528" i="7" s="1"/>
  <c r="F529" i="7" a="1"/>
  <c r="F529" i="7" s="1"/>
  <c r="F530" i="7" a="1"/>
  <c r="F530" i="7" s="1"/>
  <c r="F531" i="7" a="1"/>
  <c r="F531" i="7" s="1"/>
  <c r="F532" i="7" a="1"/>
  <c r="F532" i="7" s="1"/>
  <c r="F533" i="7" a="1"/>
  <c r="F533" i="7" s="1"/>
  <c r="F534" i="7" a="1"/>
  <c r="F534" i="7" s="1"/>
  <c r="F535" i="7" a="1"/>
  <c r="F535" i="7" s="1"/>
  <c r="F536" i="7" a="1"/>
  <c r="F536" i="7" s="1"/>
  <c r="F537" i="7" a="1"/>
  <c r="F537" i="7" s="1"/>
  <c r="F538" i="7" a="1"/>
  <c r="F538" i="7" s="1"/>
  <c r="F539" i="7" a="1"/>
  <c r="F539" i="7" s="1"/>
  <c r="F540" i="7" a="1"/>
  <c r="F540" i="7" s="1"/>
  <c r="F541" i="7" a="1"/>
  <c r="F541" i="7" s="1"/>
  <c r="F542" i="7" a="1"/>
  <c r="F542" i="7" s="1"/>
  <c r="F543" i="7" a="1"/>
  <c r="F543" i="7" s="1"/>
  <c r="F544" i="7" a="1"/>
  <c r="F544" i="7" s="1"/>
  <c r="F545" i="7" a="1"/>
  <c r="F545" i="7" s="1"/>
  <c r="F546" i="7" a="1"/>
  <c r="F546" i="7" s="1"/>
  <c r="F547" i="7" a="1"/>
  <c r="F547" i="7" s="1"/>
  <c r="F548" i="7" a="1"/>
  <c r="F548" i="7" s="1"/>
  <c r="F549" i="7" a="1"/>
  <c r="F549" i="7" s="1"/>
  <c r="F550" i="7" a="1"/>
  <c r="F550" i="7" s="1"/>
  <c r="F551" i="7" a="1"/>
  <c r="F551" i="7" s="1"/>
  <c r="F552" i="7" a="1"/>
  <c r="F552" i="7" s="1"/>
  <c r="F553" i="7" a="1"/>
  <c r="F553" i="7" s="1"/>
  <c r="F554" i="7" a="1"/>
  <c r="F554" i="7" s="1"/>
  <c r="F555" i="7" a="1"/>
  <c r="F555" i="7" s="1"/>
  <c r="F556" i="7" a="1"/>
  <c r="F556" i="7" s="1"/>
  <c r="F557" i="7" a="1"/>
  <c r="F557" i="7" s="1"/>
  <c r="F558" i="7" a="1"/>
  <c r="F558" i="7" s="1"/>
  <c r="F559" i="7" a="1"/>
  <c r="F559" i="7" s="1"/>
  <c r="F560" i="7" a="1"/>
  <c r="F560" i="7" s="1"/>
  <c r="F561" i="7" a="1"/>
  <c r="F561" i="7" s="1"/>
  <c r="F562" i="7" a="1"/>
  <c r="F562" i="7" s="1"/>
  <c r="F563" i="7" a="1"/>
  <c r="F563" i="7"/>
  <c r="F564" i="7" a="1"/>
  <c r="F564" i="7" s="1"/>
  <c r="F565" i="7" a="1"/>
  <c r="F565" i="7" s="1"/>
  <c r="F566" i="7" a="1"/>
  <c r="F566" i="7" s="1"/>
  <c r="F567" i="7" a="1"/>
  <c r="F567" i="7" s="1"/>
  <c r="F568" i="7" a="1"/>
  <c r="F568" i="7" s="1"/>
  <c r="F569" i="7" a="1"/>
  <c r="F569" i="7" s="1"/>
  <c r="F570" i="7" a="1"/>
  <c r="F570" i="7" s="1"/>
  <c r="F571" i="7" a="1"/>
  <c r="F571" i="7" s="1"/>
  <c r="F572" i="7" a="1"/>
  <c r="F572" i="7" s="1"/>
  <c r="F573" i="7" a="1"/>
  <c r="F573" i="7" s="1"/>
  <c r="F574" i="7" a="1"/>
  <c r="F574" i="7" s="1"/>
  <c r="F575" i="7" a="1"/>
  <c r="F575" i="7" s="1"/>
  <c r="F576" i="7" a="1"/>
  <c r="F576" i="7" s="1"/>
  <c r="F577" i="7" a="1"/>
  <c r="F577" i="7" s="1"/>
  <c r="F578" i="7" a="1"/>
  <c r="F578" i="7" s="1"/>
  <c r="F579" i="7" a="1"/>
  <c r="F579" i="7" s="1"/>
  <c r="F580" i="7" a="1"/>
  <c r="F580" i="7" s="1"/>
  <c r="F581" i="7" a="1"/>
  <c r="F581" i="7" s="1"/>
  <c r="F582" i="7" a="1"/>
  <c r="F582" i="7" s="1"/>
  <c r="F583" i="7" a="1"/>
  <c r="F583" i="7" s="1"/>
  <c r="F584" i="7" a="1"/>
  <c r="F584" i="7" s="1"/>
  <c r="F585" i="7" a="1"/>
  <c r="F585" i="7"/>
  <c r="F586" i="7" a="1"/>
  <c r="F586" i="7" s="1"/>
  <c r="F587" i="7" a="1"/>
  <c r="F587" i="7" s="1"/>
  <c r="F588" i="7" a="1"/>
  <c r="F588" i="7" s="1"/>
  <c r="F589" i="7" a="1"/>
  <c r="F589" i="7" s="1"/>
  <c r="F590" i="7" a="1"/>
  <c r="F590" i="7" s="1"/>
  <c r="F591" i="7" a="1"/>
  <c r="F591" i="7" s="1"/>
  <c r="F592" i="7" a="1"/>
  <c r="F592" i="7" s="1"/>
  <c r="F593" i="7" a="1"/>
  <c r="F593" i="7"/>
  <c r="F594" i="7" a="1"/>
  <c r="F594" i="7" s="1"/>
  <c r="F595" i="7" a="1"/>
  <c r="F595" i="7" s="1"/>
  <c r="F596" i="7" a="1"/>
  <c r="F596" i="7" s="1"/>
  <c r="F597" i="7" a="1"/>
  <c r="F597" i="7" s="1"/>
  <c r="F598" i="7" a="1"/>
  <c r="F598" i="7" s="1"/>
  <c r="F599" i="7" a="1"/>
  <c r="F599" i="7" s="1"/>
  <c r="F600" i="7" a="1"/>
  <c r="F600" i="7" s="1"/>
  <c r="F601" i="7" a="1"/>
  <c r="F601" i="7" s="1"/>
  <c r="F602" i="7" a="1"/>
  <c r="F602" i="7" s="1"/>
  <c r="F603" i="7" a="1"/>
  <c r="F603" i="7" s="1"/>
  <c r="F604" i="7" a="1"/>
  <c r="F604" i="7" s="1"/>
  <c r="F605" i="7" a="1"/>
  <c r="F605" i="7" s="1"/>
  <c r="F606" i="7" a="1"/>
  <c r="F606" i="7" s="1"/>
  <c r="F607" i="7" a="1"/>
  <c r="F607" i="7" s="1"/>
  <c r="F608" i="7" a="1"/>
  <c r="F608" i="7" s="1"/>
  <c r="F609" i="7" a="1"/>
  <c r="F609" i="7" s="1"/>
  <c r="F610" i="7" a="1"/>
  <c r="F610" i="7" s="1"/>
  <c r="F611" i="7" a="1"/>
  <c r="F611" i="7" s="1"/>
  <c r="F612" i="7" a="1"/>
  <c r="F612" i="7" s="1"/>
  <c r="F613" i="7" a="1"/>
  <c r="F613" i="7" s="1"/>
  <c r="F614" i="7" a="1"/>
  <c r="F614" i="7"/>
  <c r="F615" i="7" a="1"/>
  <c r="F615" i="7" s="1"/>
  <c r="F616" i="7" a="1"/>
  <c r="F616" i="7" s="1"/>
  <c r="F617" i="7" a="1"/>
  <c r="F617" i="7" s="1"/>
  <c r="F618" i="7" a="1"/>
  <c r="F618" i="7" s="1"/>
  <c r="F619" i="7" a="1"/>
  <c r="F619" i="7" s="1"/>
  <c r="F620" i="7" a="1"/>
  <c r="F620" i="7" s="1"/>
  <c r="F621" i="7" a="1"/>
  <c r="F621" i="7" s="1"/>
  <c r="F622" i="7" a="1"/>
  <c r="F622" i="7" s="1"/>
  <c r="F623" i="7" a="1"/>
  <c r="F623" i="7" s="1"/>
  <c r="F624" i="7" a="1"/>
  <c r="F624" i="7" s="1"/>
  <c r="F625" i="7" a="1"/>
  <c r="F625" i="7" s="1"/>
  <c r="F626" i="7" a="1"/>
  <c r="F626" i="7" s="1"/>
  <c r="F627" i="7" a="1"/>
  <c r="F627" i="7" s="1"/>
  <c r="F628" i="7" a="1"/>
  <c r="F628" i="7" s="1"/>
  <c r="F629" i="7" a="1"/>
  <c r="F629" i="7" s="1"/>
  <c r="F630" i="7" a="1"/>
  <c r="F630" i="7" s="1"/>
  <c r="F631" i="7" a="1"/>
  <c r="F631" i="7" s="1"/>
  <c r="F632" i="7" a="1"/>
  <c r="F632" i="7" s="1"/>
  <c r="F633" i="7" a="1"/>
  <c r="F633" i="7" s="1"/>
  <c r="F634" i="7" a="1"/>
  <c r="F634" i="7" s="1"/>
  <c r="F635" i="7" a="1"/>
  <c r="F635" i="7" s="1"/>
  <c r="F636" i="7" a="1"/>
  <c r="F636" i="7" s="1"/>
  <c r="F637" i="7" a="1"/>
  <c r="F637" i="7" s="1"/>
  <c r="F638" i="7" a="1"/>
  <c r="F638" i="7" s="1"/>
  <c r="F639" i="7" a="1"/>
  <c r="F639" i="7" s="1"/>
  <c r="F640" i="7" a="1"/>
  <c r="F640" i="7" s="1"/>
  <c r="F641" i="7" a="1"/>
  <c r="F641" i="7" s="1"/>
  <c r="F642" i="7" a="1"/>
  <c r="F642" i="7" s="1"/>
  <c r="F643" i="7" a="1"/>
  <c r="F643" i="7" s="1"/>
  <c r="F644" i="7" a="1"/>
  <c r="F644" i="7" s="1"/>
  <c r="F645" i="7" a="1"/>
  <c r="F645" i="7" s="1"/>
  <c r="F646" i="7" a="1"/>
  <c r="F646" i="7" s="1"/>
  <c r="F647" i="7" a="1"/>
  <c r="F647" i="7" s="1"/>
  <c r="F648" i="7" a="1"/>
  <c r="F648" i="7" s="1"/>
  <c r="F649" i="7" a="1"/>
  <c r="F649" i="7" s="1"/>
  <c r="F650" i="7" a="1"/>
  <c r="F650" i="7" s="1"/>
  <c r="F651" i="7" a="1"/>
  <c r="F651" i="7" s="1"/>
  <c r="F652" i="7" a="1"/>
  <c r="F652" i="7" s="1"/>
  <c r="F653" i="7" a="1"/>
  <c r="F653" i="7" s="1"/>
  <c r="F654" i="7" a="1"/>
  <c r="F654" i="7" s="1"/>
  <c r="F655" i="7" a="1"/>
  <c r="F655" i="7" s="1"/>
  <c r="F656" i="7" a="1"/>
  <c r="F656" i="7" s="1"/>
  <c r="F657" i="7" a="1"/>
  <c r="F657" i="7" s="1"/>
  <c r="F658" i="7" a="1"/>
  <c r="F658" i="7" s="1"/>
  <c r="F659" i="7" a="1"/>
  <c r="F659" i="7" s="1"/>
  <c r="F660" i="7" a="1"/>
  <c r="F660" i="7" s="1"/>
  <c r="F661" i="7" a="1"/>
  <c r="F661" i="7" s="1"/>
  <c r="F662" i="7" a="1"/>
  <c r="F662" i="7" s="1"/>
  <c r="F663" i="7" a="1"/>
  <c r="F663" i="7" s="1"/>
  <c r="F664" i="7" a="1"/>
  <c r="F664" i="7" s="1"/>
  <c r="F665" i="7" a="1"/>
  <c r="F665" i="7"/>
  <c r="F666" i="7" a="1"/>
  <c r="F666" i="7" s="1"/>
  <c r="F667" i="7" a="1"/>
  <c r="F667" i="7" s="1"/>
  <c r="F668" i="7" a="1"/>
  <c r="F668" i="7" s="1"/>
  <c r="F669" i="7" a="1"/>
  <c r="F669" i="7" s="1"/>
  <c r="F670" i="7" a="1"/>
  <c r="F670" i="7" s="1"/>
  <c r="F671" i="7" a="1"/>
  <c r="F671" i="7" s="1"/>
  <c r="F672" i="7" a="1"/>
  <c r="F672" i="7" s="1"/>
  <c r="F673" i="7" a="1"/>
  <c r="F673" i="7" s="1"/>
  <c r="F674" i="7" a="1"/>
  <c r="F674" i="7" s="1"/>
  <c r="F675" i="7" a="1"/>
  <c r="F675" i="7" s="1"/>
  <c r="F676" i="7" a="1"/>
  <c r="F676" i="7" s="1"/>
  <c r="F677" i="7" a="1"/>
  <c r="F677" i="7" s="1"/>
  <c r="F678" i="7" a="1"/>
  <c r="F678" i="7" s="1"/>
  <c r="F679" i="7" a="1"/>
  <c r="F679" i="7" s="1"/>
  <c r="F680" i="7" a="1"/>
  <c r="F680" i="7" s="1"/>
  <c r="F681" i="7" a="1"/>
  <c r="F681" i="7" s="1"/>
  <c r="F682" i="7" a="1"/>
  <c r="F682" i="7" s="1"/>
  <c r="F683" i="7" a="1"/>
  <c r="F683" i="7" s="1"/>
  <c r="F684" i="7" a="1"/>
  <c r="F684" i="7" s="1"/>
  <c r="F685" i="7" a="1"/>
  <c r="F685" i="7" s="1"/>
  <c r="F686" i="7" a="1"/>
  <c r="F686" i="7" s="1"/>
  <c r="F687" i="7" a="1"/>
  <c r="F687" i="7" s="1"/>
  <c r="F688" i="7" a="1"/>
  <c r="F688" i="7" s="1"/>
  <c r="F689" i="7" a="1"/>
  <c r="F689" i="7" s="1"/>
  <c r="F690" i="7" a="1"/>
  <c r="F690" i="7" s="1"/>
  <c r="F691" i="7" a="1"/>
  <c r="F691" i="7" s="1"/>
  <c r="F692" i="7" a="1"/>
  <c r="F692" i="7" s="1"/>
  <c r="F693" i="7" a="1"/>
  <c r="F693" i="7" s="1"/>
  <c r="F694" i="7" a="1"/>
  <c r="F694" i="7" s="1"/>
  <c r="F695" i="7" a="1"/>
  <c r="F695" i="7" s="1"/>
  <c r="F696" i="7" a="1"/>
  <c r="F696" i="7" s="1"/>
  <c r="F697" i="7" a="1"/>
  <c r="F697" i="7" s="1"/>
  <c r="F698" i="7" a="1"/>
  <c r="F698" i="7"/>
  <c r="F699" i="7" a="1"/>
  <c r="F699" i="7" s="1"/>
  <c r="F700" i="7" a="1"/>
  <c r="F700" i="7" s="1"/>
  <c r="F701" i="7" a="1"/>
  <c r="F701" i="7" s="1"/>
  <c r="F702" i="7" a="1"/>
  <c r="F702" i="7" s="1"/>
  <c r="F703" i="7" a="1"/>
  <c r="F703" i="7" s="1"/>
  <c r="F704" i="7" a="1"/>
  <c r="F704" i="7" s="1"/>
  <c r="F705" i="7" a="1"/>
  <c r="F705" i="7"/>
  <c r="F706" i="7" a="1"/>
  <c r="F706" i="7" s="1"/>
  <c r="F707" i="7" a="1"/>
  <c r="F707" i="7" s="1"/>
  <c r="F708" i="7" a="1"/>
  <c r="F708" i="7" s="1"/>
  <c r="F709" i="7" a="1"/>
  <c r="F709" i="7"/>
  <c r="F710" i="7" a="1"/>
  <c r="F710" i="7" s="1"/>
  <c r="F711" i="7" a="1"/>
  <c r="F711" i="7" s="1"/>
  <c r="F712" i="7" a="1"/>
  <c r="F712" i="7" s="1"/>
  <c r="F713" i="7" a="1"/>
  <c r="F713" i="7" s="1"/>
  <c r="F714" i="7" a="1"/>
  <c r="F714" i="7" s="1"/>
  <c r="F715" i="7" a="1"/>
  <c r="F715" i="7"/>
  <c r="F716" i="7" a="1"/>
  <c r="F716" i="7" s="1"/>
  <c r="F717" i="7" a="1"/>
  <c r="F717" i="7" s="1"/>
  <c r="F718" i="7" a="1"/>
  <c r="F718" i="7" s="1"/>
  <c r="F719" i="7" a="1"/>
  <c r="F719" i="7" s="1"/>
  <c r="F720" i="7" a="1"/>
  <c r="F720" i="7" s="1"/>
  <c r="F721" i="7" a="1"/>
  <c r="F721" i="7" s="1"/>
  <c r="F722" i="7" a="1"/>
  <c r="F722" i="7" s="1"/>
  <c r="F723" i="7" a="1"/>
  <c r="F723" i="7" s="1"/>
  <c r="F724" i="7" a="1"/>
  <c r="F724" i="7" s="1"/>
  <c r="F725" i="7" a="1"/>
  <c r="F725" i="7" s="1"/>
  <c r="F726" i="7" a="1"/>
  <c r="F726" i="7" s="1"/>
  <c r="F727" i="7" a="1"/>
  <c r="F727" i="7" s="1"/>
  <c r="F728" i="7" a="1"/>
  <c r="F728" i="7" s="1"/>
  <c r="F729" i="7" a="1"/>
  <c r="F729" i="7" s="1"/>
  <c r="F730" i="7" a="1"/>
  <c r="F730" i="7" s="1"/>
  <c r="F731" i="7" a="1"/>
  <c r="F731" i="7"/>
  <c r="F732" i="7" a="1"/>
  <c r="F732" i="7" s="1"/>
  <c r="F733" i="7" a="1"/>
  <c r="F733" i="7" s="1"/>
  <c r="F734" i="7" a="1"/>
  <c r="F734" i="7" s="1"/>
  <c r="F735" i="7" a="1"/>
  <c r="F735" i="7" s="1"/>
  <c r="F736" i="7" a="1"/>
  <c r="F736" i="7" s="1"/>
  <c r="F737" i="7" a="1"/>
  <c r="F737" i="7" s="1"/>
  <c r="F738" i="7" a="1"/>
  <c r="F738" i="7" s="1"/>
  <c r="F739" i="7" a="1"/>
  <c r="F739" i="7" s="1"/>
  <c r="F740" i="7" a="1"/>
  <c r="F740" i="7" s="1"/>
  <c r="F741" i="7" a="1"/>
  <c r="F741" i="7" s="1"/>
  <c r="F742" i="7" a="1"/>
  <c r="F742" i="7" s="1"/>
  <c r="F743" i="7" a="1"/>
  <c r="F743" i="7" s="1"/>
  <c r="F744" i="7" a="1"/>
  <c r="F744" i="7" s="1"/>
  <c r="F745" i="7" a="1"/>
  <c r="F745" i="7" s="1"/>
  <c r="F746" i="7" a="1"/>
  <c r="F746" i="7" s="1"/>
  <c r="F747" i="7" a="1"/>
  <c r="F747" i="7"/>
  <c r="F748" i="7" a="1"/>
  <c r="F748" i="7" s="1"/>
  <c r="F749" i="7" a="1"/>
  <c r="F749" i="7" s="1"/>
  <c r="F750" i="7" a="1"/>
  <c r="F750" i="7" s="1"/>
  <c r="F751" i="7" a="1"/>
  <c r="F751" i="7" s="1"/>
  <c r="F752" i="7" a="1"/>
  <c r="F752" i="7"/>
  <c r="F753" i="7" a="1"/>
  <c r="F753" i="7" s="1"/>
  <c r="F754" i="7" a="1"/>
  <c r="F754" i="7" s="1"/>
  <c r="F755" i="7" a="1"/>
  <c r="F755" i="7" s="1"/>
  <c r="F756" i="7" a="1"/>
  <c r="F756" i="7" s="1"/>
  <c r="F757" i="7" a="1"/>
  <c r="F757" i="7" s="1"/>
  <c r="F758" i="7" a="1"/>
  <c r="F758" i="7" s="1"/>
  <c r="F759" i="7" a="1"/>
  <c r="F759" i="7" s="1"/>
  <c r="F760" i="7" a="1"/>
  <c r="F760" i="7" s="1"/>
  <c r="F761" i="7" a="1"/>
  <c r="F761" i="7" s="1"/>
  <c r="F762" i="7" a="1"/>
  <c r="F762" i="7" s="1"/>
  <c r="F763" i="7" a="1"/>
  <c r="F763" i="7" s="1"/>
  <c r="F764" i="7" a="1"/>
  <c r="F764" i="7" s="1"/>
  <c r="F765" i="7" a="1"/>
  <c r="F765" i="7"/>
  <c r="F766" i="7" a="1"/>
  <c r="F766" i="7" s="1"/>
  <c r="F767" i="7" a="1"/>
  <c r="F767" i="7" s="1"/>
  <c r="F768" i="7" a="1"/>
  <c r="F768" i="7" s="1"/>
  <c r="F769" i="7" a="1"/>
  <c r="F769" i="7" s="1"/>
  <c r="F770" i="7" a="1"/>
  <c r="F770" i="7" s="1"/>
  <c r="F771" i="7" a="1"/>
  <c r="F771" i="7" s="1"/>
  <c r="F772" i="7" a="1"/>
  <c r="F772" i="7" s="1"/>
  <c r="F773" i="7" a="1"/>
  <c r="F773" i="7" s="1"/>
  <c r="F774" i="7" a="1"/>
  <c r="F774" i="7" s="1"/>
  <c r="F775" i="7" a="1"/>
  <c r="F775" i="7" s="1"/>
  <c r="F776" i="7" a="1"/>
  <c r="F776" i="7" s="1"/>
  <c r="F777" i="7" a="1"/>
  <c r="F777" i="7" s="1"/>
  <c r="F778" i="7" a="1"/>
  <c r="F778" i="7" s="1"/>
  <c r="F779" i="7" a="1"/>
  <c r="F779" i="7" s="1"/>
  <c r="F780" i="7" a="1"/>
  <c r="F780" i="7" s="1"/>
  <c r="F781" i="7" a="1"/>
  <c r="F781" i="7" s="1"/>
  <c r="F782" i="7" a="1"/>
  <c r="F782" i="7" s="1"/>
  <c r="F783" i="7" a="1"/>
  <c r="F783" i="7" s="1"/>
  <c r="F784" i="7" a="1"/>
  <c r="F784" i="7" s="1"/>
  <c r="F785" i="7" a="1"/>
  <c r="F785" i="7" s="1"/>
  <c r="F786" i="7" a="1"/>
  <c r="F786" i="7" s="1"/>
  <c r="F787" i="7" a="1"/>
  <c r="F787" i="7" s="1"/>
  <c r="F788" i="7" a="1"/>
  <c r="F788" i="7" s="1"/>
  <c r="F789" i="7" a="1"/>
  <c r="F789" i="7" s="1"/>
  <c r="F790" i="7" a="1"/>
  <c r="F790" i="7" s="1"/>
  <c r="F791" i="7" a="1"/>
  <c r="F791" i="7" s="1"/>
  <c r="F792" i="7" a="1"/>
  <c r="F792" i="7" s="1"/>
  <c r="F793" i="7" a="1"/>
  <c r="F793" i="7" s="1"/>
  <c r="F794" i="7" a="1"/>
  <c r="F794" i="7" s="1"/>
  <c r="F795" i="7" a="1"/>
  <c r="F795" i="7" s="1"/>
  <c r="F796" i="7" a="1"/>
  <c r="F796" i="7" s="1"/>
  <c r="F797" i="7" a="1"/>
  <c r="F797" i="7" s="1"/>
  <c r="F798" i="7" a="1"/>
  <c r="F798" i="7" s="1"/>
  <c r="F799" i="7" a="1"/>
  <c r="F799" i="7" s="1"/>
  <c r="F800" i="7" a="1"/>
  <c r="F800" i="7" s="1"/>
  <c r="F801" i="7" a="1"/>
  <c r="F801" i="7" s="1"/>
  <c r="F802" i="7" a="1"/>
  <c r="F802" i="7" s="1"/>
  <c r="F803" i="7" a="1"/>
  <c r="F803" i="7" s="1"/>
  <c r="F804" i="7" a="1"/>
  <c r="F804" i="7" s="1"/>
  <c r="F805" i="7" a="1"/>
  <c r="F805" i="7" s="1"/>
  <c r="F806" i="7" a="1"/>
  <c r="F806" i="7" s="1"/>
  <c r="F807" i="7" a="1"/>
  <c r="F807" i="7" s="1"/>
  <c r="F808" i="7" a="1"/>
  <c r="F808" i="7" s="1"/>
  <c r="F809" i="7" a="1"/>
  <c r="F809" i="7"/>
  <c r="F810" i="7" a="1"/>
  <c r="F810" i="7" s="1"/>
  <c r="F811" i="7" a="1"/>
  <c r="F811" i="7" s="1"/>
  <c r="F812" i="7" a="1"/>
  <c r="F812" i="7" s="1"/>
  <c r="F813" i="7" a="1"/>
  <c r="F813" i="7"/>
  <c r="F814" i="7" a="1"/>
  <c r="F814" i="7" s="1"/>
  <c r="F815" i="7" a="1"/>
  <c r="F815" i="7" s="1"/>
  <c r="F816" i="7" a="1"/>
  <c r="F816" i="7" s="1"/>
  <c r="F817" i="7" a="1"/>
  <c r="F817" i="7" s="1"/>
  <c r="F818" i="7" a="1"/>
  <c r="F818" i="7" s="1"/>
  <c r="F819" i="7" a="1"/>
  <c r="F819" i="7"/>
  <c r="F820" i="7" a="1"/>
  <c r="F820" i="7" s="1"/>
  <c r="F821" i="7" a="1"/>
  <c r="F821" i="7" s="1"/>
  <c r="F822" i="7" a="1"/>
  <c r="F822" i="7" s="1"/>
  <c r="F823" i="7" a="1"/>
  <c r="F823" i="7"/>
  <c r="F824" i="7" a="1"/>
  <c r="F824" i="7" s="1"/>
  <c r="F825" i="7" a="1"/>
  <c r="F825" i="7" s="1"/>
  <c r="F826" i="7" a="1"/>
  <c r="F826" i="7" s="1"/>
  <c r="F827" i="7" a="1"/>
  <c r="F827" i="7" s="1"/>
  <c r="F828" i="7" a="1"/>
  <c r="F828" i="7" s="1"/>
  <c r="F829" i="7" a="1"/>
  <c r="F829" i="7" s="1"/>
  <c r="F830" i="7" a="1"/>
  <c r="F830" i="7" s="1"/>
  <c r="F831" i="7" a="1"/>
  <c r="F831" i="7" s="1"/>
  <c r="F832" i="7" a="1"/>
  <c r="F832" i="7" s="1"/>
  <c r="F833" i="7" a="1"/>
  <c r="F833" i="7" s="1"/>
  <c r="F834" i="7" a="1"/>
  <c r="F834" i="7" s="1"/>
  <c r="F835" i="7" a="1"/>
  <c r="F835" i="7" s="1"/>
  <c r="F836" i="7" a="1"/>
  <c r="F836" i="7" s="1"/>
  <c r="F837" i="7" a="1"/>
  <c r="F837" i="7"/>
  <c r="F838" i="7" a="1"/>
  <c r="F838" i="7" s="1"/>
  <c r="F839" i="7" a="1"/>
  <c r="F839" i="7" s="1"/>
  <c r="F840" i="7" a="1"/>
  <c r="F840" i="7" s="1"/>
  <c r="F841" i="7" a="1"/>
  <c r="F841" i="7" s="1"/>
  <c r="F842" i="7" a="1"/>
  <c r="F842" i="7" s="1"/>
  <c r="F843" i="7" a="1"/>
  <c r="F843" i="7" s="1"/>
  <c r="F844" i="7" a="1"/>
  <c r="F844" i="7" s="1"/>
  <c r="F845" i="7" a="1"/>
  <c r="F845" i="7" s="1"/>
  <c r="F846" i="7" a="1"/>
  <c r="F846" i="7" s="1"/>
  <c r="F847" i="7" a="1"/>
  <c r="F847" i="7"/>
  <c r="F848" i="7" a="1"/>
  <c r="F848" i="7" s="1"/>
  <c r="F849" i="7" a="1"/>
  <c r="F849" i="7" s="1"/>
  <c r="F850" i="7" a="1"/>
  <c r="F850" i="7" s="1"/>
  <c r="F851" i="7" a="1"/>
  <c r="F851" i="7" s="1"/>
  <c r="F852" i="7" a="1"/>
  <c r="F852" i="7" s="1"/>
  <c r="F853" i="7" a="1"/>
  <c r="F853" i="7" s="1"/>
  <c r="F854" i="7" a="1"/>
  <c r="F854" i="7" s="1"/>
  <c r="F855" i="7" a="1"/>
  <c r="F855" i="7" s="1"/>
  <c r="F856" i="7" a="1"/>
  <c r="F856" i="7" s="1"/>
  <c r="F857" i="7" a="1"/>
  <c r="F857" i="7" s="1"/>
  <c r="F858" i="7" a="1"/>
  <c r="F858" i="7" s="1"/>
  <c r="F859" i="7" a="1"/>
  <c r="F859" i="7" s="1"/>
  <c r="F860" i="7" a="1"/>
  <c r="F860" i="7" s="1"/>
  <c r="F861" i="7" a="1"/>
  <c r="F861" i="7" s="1"/>
  <c r="F862" i="7" a="1"/>
  <c r="F862" i="7" s="1"/>
  <c r="F863" i="7" a="1"/>
  <c r="F863" i="7" s="1"/>
  <c r="F864" i="7" a="1"/>
  <c r="F864" i="7" s="1"/>
  <c r="F865" i="7" a="1"/>
  <c r="F865" i="7" s="1"/>
  <c r="F866" i="7" a="1"/>
  <c r="F866" i="7" s="1"/>
  <c r="F867" i="7" a="1"/>
  <c r="F867" i="7"/>
  <c r="F868" i="7" a="1"/>
  <c r="F868" i="7" s="1"/>
  <c r="F869" i="7" a="1"/>
  <c r="F869" i="7" s="1"/>
  <c r="F870" i="7" a="1"/>
  <c r="F870" i="7" s="1"/>
  <c r="F871" i="7" a="1"/>
  <c r="F871" i="7" s="1"/>
  <c r="F872" i="7" a="1"/>
  <c r="F872" i="7" s="1"/>
  <c r="F873" i="7" a="1"/>
  <c r="F873" i="7" s="1"/>
  <c r="F874" i="7" a="1"/>
  <c r="F874" i="7" s="1"/>
  <c r="F875" i="7" a="1"/>
  <c r="F875" i="7" s="1"/>
  <c r="F876" i="7" a="1"/>
  <c r="F876" i="7" s="1"/>
  <c r="F877" i="7" a="1"/>
  <c r="F877" i="7" s="1"/>
  <c r="F878" i="7" a="1"/>
  <c r="F878" i="7" s="1"/>
  <c r="F879" i="7" a="1"/>
  <c r="F879" i="7" s="1"/>
  <c r="F880" i="7" a="1"/>
  <c r="F880" i="7" s="1"/>
  <c r="F881" i="7" a="1"/>
  <c r="F881" i="7" s="1"/>
  <c r="F882" i="7" a="1"/>
  <c r="F882" i="7" s="1"/>
  <c r="F883" i="7" a="1"/>
  <c r="F883" i="7" s="1"/>
  <c r="F884" i="7" a="1"/>
  <c r="F884" i="7" s="1"/>
  <c r="F885" i="7" a="1"/>
  <c r="F885" i="7" s="1"/>
  <c r="F886" i="7" a="1"/>
  <c r="F886" i="7" s="1"/>
  <c r="F887" i="7" a="1"/>
  <c r="F887" i="7" s="1"/>
  <c r="F888" i="7" a="1"/>
  <c r="F888" i="7" s="1"/>
  <c r="F889" i="7" a="1"/>
  <c r="F889" i="7" s="1"/>
  <c r="F890" i="7" a="1"/>
  <c r="F890" i="7" s="1"/>
  <c r="F891" i="7" a="1"/>
  <c r="F891" i="7" s="1"/>
  <c r="F892" i="7" a="1"/>
  <c r="F892" i="7" s="1"/>
  <c r="F893" i="7" a="1"/>
  <c r="F893" i="7" s="1"/>
  <c r="F894" i="7" a="1"/>
  <c r="F894" i="7" s="1"/>
  <c r="F895" i="7" a="1"/>
  <c r="F895" i="7" s="1"/>
  <c r="F896" i="7" a="1"/>
  <c r="F896" i="7" s="1"/>
  <c r="F897" i="7" a="1"/>
  <c r="F897" i="7" s="1"/>
  <c r="F898" i="7" a="1"/>
  <c r="F898" i="7" s="1"/>
  <c r="F899" i="7" a="1"/>
  <c r="F899" i="7" s="1"/>
  <c r="F900" i="7" a="1"/>
  <c r="F900" i="7" s="1"/>
  <c r="F901" i="7" a="1"/>
  <c r="F901" i="7"/>
  <c r="F902" i="7" a="1"/>
  <c r="F902" i="7" s="1"/>
  <c r="F903" i="7" a="1"/>
  <c r="F903" i="7" s="1"/>
  <c r="F904" i="7" a="1"/>
  <c r="F904" i="7" s="1"/>
  <c r="F905" i="7" a="1"/>
  <c r="F905" i="7" s="1"/>
  <c r="F906" i="7" a="1"/>
  <c r="F906" i="7" s="1"/>
  <c r="F907" i="7" a="1"/>
  <c r="F907" i="7" s="1"/>
  <c r="F908" i="7" a="1"/>
  <c r="F908" i="7" s="1"/>
  <c r="F909" i="7" a="1"/>
  <c r="F909" i="7" s="1"/>
  <c r="F910" i="7" a="1"/>
  <c r="F910" i="7" s="1"/>
  <c r="F911" i="7" a="1"/>
  <c r="F911" i="7" s="1"/>
  <c r="F912" i="7" a="1"/>
  <c r="F912" i="7" s="1"/>
  <c r="F913" i="7" a="1"/>
  <c r="F913" i="7"/>
  <c r="F914" i="7" a="1"/>
  <c r="F914" i="7" s="1"/>
  <c r="F915" i="7" a="1"/>
  <c r="F915" i="7" s="1"/>
  <c r="F916" i="7" a="1"/>
  <c r="F916" i="7" s="1"/>
  <c r="F917" i="7" a="1"/>
  <c r="F917" i="7" s="1"/>
  <c r="F918" i="7" a="1"/>
  <c r="F918" i="7" s="1"/>
  <c r="F919" i="7" a="1"/>
  <c r="F919" i="7" s="1"/>
  <c r="F920" i="7" a="1"/>
  <c r="F920" i="7" s="1"/>
  <c r="F921" i="7" a="1"/>
  <c r="F921" i="7" s="1"/>
  <c r="F922" i="7" a="1"/>
  <c r="F922" i="7" s="1"/>
  <c r="F923" i="7" a="1"/>
  <c r="F923" i="7"/>
  <c r="F924" i="7" a="1"/>
  <c r="F924" i="7" s="1"/>
  <c r="F925" i="7" a="1"/>
  <c r="F925" i="7" s="1"/>
  <c r="F926" i="7" a="1"/>
  <c r="F926" i="7" s="1"/>
  <c r="F927" i="7" a="1"/>
  <c r="F927" i="7" s="1"/>
  <c r="F928" i="7" a="1"/>
  <c r="F928" i="7" s="1"/>
  <c r="F929" i="7" a="1"/>
  <c r="F929" i="7" s="1"/>
  <c r="F930" i="7" a="1"/>
  <c r="F930" i="7" s="1"/>
  <c r="F931" i="7" a="1"/>
  <c r="F931" i="7" s="1"/>
  <c r="F932" i="7" a="1"/>
  <c r="F932" i="7" s="1"/>
  <c r="F933" i="7" a="1"/>
  <c r="F933" i="7" s="1"/>
  <c r="F934" i="7" a="1"/>
  <c r="F934" i="7" s="1"/>
  <c r="F935" i="7" a="1"/>
  <c r="F935" i="7" s="1"/>
  <c r="F936" i="7" a="1"/>
  <c r="F936" i="7" s="1"/>
  <c r="F937" i="7" a="1"/>
  <c r="F937" i="7" s="1"/>
  <c r="F938" i="7" a="1"/>
  <c r="F938" i="7" s="1"/>
  <c r="F939" i="7" a="1"/>
  <c r="F939" i="7" s="1"/>
  <c r="F940" i="7" a="1"/>
  <c r="F940" i="7" s="1"/>
  <c r="F941" i="7" a="1"/>
  <c r="F941" i="7" s="1"/>
  <c r="F942" i="7" a="1"/>
  <c r="F942" i="7" s="1"/>
  <c r="F943" i="7" a="1"/>
  <c r="F943" i="7" s="1"/>
  <c r="F944" i="7" a="1"/>
  <c r="F944" i="7" s="1"/>
  <c r="F945" i="7" a="1"/>
  <c r="F945" i="7" s="1"/>
  <c r="F946" i="7" a="1"/>
  <c r="F946" i="7" s="1"/>
  <c r="F947" i="7" a="1"/>
  <c r="F947" i="7"/>
  <c r="F948" i="7" a="1"/>
  <c r="F948" i="7" s="1"/>
  <c r="F949" i="7" a="1"/>
  <c r="F949" i="7"/>
  <c r="F950" i="7" a="1"/>
  <c r="F950" i="7" s="1"/>
  <c r="F951" i="7" a="1"/>
  <c r="F951" i="7" s="1"/>
  <c r="F952" i="7" a="1"/>
  <c r="F952" i="7" s="1"/>
  <c r="F953" i="7" a="1"/>
  <c r="F953" i="7" s="1"/>
  <c r="F954" i="7" a="1"/>
  <c r="F954" i="7" s="1"/>
  <c r="F955" i="7" a="1"/>
  <c r="F955" i="7" s="1"/>
  <c r="F956" i="7" a="1"/>
  <c r="F956" i="7" s="1"/>
  <c r="F957" i="7" a="1"/>
  <c r="F957" i="7" s="1"/>
  <c r="F958" i="7" a="1"/>
  <c r="F958" i="7" s="1"/>
  <c r="F959" i="7" a="1"/>
  <c r="F959" i="7" s="1"/>
  <c r="F960" i="7" a="1"/>
  <c r="F960" i="7" s="1"/>
  <c r="F961" i="7" a="1"/>
  <c r="F961" i="7" s="1"/>
  <c r="F962" i="7" a="1"/>
  <c r="F962" i="7" s="1"/>
  <c r="F963" i="7" a="1"/>
  <c r="F963" i="7" s="1"/>
  <c r="F964" i="7" a="1"/>
  <c r="F964" i="7" s="1"/>
  <c r="F965" i="7" a="1"/>
  <c r="F965" i="7" s="1"/>
  <c r="F966" i="7" a="1"/>
  <c r="F966" i="7" s="1"/>
  <c r="F967" i="7" a="1"/>
  <c r="F967" i="7" s="1"/>
  <c r="F968" i="7" a="1"/>
  <c r="F968" i="7" s="1"/>
  <c r="F969" i="7" a="1"/>
  <c r="F969" i="7" s="1"/>
  <c r="F970" i="7" a="1"/>
  <c r="F970" i="7" s="1"/>
  <c r="F971" i="7" a="1"/>
  <c r="F971" i="7" s="1"/>
  <c r="F972" i="7" a="1"/>
  <c r="F972" i="7" s="1"/>
  <c r="F973" i="7" a="1"/>
  <c r="F973" i="7" s="1"/>
  <c r="F974" i="7" a="1"/>
  <c r="F974" i="7" s="1"/>
  <c r="F975" i="7" a="1"/>
  <c r="F975" i="7" s="1"/>
  <c r="F976" i="7" a="1"/>
  <c r="F976" i="7" s="1"/>
  <c r="F977" i="7" a="1"/>
  <c r="F977" i="7" s="1"/>
  <c r="F978" i="7" a="1"/>
  <c r="F978" i="7" s="1"/>
  <c r="F979" i="7" a="1"/>
  <c r="F979" i="7" s="1"/>
  <c r="F980" i="7" a="1"/>
  <c r="F980" i="7" s="1"/>
  <c r="F981" i="7" a="1"/>
  <c r="F981" i="7" s="1"/>
  <c r="F982" i="7" a="1"/>
  <c r="F982" i="7" s="1"/>
  <c r="F983" i="7" a="1"/>
  <c r="F983" i="7" s="1"/>
  <c r="F984" i="7" a="1"/>
  <c r="F984" i="7" s="1"/>
  <c r="F985" i="7" a="1"/>
  <c r="F985" i="7" s="1"/>
  <c r="F986" i="7" a="1"/>
  <c r="F986" i="7" s="1"/>
  <c r="F987" i="7" a="1"/>
  <c r="F987" i="7" s="1"/>
  <c r="F988" i="7" a="1"/>
  <c r="F988" i="7" s="1"/>
  <c r="F989" i="7" a="1"/>
  <c r="F989" i="7" s="1"/>
  <c r="F990" i="7" a="1"/>
  <c r="F990" i="7"/>
  <c r="F991" i="7" a="1"/>
  <c r="F991" i="7" s="1"/>
  <c r="F992" i="7" a="1"/>
  <c r="F992" i="7" s="1"/>
  <c r="F993" i="7" a="1"/>
  <c r="F993" i="7" s="1"/>
  <c r="F994" i="7" a="1"/>
  <c r="F994" i="7" s="1"/>
  <c r="F995" i="7" a="1"/>
  <c r="F995" i="7" s="1"/>
  <c r="F996" i="7" a="1"/>
  <c r="F996" i="7" s="1"/>
  <c r="F997" i="7" a="1"/>
  <c r="F997" i="7"/>
  <c r="F998" i="7" a="1"/>
  <c r="F998" i="7" s="1"/>
  <c r="F999" i="7" a="1"/>
  <c r="F999" i="7" s="1"/>
  <c r="F1000" i="7" a="1"/>
  <c r="F1000" i="7" s="1"/>
  <c r="F1001" i="7" a="1"/>
  <c r="F1001" i="7" s="1"/>
  <c r="F1002" i="7" a="1"/>
  <c r="F1002" i="7" s="1"/>
  <c r="F1003" i="7" a="1"/>
  <c r="F1003" i="7" s="1"/>
  <c r="F1004" i="7" a="1"/>
  <c r="F1004" i="7" s="1"/>
  <c r="F1005" i="7" a="1"/>
  <c r="F1005" i="7" s="1"/>
  <c r="F1006" i="7" a="1"/>
  <c r="F1006" i="7" s="1"/>
  <c r="F1007" i="7" a="1"/>
  <c r="F1007" i="7" s="1"/>
  <c r="F1008" i="7" a="1"/>
  <c r="F1008" i="7" s="1"/>
  <c r="F1009" i="7" a="1"/>
  <c r="F1009" i="7" s="1"/>
  <c r="F1010" i="7" a="1"/>
  <c r="F1010" i="7" s="1"/>
  <c r="F1011" i="7" a="1"/>
  <c r="F1011" i="7" s="1"/>
  <c r="F1012" i="7" a="1"/>
  <c r="F1012" i="7" s="1"/>
  <c r="F1013" i="7" a="1"/>
  <c r="F1013" i="7" s="1"/>
  <c r="F1014" i="7" a="1"/>
  <c r="F1014" i="7" s="1"/>
  <c r="F1015" i="7" a="1"/>
  <c r="F1015" i="7" s="1"/>
  <c r="F1016" i="7" a="1"/>
  <c r="F1016" i="7" s="1"/>
  <c r="F1017" i="7" a="1"/>
  <c r="F1017" i="7" s="1"/>
  <c r="F1018" i="7" a="1"/>
  <c r="F1018" i="7" s="1"/>
  <c r="F1019" i="7" a="1"/>
  <c r="F1019" i="7" s="1"/>
  <c r="F1020" i="7" a="1"/>
  <c r="F1020" i="7" s="1"/>
  <c r="F1021" i="7" a="1"/>
  <c r="F1021" i="7" s="1"/>
  <c r="F1022" i="7" a="1"/>
  <c r="F1022" i="7" s="1"/>
  <c r="F1023" i="7" a="1"/>
  <c r="F1023" i="7" s="1"/>
  <c r="F1024" i="7" a="1"/>
  <c r="F1024" i="7"/>
  <c r="F1025" i="7" a="1"/>
  <c r="F1025" i="7" s="1"/>
  <c r="F1026" i="7" a="1"/>
  <c r="F1026" i="7" s="1"/>
  <c r="F1027" i="7" a="1"/>
  <c r="F1027" i="7" s="1"/>
  <c r="F1028" i="7" a="1"/>
  <c r="F1028" i="7" s="1"/>
  <c r="F1029" i="7" a="1"/>
  <c r="F1029" i="7" s="1"/>
  <c r="F1030" i="7" a="1"/>
  <c r="F1030" i="7" s="1"/>
  <c r="F1031" i="7" a="1"/>
  <c r="F1031" i="7"/>
  <c r="F1032" i="7" a="1"/>
  <c r="F1032" i="7"/>
  <c r="F1033" i="7" a="1"/>
  <c r="F1033" i="7"/>
  <c r="F1034" i="7" a="1"/>
  <c r="F1034" i="7" s="1"/>
  <c r="F1035" i="7" a="1"/>
  <c r="F1035" i="7" s="1"/>
  <c r="F1036" i="7" a="1"/>
  <c r="F1036" i="7"/>
  <c r="F1037" i="7" a="1"/>
  <c r="F1037" i="7" s="1"/>
  <c r="F1038" i="7" a="1"/>
  <c r="F1038" i="7" s="1"/>
  <c r="F1039" i="7" a="1"/>
  <c r="F1039" i="7"/>
  <c r="F1040" i="7" a="1"/>
  <c r="F1040" i="7" s="1"/>
  <c r="F1041" i="7" a="1"/>
  <c r="F1041" i="7" s="1"/>
  <c r="F1042" i="7" a="1"/>
  <c r="F1042" i="7"/>
  <c r="F1043" i="7" a="1"/>
  <c r="F1043" i="7" s="1"/>
  <c r="F1044" i="7" a="1"/>
  <c r="F1044" i="7" s="1"/>
  <c r="F1045" i="7" a="1"/>
  <c r="F1045" i="7" s="1"/>
  <c r="F1046" i="7" a="1"/>
  <c r="F1046" i="7" s="1"/>
  <c r="F1047" i="7" a="1"/>
  <c r="F1047" i="7" s="1"/>
  <c r="F1048" i="7" a="1"/>
  <c r="F1048" i="7" s="1"/>
  <c r="F1049" i="7" a="1"/>
  <c r="F1049" i="7" s="1"/>
  <c r="F1050" i="7" a="1"/>
  <c r="F1050" i="7" s="1"/>
  <c r="F1051" i="7" a="1"/>
  <c r="F1051" i="7" s="1"/>
  <c r="F1052" i="7" a="1"/>
  <c r="F1052" i="7" s="1"/>
  <c r="F1053" i="7" a="1"/>
  <c r="F1053" i="7" s="1"/>
  <c r="F1054" i="7" a="1"/>
  <c r="F1054" i="7" s="1"/>
  <c r="F1055" i="7" a="1"/>
  <c r="F1055" i="7" s="1"/>
  <c r="F1056" i="7" a="1"/>
  <c r="F1056" i="7" s="1"/>
  <c r="F1057" i="7" a="1"/>
  <c r="F1057" i="7" s="1"/>
  <c r="F1058" i="7" a="1"/>
  <c r="F1058" i="7" s="1"/>
  <c r="F1059" i="7" a="1"/>
  <c r="F1059" i="7" s="1"/>
  <c r="F1060" i="7" a="1"/>
  <c r="F1060" i="7"/>
  <c r="F1061" i="7" a="1"/>
  <c r="F1061" i="7" s="1"/>
  <c r="F1062" i="7" a="1"/>
  <c r="F1062" i="7" s="1"/>
  <c r="F1063" i="7" a="1"/>
  <c r="F1063" i="7" s="1"/>
  <c r="F1064" i="7" a="1"/>
  <c r="F1064" i="7" s="1"/>
  <c r="F1065" i="7" a="1"/>
  <c r="F1065" i="7" s="1"/>
  <c r="F1066" i="7" a="1"/>
  <c r="F1066" i="7" s="1"/>
  <c r="F1067" i="7" a="1"/>
  <c r="F1067" i="7" s="1"/>
  <c r="F1068" i="7" a="1"/>
  <c r="F1068" i="7" s="1"/>
  <c r="F1069" i="7" a="1"/>
  <c r="F1069" i="7" s="1"/>
  <c r="F1070" i="7" a="1"/>
  <c r="F1070" i="7" s="1"/>
  <c r="F1071" i="7" a="1"/>
  <c r="F1071" i="7" s="1"/>
  <c r="F1072" i="7" a="1"/>
  <c r="F1072" i="7"/>
  <c r="F1073" i="7" a="1"/>
  <c r="F1073" i="7" s="1"/>
  <c r="F1074" i="7" a="1"/>
  <c r="F1074" i="7" s="1"/>
  <c r="F1075" i="7" a="1"/>
  <c r="F1075" i="7" s="1"/>
  <c r="F1076" i="7" a="1"/>
  <c r="F1076" i="7" s="1"/>
  <c r="F1077" i="7" a="1"/>
  <c r="F1077" i="7" s="1"/>
  <c r="F1078" i="7" a="1"/>
  <c r="F1078" i="7" s="1"/>
  <c r="F1079" i="7" a="1"/>
  <c r="F1079" i="7" s="1"/>
  <c r="F1080" i="7" a="1"/>
  <c r="F1080" i="7" s="1"/>
  <c r="F1081" i="7" a="1"/>
  <c r="F1081" i="7" s="1"/>
  <c r="F1082" i="7" a="1"/>
  <c r="F1082" i="7" s="1"/>
  <c r="F1083" i="7" a="1"/>
  <c r="F1083" i="7" s="1"/>
  <c r="F1084" i="7" a="1"/>
  <c r="F1084" i="7" s="1"/>
  <c r="F1085" i="7" a="1"/>
  <c r="F1085" i="7" s="1"/>
  <c r="F1086" i="7" a="1"/>
  <c r="F1086" i="7"/>
  <c r="F1087" i="7" a="1"/>
  <c r="F1087" i="7" s="1"/>
  <c r="F1088" i="7" a="1"/>
  <c r="F1088" i="7" s="1"/>
  <c r="F1089" i="7" a="1"/>
  <c r="F1089" i="7" s="1"/>
  <c r="F1090" i="7" a="1"/>
  <c r="F1090" i="7" s="1"/>
  <c r="F1091" i="7" a="1"/>
  <c r="F1091" i="7" s="1"/>
  <c r="F1092" i="7" a="1"/>
  <c r="F1092" i="7"/>
  <c r="F1093" i="7" a="1"/>
  <c r="F1093" i="7" s="1"/>
  <c r="F1094" i="7" a="1"/>
  <c r="F1094" i="7" s="1"/>
  <c r="F1095" i="7" a="1"/>
  <c r="F1095" i="7" s="1"/>
  <c r="F1096" i="7" a="1"/>
  <c r="F1096" i="7"/>
  <c r="F1097" i="7" a="1"/>
  <c r="F1097" i="7" s="1"/>
  <c r="F1098" i="7" a="1"/>
  <c r="F1098" i="7" s="1"/>
  <c r="F1099" i="7" a="1"/>
  <c r="F1099" i="7" s="1"/>
  <c r="F1100" i="7" a="1"/>
  <c r="F1100" i="7" s="1"/>
  <c r="F1101" i="7" a="1"/>
  <c r="F1101" i="7" s="1"/>
  <c r="F1102" i="7" a="1"/>
  <c r="F1102" i="7" s="1"/>
  <c r="F1103" i="7" a="1"/>
  <c r="F1103" i="7" s="1"/>
  <c r="F1104" i="7" a="1"/>
  <c r="F1104" i="7" s="1"/>
  <c r="F1105" i="7" a="1"/>
  <c r="F1105" i="7"/>
  <c r="F1106" i="7" a="1"/>
  <c r="F1106" i="7" s="1"/>
  <c r="F1107" i="7" a="1"/>
  <c r="F1107" i="7" s="1"/>
  <c r="F1108" i="7" a="1"/>
  <c r="F1108" i="7" s="1"/>
  <c r="F1109" i="7" a="1"/>
  <c r="F1109" i="7" s="1"/>
  <c r="F1110" i="7" a="1"/>
  <c r="F1110" i="7" s="1"/>
  <c r="F1111" i="7" a="1"/>
  <c r="F1111" i="7" s="1"/>
  <c r="F1112" i="7" a="1"/>
  <c r="F1112" i="7" s="1"/>
  <c r="F1113" i="7" a="1"/>
  <c r="F1113" i="7" s="1"/>
  <c r="F1114" i="7" a="1"/>
  <c r="F1114" i="7" s="1"/>
  <c r="F1115" i="7" a="1"/>
  <c r="F1115" i="7" s="1"/>
  <c r="F1116" i="7" a="1"/>
  <c r="F1116" i="7" s="1"/>
  <c r="F1117" i="7" a="1"/>
  <c r="F1117" i="7" s="1"/>
  <c r="F1118" i="7" a="1"/>
  <c r="F1118" i="7" s="1"/>
  <c r="F1119" i="7" a="1"/>
  <c r="F1119" i="7" s="1"/>
  <c r="F1120" i="7" a="1"/>
  <c r="F1120" i="7" s="1"/>
  <c r="F1121" i="7" a="1"/>
  <c r="F1121" i="7" s="1"/>
  <c r="F1122" i="7" a="1"/>
  <c r="F1122" i="7" s="1"/>
  <c r="F1123" i="7" a="1"/>
  <c r="F1123" i="7" s="1"/>
  <c r="F1124" i="7" a="1"/>
  <c r="F1124" i="7" s="1"/>
  <c r="F1125" i="7" a="1"/>
  <c r="F1125" i="7" s="1"/>
  <c r="F1126" i="7" a="1"/>
  <c r="F1126" i="7" s="1"/>
  <c r="F1127" i="7" a="1"/>
  <c r="F1127" i="7" s="1"/>
  <c r="F1128" i="7" a="1"/>
  <c r="F1128" i="7"/>
  <c r="F1129" i="7" a="1"/>
  <c r="F1129" i="7" s="1"/>
  <c r="F1130" i="7" a="1"/>
  <c r="F1130" i="7" s="1"/>
  <c r="F1131" i="7" a="1"/>
  <c r="F1131" i="7" s="1"/>
  <c r="F1132" i="7" a="1"/>
  <c r="F1132" i="7" s="1"/>
  <c r="F1133" i="7" a="1"/>
  <c r="F1133" i="7" s="1"/>
  <c r="F1134" i="7" a="1"/>
  <c r="F1134" i="7" s="1"/>
  <c r="F1135" i="7" a="1"/>
  <c r="F1135" i="7" s="1"/>
  <c r="F1136" i="7" a="1"/>
  <c r="F1136" i="7" s="1"/>
  <c r="F1137" i="7" a="1"/>
  <c r="F1137" i="7" s="1"/>
  <c r="F1138" i="7" a="1"/>
  <c r="F1138" i="7"/>
  <c r="F1139" i="7" a="1"/>
  <c r="F1139" i="7" s="1"/>
  <c r="F1140" i="7" a="1"/>
  <c r="F1140" i="7" s="1"/>
  <c r="F1141" i="7" a="1"/>
  <c r="F1141" i="7" s="1"/>
  <c r="F1142" i="7" a="1"/>
  <c r="F1142" i="7" s="1"/>
  <c r="F1143" i="7" a="1"/>
  <c r="F1143" i="7" s="1"/>
  <c r="F1144" i="7" a="1"/>
  <c r="F1144" i="7" s="1"/>
  <c r="F1145" i="7" a="1"/>
  <c r="F1145" i="7" s="1"/>
  <c r="F1146" i="7" a="1"/>
  <c r="F1146" i="7" s="1"/>
  <c r="F1147" i="7" a="1"/>
  <c r="F1147" i="7" s="1"/>
  <c r="F1148" i="7" a="1"/>
  <c r="F1148" i="7"/>
  <c r="F1149" i="7" a="1"/>
  <c r="F1149" i="7" s="1"/>
  <c r="F1150" i="7" a="1"/>
  <c r="F1150" i="7" s="1"/>
  <c r="F1151" i="7" a="1"/>
  <c r="F1151" i="7" s="1"/>
  <c r="F1152" i="7" a="1"/>
  <c r="F1152" i="7" s="1"/>
  <c r="F1153" i="7" a="1"/>
  <c r="F1153" i="7" s="1"/>
  <c r="F1154" i="7" a="1"/>
  <c r="F1154" i="7" s="1"/>
  <c r="F1155" i="7" a="1"/>
  <c r="F1155" i="7" s="1"/>
  <c r="F1156" i="7" a="1"/>
  <c r="F1156" i="7" s="1"/>
  <c r="F1157" i="7" a="1"/>
  <c r="F1157" i="7" s="1"/>
  <c r="F1158" i="7" a="1"/>
  <c r="F1158" i="7"/>
  <c r="F1159" i="7" a="1"/>
  <c r="F1159" i="7" s="1"/>
  <c r="F1160" i="7" a="1"/>
  <c r="F1160" i="7" s="1"/>
  <c r="F1161" i="7" a="1"/>
  <c r="F1161" i="7" s="1"/>
  <c r="F1162" i="7" a="1"/>
  <c r="F1162" i="7" s="1"/>
  <c r="F1163" i="7" a="1"/>
  <c r="F1163" i="7" s="1"/>
  <c r="F1164" i="7" a="1"/>
  <c r="F1164" i="7" s="1"/>
  <c r="F1165" i="7" a="1"/>
  <c r="F1165" i="7" s="1"/>
  <c r="F1166" i="7" a="1"/>
  <c r="F1166" i="7" s="1"/>
  <c r="F1167" i="7" a="1"/>
  <c r="F1167" i="7" s="1"/>
  <c r="F1168" i="7" a="1"/>
  <c r="F1168" i="7"/>
  <c r="F1169" i="7" a="1"/>
  <c r="F1169" i="7" s="1"/>
  <c r="F1170" i="7" a="1"/>
  <c r="F1170" i="7" s="1"/>
  <c r="F1171" i="7" a="1"/>
  <c r="F1171" i="7" s="1"/>
  <c r="F1172" i="7" a="1"/>
  <c r="F1172" i="7" s="1"/>
  <c r="F1173" i="7" a="1"/>
  <c r="F1173" i="7" s="1"/>
  <c r="F1174" i="7" a="1"/>
  <c r="F1174" i="7" s="1"/>
  <c r="F1175" i="7" a="1"/>
  <c r="F1175" i="7"/>
  <c r="F1176" i="7" a="1"/>
  <c r="F1176" i="7"/>
  <c r="F1177" i="7" a="1"/>
  <c r="F1177" i="7" s="1"/>
  <c r="F1178" i="7" a="1"/>
  <c r="F1178" i="7" s="1"/>
  <c r="F1179" i="7" a="1"/>
  <c r="F1179" i="7" s="1"/>
  <c r="F1180" i="7" a="1"/>
  <c r="F1180" i="7" s="1"/>
  <c r="F1181" i="7" a="1"/>
  <c r="F1181" i="7" s="1"/>
  <c r="F1182" i="7" a="1"/>
  <c r="F1182" i="7" s="1"/>
  <c r="F1183" i="7" a="1"/>
  <c r="F1183" i="7" s="1"/>
  <c r="F1184" i="7" a="1"/>
  <c r="F1184" i="7"/>
  <c r="F1185" i="7" a="1"/>
  <c r="F1185" i="7" s="1"/>
  <c r="F1186" i="7" a="1"/>
  <c r="F1186" i="7" s="1"/>
  <c r="F1187" i="7" a="1"/>
  <c r="F1187" i="7" s="1"/>
  <c r="F1188" i="7" a="1"/>
  <c r="F1188" i="7"/>
  <c r="F1189" i="7" a="1"/>
  <c r="F1189" i="7" s="1"/>
  <c r="F1190" i="7" a="1"/>
  <c r="F1190" i="7" s="1"/>
  <c r="F1191" i="7" a="1"/>
  <c r="F1191" i="7" s="1"/>
  <c r="F1192" i="7" a="1"/>
  <c r="F1192" i="7" s="1"/>
  <c r="F1193" i="7" a="1"/>
  <c r="F1193" i="7" s="1"/>
  <c r="F1194" i="7" a="1"/>
  <c r="F1194" i="7" s="1"/>
  <c r="F1195" i="7" a="1"/>
  <c r="F1195" i="7" s="1"/>
  <c r="F1196" i="7" a="1"/>
  <c r="F1196" i="7" s="1"/>
  <c r="F1197" i="7" a="1"/>
  <c r="F1197" i="7" s="1"/>
  <c r="F1198" i="7" a="1"/>
  <c r="F1198" i="7" s="1"/>
  <c r="F1199" i="7" a="1"/>
  <c r="F1199" i="7" s="1"/>
  <c r="F1200" i="7" a="1"/>
  <c r="F1200" i="7"/>
  <c r="F1201" i="7" a="1"/>
  <c r="F1201" i="7" s="1"/>
  <c r="F1202" i="7" a="1"/>
  <c r="F1202" i="7" s="1"/>
  <c r="F1203" i="7" a="1"/>
  <c r="F1203" i="7" s="1"/>
  <c r="F1204" i="7" a="1"/>
  <c r="F1204" i="7" s="1"/>
  <c r="F1205" i="7" a="1"/>
  <c r="F1205" i="7" s="1"/>
  <c r="F1206" i="7" a="1"/>
  <c r="F1206" i="7" s="1"/>
  <c r="F1207" i="7" a="1"/>
  <c r="F1207" i="7" s="1"/>
  <c r="F1208" i="7" a="1"/>
  <c r="F1208" i="7" s="1"/>
  <c r="F1209" i="7" a="1"/>
  <c r="F1209" i="7" s="1"/>
  <c r="F1210" i="7" a="1"/>
  <c r="F1210" i="7" s="1"/>
  <c r="F1211" i="7" a="1"/>
  <c r="F1211" i="7"/>
  <c r="F1212" i="7" a="1"/>
  <c r="F1212" i="7" s="1"/>
  <c r="F1213" i="7" a="1"/>
  <c r="F1213" i="7" s="1"/>
  <c r="F1214" i="7" a="1"/>
  <c r="F1214" i="7" s="1"/>
  <c r="F1215" i="7" a="1"/>
  <c r="F1215" i="7" s="1"/>
  <c r="F1216" i="7" a="1"/>
  <c r="F1216" i="7" s="1"/>
  <c r="F1217" i="7" a="1"/>
  <c r="F1217" i="7" s="1"/>
  <c r="F1218" i="7" a="1"/>
  <c r="F1218" i="7"/>
  <c r="F1219" i="7" a="1"/>
  <c r="F1219" i="7" s="1"/>
  <c r="F1220" i="7" a="1"/>
  <c r="F1220" i="7"/>
  <c r="F1221" i="7" a="1"/>
  <c r="F1221" i="7" s="1"/>
  <c r="F1222" i="7" a="1"/>
  <c r="F1222" i="7" s="1"/>
  <c r="F1223" i="7" a="1"/>
  <c r="F1223" i="7" s="1"/>
  <c r="F1224" i="7" a="1"/>
  <c r="F1224" i="7" s="1"/>
  <c r="F1225" i="7" a="1"/>
  <c r="F1225" i="7" s="1"/>
  <c r="F1226" i="7" a="1"/>
  <c r="F1226" i="7" s="1"/>
  <c r="F1227" i="7" a="1"/>
  <c r="F1227" i="7" s="1"/>
  <c r="F1228" i="7" a="1"/>
  <c r="F1228" i="7" s="1"/>
  <c r="F1229" i="7" a="1"/>
  <c r="F1229" i="7"/>
  <c r="F1230" i="7" a="1"/>
  <c r="F1230" i="7" s="1"/>
  <c r="F1231" i="7" a="1"/>
  <c r="F1231" i="7" s="1"/>
  <c r="F1232" i="7" a="1"/>
  <c r="F1232" i="7" s="1"/>
  <c r="F1233" i="7" a="1"/>
  <c r="F1233" i="7" s="1"/>
  <c r="F1234" i="7" a="1"/>
  <c r="F1234" i="7" s="1"/>
  <c r="F1235" i="7" a="1"/>
  <c r="F1235" i="7" s="1"/>
  <c r="F1236" i="7" a="1"/>
  <c r="F1236" i="7"/>
  <c r="F1237" i="7" a="1"/>
  <c r="F1237" i="7" s="1"/>
  <c r="F1238" i="7" a="1"/>
  <c r="F1238" i="7"/>
  <c r="F1239" i="7" a="1"/>
  <c r="F1239" i="7" s="1"/>
  <c r="F1240" i="7" a="1"/>
  <c r="F1240" i="7" s="1"/>
  <c r="F1241" i="7" a="1"/>
  <c r="F1241" i="7" s="1"/>
  <c r="F1242" i="7" a="1"/>
  <c r="F1242" i="7" s="1"/>
  <c r="F1243" i="7" a="1"/>
  <c r="F1243" i="7" s="1"/>
  <c r="F1244" i="7" a="1"/>
  <c r="F1244" i="7" s="1"/>
  <c r="F1245" i="7" a="1"/>
  <c r="F1245" i="7" s="1"/>
  <c r="F1246" i="7" a="1"/>
  <c r="F1246" i="7"/>
  <c r="F1247" i="7" a="1"/>
  <c r="F1247" i="7" s="1"/>
  <c r="F1248" i="7" a="1"/>
  <c r="F1248" i="7" s="1"/>
  <c r="F1249" i="7" a="1"/>
  <c r="F1249" i="7" s="1"/>
  <c r="F1250" i="7" a="1"/>
  <c r="F1250" i="7" s="1"/>
  <c r="F1251" i="7" a="1"/>
  <c r="F1251" i="7" s="1"/>
  <c r="F1252" i="7" a="1"/>
  <c r="F1252" i="7" s="1"/>
  <c r="F1253" i="7" a="1"/>
  <c r="F1253" i="7" s="1"/>
  <c r="F1254" i="7" a="1"/>
  <c r="F1254" i="7" s="1"/>
  <c r="F1255" i="7" a="1"/>
  <c r="F1255" i="7" s="1"/>
  <c r="F1256" i="7" a="1"/>
  <c r="F1256" i="7" s="1"/>
  <c r="F1257" i="7" a="1"/>
  <c r="F1257" i="7" s="1"/>
  <c r="F1258" i="7" a="1"/>
  <c r="F1258" i="7"/>
  <c r="F1259" i="7" a="1"/>
  <c r="F1259" i="7" s="1"/>
  <c r="F1260" i="7" a="1"/>
  <c r="F1260" i="7"/>
  <c r="F1261" i="7" a="1"/>
  <c r="F1261" i="7" s="1"/>
  <c r="F1262" i="7" a="1"/>
  <c r="F1262" i="7" s="1"/>
  <c r="F1263" i="7" a="1"/>
  <c r="F1263" i="7" s="1"/>
  <c r="F1264" i="7" a="1"/>
  <c r="F1264" i="7" s="1"/>
  <c r="F1265" i="7" a="1"/>
  <c r="F1265" i="7" s="1"/>
  <c r="F1266" i="7" a="1"/>
  <c r="F1266" i="7" s="1"/>
  <c r="F1267" i="7" a="1"/>
  <c r="F1267" i="7" s="1"/>
  <c r="F1268" i="7" a="1"/>
  <c r="F1268" i="7" s="1"/>
  <c r="F1269" i="7" a="1"/>
  <c r="F1269" i="7" s="1"/>
  <c r="F1270" i="7" a="1"/>
  <c r="F1270" i="7" s="1"/>
  <c r="F1271" i="7" a="1"/>
  <c r="F1271" i="7" s="1"/>
  <c r="F1272" i="7" a="1"/>
  <c r="F1272" i="7" s="1"/>
  <c r="F1273" i="7" a="1"/>
  <c r="F1273" i="7" s="1"/>
  <c r="F1274" i="7" a="1"/>
  <c r="F1274" i="7" s="1"/>
  <c r="F1275" i="7" a="1"/>
  <c r="F1275" i="7" s="1"/>
  <c r="F1276" i="7" a="1"/>
  <c r="F1276" i="7" s="1"/>
  <c r="F1277" i="7" a="1"/>
  <c r="F1277" i="7" s="1"/>
  <c r="F1278" i="7" a="1"/>
  <c r="F1278" i="7" s="1"/>
  <c r="F1279" i="7" a="1"/>
  <c r="F1279" i="7" s="1"/>
  <c r="F1280" i="7" a="1"/>
  <c r="F1280" i="7" s="1"/>
  <c r="F1281" i="7" a="1"/>
  <c r="F1281" i="7" s="1"/>
  <c r="F1282" i="7" a="1"/>
  <c r="F1282" i="7" s="1"/>
  <c r="F1283" i="7" a="1"/>
  <c r="F1283" i="7" s="1"/>
  <c r="F1284" i="7" a="1"/>
  <c r="F1284" i="7" s="1"/>
  <c r="F1285" i="7" a="1"/>
  <c r="F1285" i="7" s="1"/>
  <c r="F1286" i="7" a="1"/>
  <c r="F1286" i="7" s="1"/>
  <c r="F1287" i="7" a="1"/>
  <c r="F1287" i="7" s="1"/>
  <c r="F1288" i="7" a="1"/>
  <c r="F1288" i="7" s="1"/>
  <c r="F1289" i="7" a="1"/>
  <c r="F1289" i="7" s="1"/>
  <c r="F1290" i="7" a="1"/>
  <c r="F1290" i="7" s="1"/>
  <c r="F1291" i="7" a="1"/>
  <c r="F1291" i="7" s="1"/>
  <c r="F1292" i="7" a="1"/>
  <c r="F1292" i="7" s="1"/>
  <c r="F1293" i="7" a="1"/>
  <c r="F1293" i="7" s="1"/>
  <c r="F1294" i="7" a="1"/>
  <c r="F1294" i="7" s="1"/>
  <c r="F1295" i="7" a="1"/>
  <c r="F1295" i="7" s="1"/>
  <c r="F1296" i="7" a="1"/>
  <c r="F1296" i="7" s="1"/>
  <c r="F1297" i="7" a="1"/>
  <c r="F1297" i="7" s="1"/>
  <c r="F1298" i="7" a="1"/>
  <c r="F1298" i="7" s="1"/>
  <c r="F1299" i="7" a="1"/>
  <c r="F1299" i="7" s="1"/>
  <c r="F1300" i="7" a="1"/>
  <c r="F1300" i="7" s="1"/>
  <c r="F1301" i="7" a="1"/>
  <c r="F1301" i="7"/>
  <c r="F1302" i="7" a="1"/>
  <c r="F1302" i="7" s="1"/>
  <c r="F1303" i="7" a="1"/>
  <c r="F1303" i="7" s="1"/>
  <c r="F1304" i="7" a="1"/>
  <c r="F1304" i="7" s="1"/>
  <c r="F1305" i="7" a="1"/>
  <c r="F1305" i="7" s="1"/>
  <c r="F1306" i="7" a="1"/>
  <c r="F1306" i="7" s="1"/>
  <c r="F1307" i="7" a="1"/>
  <c r="F1307" i="7" s="1"/>
  <c r="F1308" i="7" a="1"/>
  <c r="F1308" i="7" s="1"/>
  <c r="F1309" i="7" a="1"/>
  <c r="F1309" i="7" s="1"/>
  <c r="F1310" i="7" a="1"/>
  <c r="F1310" i="7" s="1"/>
  <c r="F1311" i="7" a="1"/>
  <c r="F1311" i="7" s="1"/>
  <c r="F1312" i="7" a="1"/>
  <c r="F1312" i="7" s="1"/>
  <c r="F1313" i="7" a="1"/>
  <c r="F1313" i="7" s="1"/>
  <c r="F1314" i="7" a="1"/>
  <c r="F1314" i="7" s="1"/>
  <c r="F1315" i="7" a="1"/>
  <c r="F1315" i="7" s="1"/>
  <c r="F1316" i="7" a="1"/>
  <c r="F1316" i="7" s="1"/>
  <c r="F1317" i="7" a="1"/>
  <c r="F1317" i="7" s="1"/>
  <c r="F1318" i="7" a="1"/>
  <c r="F1318" i="7" s="1"/>
  <c r="F1319" i="7" a="1"/>
  <c r="F1319" i="7" s="1"/>
  <c r="F1320" i="7" a="1"/>
  <c r="F1320" i="7" s="1"/>
  <c r="F1321" i="7" a="1"/>
  <c r="F1321" i="7" s="1"/>
  <c r="F1322" i="7" a="1"/>
  <c r="F1322" i="7"/>
  <c r="F1323" i="7" a="1"/>
  <c r="F1323" i="7" s="1"/>
  <c r="F1324" i="7" a="1"/>
  <c r="F1324" i="7" s="1"/>
  <c r="F1325" i="7" a="1"/>
  <c r="F1325" i="7" s="1"/>
  <c r="F1326" i="7" a="1"/>
  <c r="F1326" i="7" s="1"/>
  <c r="F1327" i="7" a="1"/>
  <c r="F1327" i="7" s="1"/>
  <c r="F1328" i="7" a="1"/>
  <c r="F1328" i="7" s="1"/>
  <c r="F1329" i="7" a="1"/>
  <c r="F1329" i="7" s="1"/>
  <c r="F1330" i="7" a="1"/>
  <c r="F1330" i="7" s="1"/>
  <c r="F1331" i="7" a="1"/>
  <c r="F1331" i="7" s="1"/>
  <c r="F1332" i="7" a="1"/>
  <c r="F1332" i="7" s="1"/>
  <c r="F1333" i="7" a="1"/>
  <c r="F1333" i="7" s="1"/>
  <c r="F1334" i="7" a="1"/>
  <c r="F1334" i="7"/>
  <c r="F1335" i="7" a="1"/>
  <c r="F1335" i="7" s="1"/>
  <c r="F1336" i="7" a="1"/>
  <c r="F1336" i="7" s="1"/>
  <c r="F1337" i="7" a="1"/>
  <c r="F1337" i="7" s="1"/>
  <c r="F1338" i="7" a="1"/>
  <c r="F1338" i="7" s="1"/>
  <c r="F1339" i="7" a="1"/>
  <c r="F1339" i="7" s="1"/>
  <c r="F1340" i="7" a="1"/>
  <c r="F1340" i="7" s="1"/>
  <c r="F1341" i="7" a="1"/>
  <c r="F1341" i="7" s="1"/>
  <c r="F1342" i="7" a="1"/>
  <c r="F1342" i="7"/>
  <c r="F1343" i="7" a="1"/>
  <c r="F1343" i="7" s="1"/>
  <c r="F1344" i="7" a="1"/>
  <c r="F1344" i="7" s="1"/>
  <c r="F1345" i="7" a="1"/>
  <c r="F1345" i="7" s="1"/>
  <c r="F1346" i="7" a="1"/>
  <c r="F1346" i="7" s="1"/>
  <c r="F1347" i="7" a="1"/>
  <c r="F1347" i="7" s="1"/>
  <c r="F1348" i="7" a="1"/>
  <c r="F1348" i="7" s="1"/>
  <c r="F1349" i="7" a="1"/>
  <c r="F1349" i="7" s="1"/>
  <c r="F1350" i="7" a="1"/>
  <c r="F1350" i="7" s="1"/>
  <c r="F1351" i="7" a="1"/>
  <c r="F1351" i="7" s="1"/>
  <c r="F1352" i="7" a="1"/>
  <c r="F1352" i="7"/>
  <c r="F1353" i="7" a="1"/>
  <c r="F1353" i="7" s="1"/>
  <c r="F1354" i="7" a="1"/>
  <c r="F1354" i="7"/>
  <c r="F1355" i="7" a="1"/>
  <c r="F1355" i="7" s="1"/>
  <c r="F1356" i="7" a="1"/>
  <c r="F1356" i="7"/>
  <c r="F1357" i="7" a="1"/>
  <c r="F1357" i="7" s="1"/>
  <c r="F1358" i="7" a="1"/>
  <c r="F1358" i="7" s="1"/>
  <c r="F1359" i="7" a="1"/>
  <c r="F1359" i="7" s="1"/>
  <c r="F1360" i="7" a="1"/>
  <c r="F1360" i="7" s="1"/>
  <c r="F1361" i="7" a="1"/>
  <c r="F1361" i="7" s="1"/>
  <c r="F1362" i="7" a="1"/>
  <c r="F1362" i="7" s="1"/>
  <c r="F1363" i="7" a="1"/>
  <c r="F1363" i="7" s="1"/>
  <c r="F1364" i="7" a="1"/>
  <c r="F1364" i="7"/>
  <c r="F1365" i="7" a="1"/>
  <c r="F1365" i="7" s="1"/>
  <c r="F1366" i="7" a="1"/>
  <c r="F1366" i="7" s="1"/>
  <c r="F1367" i="7" a="1"/>
  <c r="F1367" i="7" s="1"/>
  <c r="F1368" i="7" a="1"/>
  <c r="F1368" i="7" s="1"/>
  <c r="F1369" i="7" a="1"/>
  <c r="F1369" i="7" s="1"/>
  <c r="F1370" i="7" a="1"/>
  <c r="F1370" i="7" s="1"/>
  <c r="F1371" i="7" a="1"/>
  <c r="F1371" i="7" s="1"/>
  <c r="F1372" i="7" a="1"/>
  <c r="F1372" i="7" s="1"/>
  <c r="F1373" i="7" a="1"/>
  <c r="F1373" i="7" s="1"/>
  <c r="F1374" i="7" a="1"/>
  <c r="F1374" i="7" s="1"/>
  <c r="F1375" i="7" a="1"/>
  <c r="F1375" i="7" s="1"/>
  <c r="F1376" i="7" a="1"/>
  <c r="F1376" i="7" s="1"/>
  <c r="F1377" i="7" a="1"/>
  <c r="F1377" i="7" s="1"/>
  <c r="F1378" i="7" a="1"/>
  <c r="F1378" i="7" s="1"/>
  <c r="F1379" i="7" a="1"/>
  <c r="F1379" i="7" s="1"/>
  <c r="F1380" i="7" a="1"/>
  <c r="F1380" i="7" s="1"/>
  <c r="F1381" i="7" a="1"/>
  <c r="F1381" i="7" s="1"/>
  <c r="F1382" i="7" a="1"/>
  <c r="F1382" i="7" s="1"/>
  <c r="F1383" i="7" a="1"/>
  <c r="F1383" i="7" s="1"/>
  <c r="F1384" i="7" a="1"/>
  <c r="F1384" i="7" s="1"/>
  <c r="F1385" i="7" a="1"/>
  <c r="F1385" i="7" s="1"/>
  <c r="F1386" i="7" a="1"/>
  <c r="F1386" i="7" s="1"/>
  <c r="F1387" i="7" a="1"/>
  <c r="F1387" i="7" s="1"/>
  <c r="F1388" i="7" a="1"/>
  <c r="F1388" i="7" s="1"/>
  <c r="F1389" i="7" a="1"/>
  <c r="F1389" i="7" s="1"/>
  <c r="F1390" i="7" a="1"/>
  <c r="F1390" i="7" s="1"/>
  <c r="F1391" i="7" a="1"/>
  <c r="F1391" i="7"/>
  <c r="F1392" i="7" a="1"/>
  <c r="F1392" i="7" s="1"/>
  <c r="F1393" i="7" a="1"/>
  <c r="F1393" i="7" s="1"/>
  <c r="F1394" i="7" a="1"/>
  <c r="F1394" i="7" s="1"/>
  <c r="F1395" i="7" a="1"/>
  <c r="F1395" i="7" s="1"/>
  <c r="F1396" i="7" a="1"/>
  <c r="F1396" i="7"/>
  <c r="F1397" i="7" a="1"/>
  <c r="F1397" i="7" s="1"/>
  <c r="F1398" i="7" a="1"/>
  <c r="F1398" i="7" s="1"/>
  <c r="F1399" i="7" a="1"/>
  <c r="F1399" i="7" s="1"/>
  <c r="F1400" i="7" a="1"/>
  <c r="F1400" i="7"/>
  <c r="F1401" i="7" a="1"/>
  <c r="F1401" i="7" s="1"/>
  <c r="F1402" i="7" a="1"/>
  <c r="F1402" i="7" s="1"/>
  <c r="F1403" i="7" a="1"/>
  <c r="F1403" i="7" s="1"/>
  <c r="F1404" i="7" a="1"/>
  <c r="F1404" i="7" s="1"/>
  <c r="F1405" i="7" a="1"/>
  <c r="F1405" i="7" s="1"/>
  <c r="F1406" i="7" a="1"/>
  <c r="F1406" i="7" s="1"/>
  <c r="F1407" i="7" a="1"/>
  <c r="F1407" i="7" s="1"/>
  <c r="F1408" i="7" a="1"/>
  <c r="F1408" i="7" s="1"/>
  <c r="F1409" i="7" a="1"/>
  <c r="F1409" i="7" s="1"/>
  <c r="F1410" i="7" a="1"/>
  <c r="F1410" i="7"/>
  <c r="F1411" i="7" a="1"/>
  <c r="F1411" i="7" s="1"/>
  <c r="F1412" i="7" a="1"/>
  <c r="F1412" i="7" s="1"/>
  <c r="F1413" i="7" a="1"/>
  <c r="F1413" i="7" s="1"/>
  <c r="F1414" i="7" a="1"/>
  <c r="F1414" i="7" s="1"/>
  <c r="F1415" i="7" a="1"/>
  <c r="F1415" i="7" s="1"/>
  <c r="F1416" i="7" a="1"/>
  <c r="F1416" i="7" s="1"/>
  <c r="F1417" i="7" a="1"/>
  <c r="F1417" i="7" s="1"/>
  <c r="F1418" i="7" a="1"/>
  <c r="F1418" i="7"/>
  <c r="F1419" i="7" a="1"/>
  <c r="F1419" i="7" s="1"/>
  <c r="F1420" i="7" a="1"/>
  <c r="F1420" i="7" s="1"/>
  <c r="F1421" i="7" a="1"/>
  <c r="F1421" i="7" s="1"/>
  <c r="F1422" i="7" a="1"/>
  <c r="F1422" i="7" s="1"/>
  <c r="F1423" i="7" a="1"/>
  <c r="F1423" i="7" s="1"/>
  <c r="F1424" i="7" a="1"/>
  <c r="F1424" i="7" s="1"/>
  <c r="F1425" i="7" a="1"/>
  <c r="F1425" i="7" s="1"/>
  <c r="F1426" i="7" a="1"/>
  <c r="F1426" i="7" s="1"/>
  <c r="F1427" i="7" a="1"/>
  <c r="F1427" i="7" s="1"/>
  <c r="F1428" i="7" a="1"/>
  <c r="F1428" i="7" s="1"/>
  <c r="F1429" i="7" a="1"/>
  <c r="F1429" i="7" s="1"/>
  <c r="F1430" i="7" a="1"/>
  <c r="F1430" i="7" s="1"/>
  <c r="F1431" i="7" a="1"/>
  <c r="F1431" i="7" s="1"/>
  <c r="F1432" i="7" a="1"/>
  <c r="F1432" i="7" s="1"/>
  <c r="F1433" i="7" a="1"/>
  <c r="F1433" i="7" s="1"/>
  <c r="F1434" i="7" a="1"/>
  <c r="F1434" i="7" s="1"/>
  <c r="F1435" i="7" a="1"/>
  <c r="F1435" i="7" s="1"/>
  <c r="F1436" i="7" a="1"/>
  <c r="F1436" i="7" s="1"/>
  <c r="F1437" i="7" a="1"/>
  <c r="F1437" i="7" s="1"/>
  <c r="F1438" i="7" a="1"/>
  <c r="F1438" i="7" s="1"/>
  <c r="F1439" i="7" a="1"/>
  <c r="F1439" i="7"/>
  <c r="F1440" i="7" a="1"/>
  <c r="F1440" i="7" s="1"/>
  <c r="F1441" i="7" a="1"/>
  <c r="F1441" i="7" s="1"/>
  <c r="F1442" i="7" a="1"/>
  <c r="F1442" i="7" s="1"/>
  <c r="F1443" i="7" a="1"/>
  <c r="F1443" i="7" s="1"/>
  <c r="F1444" i="7" a="1"/>
  <c r="F1444" i="7" s="1"/>
  <c r="F1445" i="7" a="1"/>
  <c r="F1445" i="7" s="1"/>
  <c r="F1446" i="7" a="1"/>
  <c r="F1446" i="7" s="1"/>
  <c r="F1447" i="7" a="1"/>
  <c r="F1447" i="7" s="1"/>
  <c r="F1448" i="7" a="1"/>
  <c r="F1448" i="7" s="1"/>
  <c r="F1449" i="7" a="1"/>
  <c r="F1449" i="7" s="1"/>
  <c r="F1450" i="7" a="1"/>
  <c r="F1450" i="7" s="1"/>
  <c r="F1451" i="7" a="1"/>
  <c r="F1451" i="7" s="1"/>
  <c r="F1452" i="7" a="1"/>
  <c r="F1452" i="7"/>
  <c r="F1453" i="7" a="1"/>
  <c r="F1453" i="7" s="1"/>
  <c r="F1454" i="7" a="1"/>
  <c r="F1454" i="7" s="1"/>
  <c r="F1455" i="7" a="1"/>
  <c r="F1455" i="7" s="1"/>
  <c r="F1456" i="7" a="1"/>
  <c r="F1456" i="7" s="1"/>
  <c r="F1457" i="7" a="1"/>
  <c r="F1457" i="7" s="1"/>
  <c r="F1458" i="7" a="1"/>
  <c r="F1458" i="7" s="1"/>
  <c r="F1459" i="7" a="1"/>
  <c r="F1459" i="7" s="1"/>
  <c r="F1460" i="7" a="1"/>
  <c r="F1460" i="7" s="1"/>
  <c r="F1461" i="7" a="1"/>
  <c r="F1461" i="7" s="1"/>
  <c r="F1462" i="7" a="1"/>
  <c r="F1462" i="7" s="1"/>
  <c r="F1463" i="7" a="1"/>
  <c r="F1463" i="7" s="1"/>
  <c r="F1464" i="7" a="1"/>
  <c r="F1464" i="7"/>
  <c r="F1465" i="7" a="1"/>
  <c r="F1465" i="7" s="1"/>
  <c r="F1466" i="7" a="1"/>
  <c r="F1466" i="7" s="1"/>
  <c r="F1467" i="7" a="1"/>
  <c r="F1467" i="7" s="1"/>
  <c r="F1468" i="7" a="1"/>
  <c r="F1468" i="7" s="1"/>
  <c r="F1469" i="7" a="1"/>
  <c r="F1469" i="7" s="1"/>
  <c r="F1470" i="7" a="1"/>
  <c r="F1470" i="7" s="1"/>
  <c r="F1471" i="7" a="1"/>
  <c r="F1471" i="7" s="1"/>
  <c r="F1472" i="7" a="1"/>
  <c r="F1472" i="7" s="1"/>
  <c r="F1473" i="7" a="1"/>
  <c r="F1473" i="7" s="1"/>
  <c r="B7" i="7"/>
  <c r="A7" i="7"/>
  <c r="B3" i="6" a="1"/>
  <c r="B3" i="6" s="1"/>
  <c r="B4" i="6" a="1"/>
  <c r="B4" i="6" s="1"/>
  <c r="B5" i="6" a="1"/>
  <c r="B5" i="6" s="1"/>
  <c r="B6" i="6" a="1"/>
  <c r="B6" i="6" s="1"/>
  <c r="B7" i="6" a="1"/>
  <c r="B7" i="6" s="1"/>
  <c r="B8" i="6" a="1"/>
  <c r="B8" i="6" s="1"/>
  <c r="B9" i="6" a="1"/>
  <c r="B9" i="6" s="1"/>
  <c r="B10" i="6" a="1"/>
  <c r="B10" i="6" s="1"/>
  <c r="B11" i="6" a="1"/>
  <c r="B11" i="6" s="1"/>
  <c r="B12" i="6" a="1"/>
  <c r="B12" i="6" s="1"/>
  <c r="B13" i="6" a="1"/>
  <c r="B13" i="6" s="1"/>
  <c r="B14" i="6" a="1"/>
  <c r="B14" i="6" s="1"/>
  <c r="B15" i="6" a="1"/>
  <c r="B15" i="6" s="1"/>
  <c r="B16" i="6" a="1"/>
  <c r="B16" i="6" s="1"/>
  <c r="B17" i="6" a="1"/>
  <c r="B17" i="6" s="1"/>
  <c r="B18" i="6" a="1"/>
  <c r="B18" i="6" s="1"/>
  <c r="B19" i="6" a="1"/>
  <c r="B19" i="6" s="1"/>
  <c r="B20" i="6" a="1"/>
  <c r="B20" i="6" s="1"/>
  <c r="B21" i="6" a="1"/>
  <c r="B21" i="6" s="1"/>
  <c r="B22" i="6" a="1"/>
  <c r="B22" i="6" s="1"/>
  <c r="B23" i="6" a="1"/>
  <c r="B23" i="6" s="1"/>
  <c r="B24" i="6" a="1"/>
  <c r="B24" i="6" s="1"/>
  <c r="B25" i="6" a="1"/>
  <c r="B25" i="6" s="1"/>
  <c r="B26" i="6" a="1"/>
  <c r="B26" i="6" s="1"/>
  <c r="B27" i="6" a="1"/>
  <c r="B27" i="6" s="1"/>
  <c r="B28" i="6" a="1"/>
  <c r="B28" i="6" s="1"/>
  <c r="B29" i="6" a="1"/>
  <c r="B29" i="6" s="1"/>
  <c r="B30" i="6" a="1"/>
  <c r="B30" i="6" s="1"/>
  <c r="B31" i="6" a="1"/>
  <c r="B31" i="6" s="1"/>
  <c r="B32" i="6" a="1"/>
  <c r="B32" i="6" s="1"/>
  <c r="B33" i="6" a="1"/>
  <c r="B33" i="6" s="1"/>
  <c r="B34" i="6" a="1"/>
  <c r="B34" i="6" s="1"/>
  <c r="B35" i="6" a="1"/>
  <c r="B35" i="6" s="1"/>
  <c r="B36" i="6" a="1"/>
  <c r="B36" i="6" s="1"/>
  <c r="B37" i="6" a="1"/>
  <c r="B37" i="6" s="1"/>
  <c r="B38" i="6" a="1"/>
  <c r="B38" i="6" s="1"/>
  <c r="B39" i="6" a="1"/>
  <c r="B39" i="6" s="1"/>
  <c r="B40" i="6" a="1"/>
  <c r="B40" i="6" s="1"/>
  <c r="B41" i="6" a="1"/>
  <c r="B41" i="6" s="1"/>
  <c r="B42" i="6" a="1"/>
  <c r="B42" i="6" s="1"/>
  <c r="B43" i="6" a="1"/>
  <c r="B43" i="6" s="1"/>
  <c r="B44" i="6" a="1"/>
  <c r="B44" i="6" s="1"/>
  <c r="B45" i="6" a="1"/>
  <c r="B45" i="6" s="1"/>
  <c r="B46" i="6" a="1"/>
  <c r="B46" i="6" s="1"/>
  <c r="B47" i="6" a="1"/>
  <c r="B47" i="6" s="1"/>
  <c r="B48" i="6" a="1"/>
  <c r="B48" i="6" s="1"/>
  <c r="B49" i="6" a="1"/>
  <c r="B49" i="6" s="1"/>
  <c r="B50" i="6" a="1"/>
  <c r="B50" i="6" s="1"/>
  <c r="B51" i="6" a="1"/>
  <c r="B51" i="6" s="1"/>
  <c r="B52" i="6" a="1"/>
  <c r="B52" i="6" s="1"/>
  <c r="B53" i="6" a="1"/>
  <c r="B53" i="6" s="1"/>
  <c r="B54" i="6" a="1"/>
  <c r="B54" i="6" s="1"/>
  <c r="B55" i="6" a="1"/>
  <c r="B55" i="6" s="1"/>
  <c r="B56" i="6" a="1"/>
  <c r="B56" i="6" s="1"/>
  <c r="B57" i="6" a="1"/>
  <c r="B57" i="6" s="1"/>
  <c r="B58" i="6" a="1"/>
  <c r="B58" i="6" s="1"/>
  <c r="B59" i="6" a="1"/>
  <c r="B59" i="6" s="1"/>
  <c r="B60" i="6" a="1"/>
  <c r="B60" i="6" s="1"/>
  <c r="B61" i="6" a="1"/>
  <c r="B61" i="6" s="1"/>
  <c r="B62" i="6" a="1"/>
  <c r="B62" i="6" s="1"/>
  <c r="B63" i="6" a="1"/>
  <c r="B63" i="6" s="1"/>
  <c r="B64" i="6" a="1"/>
  <c r="B64" i="6" s="1"/>
  <c r="B65" i="6" a="1"/>
  <c r="B65" i="6" s="1"/>
  <c r="B66" i="6" a="1"/>
  <c r="B66" i="6" s="1"/>
  <c r="B67" i="6" a="1"/>
  <c r="B67" i="6" s="1"/>
  <c r="B68" i="6" a="1"/>
  <c r="B68" i="6" s="1"/>
  <c r="B69" i="6" a="1"/>
  <c r="B69" i="6" s="1"/>
  <c r="B70" i="6" a="1"/>
  <c r="B70" i="6" s="1"/>
  <c r="B71" i="6" a="1"/>
  <c r="B71" i="6" s="1"/>
  <c r="B72" i="6" a="1"/>
  <c r="B72" i="6" s="1"/>
  <c r="B73" i="6" a="1"/>
  <c r="B73" i="6" s="1"/>
  <c r="B74" i="6" a="1"/>
  <c r="B74" i="6" s="1"/>
  <c r="B75" i="6" a="1"/>
  <c r="B75" i="6" s="1"/>
  <c r="B76" i="6" a="1"/>
  <c r="B76" i="6" s="1"/>
  <c r="B77" i="6" a="1"/>
  <c r="B77" i="6" s="1"/>
  <c r="B78" i="6" a="1"/>
  <c r="B78" i="6" s="1"/>
  <c r="B79" i="6" a="1"/>
  <c r="B79" i="6" s="1"/>
  <c r="B80" i="6" a="1"/>
  <c r="B80" i="6" s="1"/>
  <c r="B81" i="6" a="1"/>
  <c r="B81" i="6" s="1"/>
  <c r="B82" i="6" a="1"/>
  <c r="B82" i="6" s="1"/>
  <c r="B83" i="6" a="1"/>
  <c r="B83" i="6" s="1"/>
  <c r="B84" i="6" a="1"/>
  <c r="B84" i="6" s="1"/>
  <c r="B85" i="6" a="1"/>
  <c r="B85" i="6" s="1"/>
  <c r="B86" i="6" a="1"/>
  <c r="B86" i="6" s="1"/>
  <c r="B87" i="6" a="1"/>
  <c r="B87" i="6" s="1"/>
  <c r="B88" i="6" a="1"/>
  <c r="B88" i="6" s="1"/>
  <c r="B89" i="6" a="1"/>
  <c r="B89" i="6" s="1"/>
  <c r="B90" i="6" a="1"/>
  <c r="B90" i="6" s="1"/>
  <c r="B91" i="6" a="1"/>
  <c r="B91" i="6" s="1"/>
  <c r="B92" i="6" a="1"/>
  <c r="B92" i="6" s="1"/>
  <c r="B93" i="6" a="1"/>
  <c r="B93" i="6" s="1"/>
  <c r="B94" i="6" a="1"/>
  <c r="B94" i="6" s="1"/>
  <c r="B95" i="6" a="1"/>
  <c r="B95" i="6" s="1"/>
  <c r="B96" i="6" a="1"/>
  <c r="B96" i="6" s="1"/>
  <c r="B97" i="6" a="1"/>
  <c r="B97" i="6" s="1"/>
  <c r="B98" i="6" a="1"/>
  <c r="B98" i="6" s="1"/>
  <c r="B99" i="6" a="1"/>
  <c r="B99" i="6" s="1"/>
  <c r="B100" i="6" a="1"/>
  <c r="B100" i="6" s="1"/>
  <c r="B101" i="6" a="1"/>
  <c r="B101" i="6" s="1"/>
  <c r="B102" i="6" a="1"/>
  <c r="B102" i="6" s="1"/>
  <c r="B103" i="6" a="1"/>
  <c r="B103" i="6" s="1"/>
  <c r="B104" i="6" a="1"/>
  <c r="B104" i="6" s="1"/>
  <c r="B105" i="6" a="1"/>
  <c r="B105" i="6" s="1"/>
  <c r="B106" i="6" a="1"/>
  <c r="B106" i="6" s="1"/>
  <c r="B107" i="6" a="1"/>
  <c r="B107" i="6" s="1"/>
  <c r="B108" i="6" a="1"/>
  <c r="B108" i="6" s="1"/>
  <c r="B109" i="6" a="1"/>
  <c r="B109" i="6" s="1"/>
  <c r="B110" i="6" a="1"/>
  <c r="B110" i="6" s="1"/>
  <c r="B111" i="6" a="1"/>
  <c r="B111" i="6" s="1"/>
  <c r="B112" i="6" a="1"/>
  <c r="B112" i="6" s="1"/>
  <c r="B113" i="6" a="1"/>
  <c r="B113" i="6" s="1"/>
  <c r="B114" i="6" a="1"/>
  <c r="B114" i="6" s="1"/>
  <c r="B115" i="6" a="1"/>
  <c r="B115" i="6" s="1"/>
  <c r="B116" i="6" a="1"/>
  <c r="B116" i="6" s="1"/>
  <c r="B117" i="6" a="1"/>
  <c r="B117" i="6" s="1"/>
  <c r="B118" i="6" a="1"/>
  <c r="B118" i="6" s="1"/>
  <c r="B119" i="6" a="1"/>
  <c r="B119" i="6" s="1"/>
  <c r="B120" i="6" a="1"/>
  <c r="B120" i="6" s="1"/>
  <c r="B121" i="6" a="1"/>
  <c r="B121" i="6" s="1"/>
  <c r="B122" i="6" a="1"/>
  <c r="B122" i="6" s="1"/>
  <c r="B123" i="6" a="1"/>
  <c r="B123" i="6" s="1"/>
  <c r="B124" i="6" a="1"/>
  <c r="B124" i="6" s="1"/>
  <c r="B125" i="6" a="1"/>
  <c r="B125" i="6" s="1"/>
  <c r="B126" i="6" a="1"/>
  <c r="B126" i="6" s="1"/>
  <c r="B127" i="6" a="1"/>
  <c r="B127" i="6" s="1"/>
  <c r="B128" i="6" a="1"/>
  <c r="B128" i="6" s="1"/>
  <c r="B129" i="6" a="1"/>
  <c r="B129" i="6" s="1"/>
  <c r="B130" i="6" a="1"/>
  <c r="B130" i="6" s="1"/>
  <c r="B131" i="6" a="1"/>
  <c r="B131" i="6" s="1"/>
  <c r="B132" i="6" a="1"/>
  <c r="B132" i="6" s="1"/>
  <c r="B133" i="6" a="1"/>
  <c r="B133" i="6" s="1"/>
  <c r="B134" i="6" a="1"/>
  <c r="B134" i="6" s="1"/>
  <c r="B135" i="6" a="1"/>
  <c r="B135" i="6" s="1"/>
  <c r="B136" i="6" a="1"/>
  <c r="B136" i="6" s="1"/>
  <c r="B137" i="6" a="1"/>
  <c r="B137" i="6" s="1"/>
  <c r="B138" i="6" a="1"/>
  <c r="B138" i="6" s="1"/>
  <c r="B139" i="6" a="1"/>
  <c r="B139" i="6" s="1"/>
  <c r="B140" i="6" a="1"/>
  <c r="B140" i="6" s="1"/>
  <c r="B141" i="6" a="1"/>
  <c r="B141" i="6" s="1"/>
  <c r="B142" i="6" a="1"/>
  <c r="B142" i="6" s="1"/>
  <c r="B143" i="6" a="1"/>
  <c r="B143" i="6" s="1"/>
  <c r="B144" i="6" a="1"/>
  <c r="B144" i="6" s="1"/>
  <c r="B145" i="6" a="1"/>
  <c r="B145" i="6" s="1"/>
  <c r="B146" i="6" a="1"/>
  <c r="B146" i="6" s="1"/>
  <c r="B147" i="6" a="1"/>
  <c r="B147" i="6" s="1"/>
  <c r="B148" i="6" a="1"/>
  <c r="B148" i="6" s="1"/>
  <c r="B149" i="6" a="1"/>
  <c r="B149" i="6" s="1"/>
  <c r="B150" i="6" a="1"/>
  <c r="B150" i="6" s="1"/>
  <c r="B151" i="6" a="1"/>
  <c r="B151" i="6" s="1"/>
  <c r="B152" i="6" a="1"/>
  <c r="B152" i="6" s="1"/>
  <c r="B153" i="6" a="1"/>
  <c r="B153" i="6" s="1"/>
  <c r="B154" i="6" a="1"/>
  <c r="B154" i="6" s="1"/>
  <c r="B155" i="6" a="1"/>
  <c r="B155" i="6" s="1"/>
  <c r="B156" i="6" a="1"/>
  <c r="B156" i="6" s="1"/>
  <c r="B157" i="6" a="1"/>
  <c r="B157" i="6" s="1"/>
  <c r="B158" i="6" a="1"/>
  <c r="B158" i="6" s="1"/>
  <c r="B159" i="6" a="1"/>
  <c r="B159" i="6" s="1"/>
  <c r="B160" i="6" a="1"/>
  <c r="B160" i="6" s="1"/>
  <c r="B161" i="6" a="1"/>
  <c r="B161" i="6" s="1"/>
  <c r="B162" i="6" a="1"/>
  <c r="B162" i="6" s="1"/>
  <c r="B163" i="6" a="1"/>
  <c r="B163" i="6" s="1"/>
  <c r="B164" i="6" a="1"/>
  <c r="B164" i="6" s="1"/>
  <c r="B165" i="6" a="1"/>
  <c r="B165" i="6" s="1"/>
  <c r="B166" i="6" a="1"/>
  <c r="B166" i="6" s="1"/>
  <c r="B167" i="6" a="1"/>
  <c r="B167" i="6" s="1"/>
  <c r="B168" i="6" a="1"/>
  <c r="B168" i="6" s="1"/>
  <c r="B169" i="6" a="1"/>
  <c r="B169" i="6" s="1"/>
  <c r="B170" i="6" a="1"/>
  <c r="B170" i="6" s="1"/>
  <c r="B171" i="6" a="1"/>
  <c r="B171" i="6" s="1"/>
  <c r="B172" i="6" a="1"/>
  <c r="B172" i="6" s="1"/>
  <c r="B173" i="6" a="1"/>
  <c r="B173" i="6" s="1"/>
  <c r="B174" i="6" a="1"/>
  <c r="B174" i="6" s="1"/>
  <c r="B175" i="6" a="1"/>
  <c r="B175" i="6" s="1"/>
  <c r="B176" i="6" a="1"/>
  <c r="B176" i="6" s="1"/>
  <c r="B177" i="6" a="1"/>
  <c r="B177" i="6" s="1"/>
  <c r="B178" i="6" a="1"/>
  <c r="B178" i="6" s="1"/>
  <c r="B179" i="6" a="1"/>
  <c r="B179" i="6" s="1"/>
  <c r="B180" i="6" a="1"/>
  <c r="B180" i="6" s="1"/>
  <c r="B181" i="6" a="1"/>
  <c r="B181" i="6" s="1"/>
  <c r="B182" i="6" a="1"/>
  <c r="B182" i="6" s="1"/>
  <c r="B183" i="6" a="1"/>
  <c r="B183" i="6" s="1"/>
  <c r="B184" i="6" a="1"/>
  <c r="B184" i="6" s="1"/>
  <c r="B185" i="6" a="1"/>
  <c r="B185" i="6" s="1"/>
  <c r="B186" i="6" a="1"/>
  <c r="B186" i="6" s="1"/>
  <c r="B187" i="6" a="1"/>
  <c r="B187" i="6" s="1"/>
  <c r="B188" i="6" a="1"/>
  <c r="B188" i="6" s="1"/>
  <c r="B189" i="6" a="1"/>
  <c r="B189" i="6" s="1"/>
  <c r="B190" i="6" a="1"/>
  <c r="B190" i="6" s="1"/>
  <c r="B191" i="6" a="1"/>
  <c r="B191" i="6" s="1"/>
  <c r="B192" i="6" a="1"/>
  <c r="B192" i="6" s="1"/>
  <c r="B193" i="6" a="1"/>
  <c r="B193" i="6" s="1"/>
  <c r="B194" i="6" a="1"/>
  <c r="B194" i="6" s="1"/>
  <c r="B195" i="6" a="1"/>
  <c r="B195" i="6" s="1"/>
  <c r="B196" i="6" a="1"/>
  <c r="B196" i="6" s="1"/>
  <c r="B197" i="6" a="1"/>
  <c r="B197" i="6" s="1"/>
  <c r="B198" i="6" a="1"/>
  <c r="B198" i="6" s="1"/>
  <c r="B199" i="6" a="1"/>
  <c r="B199" i="6" s="1"/>
  <c r="B200" i="6" a="1"/>
  <c r="B200" i="6" s="1"/>
  <c r="B201" i="6" a="1"/>
  <c r="B201" i="6" s="1"/>
  <c r="B202" i="6" a="1"/>
  <c r="B202" i="6" s="1"/>
  <c r="B203" i="6" a="1"/>
  <c r="B203" i="6" s="1"/>
  <c r="B204" i="6" a="1"/>
  <c r="B204" i="6" s="1"/>
  <c r="B205" i="6" a="1"/>
  <c r="B205" i="6" s="1"/>
  <c r="B206" i="6" a="1"/>
  <c r="B206" i="6" s="1"/>
  <c r="B207" i="6" a="1"/>
  <c r="B207" i="6" s="1"/>
  <c r="B208" i="6" a="1"/>
  <c r="B208" i="6" s="1"/>
  <c r="B209" i="6" a="1"/>
  <c r="B209" i="6" s="1"/>
  <c r="B210" i="6" a="1"/>
  <c r="B210" i="6" s="1"/>
  <c r="B211" i="6" a="1"/>
  <c r="B211" i="6" s="1"/>
  <c r="B212" i="6" a="1"/>
  <c r="B212" i="6" s="1"/>
  <c r="B213" i="6" a="1"/>
  <c r="B213" i="6" s="1"/>
  <c r="B214" i="6" a="1"/>
  <c r="B214" i="6" s="1"/>
  <c r="B215" i="6" a="1"/>
  <c r="B215" i="6" s="1"/>
  <c r="B216" i="6" a="1"/>
  <c r="B216" i="6" s="1"/>
  <c r="B217" i="6" a="1"/>
  <c r="B217" i="6" s="1"/>
  <c r="B218" i="6" a="1"/>
  <c r="B218" i="6" s="1"/>
  <c r="B219" i="6" a="1"/>
  <c r="B219" i="6" s="1"/>
  <c r="B220" i="6" a="1"/>
  <c r="B220" i="6" s="1"/>
  <c r="B221" i="6" a="1"/>
  <c r="B221" i="6" s="1"/>
  <c r="B222" i="6" a="1"/>
  <c r="B222" i="6" s="1"/>
  <c r="B223" i="6" a="1"/>
  <c r="B223" i="6" s="1"/>
  <c r="B224" i="6" a="1"/>
  <c r="B224" i="6" s="1"/>
  <c r="B225" i="6" a="1"/>
  <c r="B225" i="6" s="1"/>
  <c r="B226" i="6" a="1"/>
  <c r="B226" i="6" s="1"/>
  <c r="B227" i="6" a="1"/>
  <c r="B227" i="6" s="1"/>
  <c r="B228" i="6" a="1"/>
  <c r="B228" i="6" s="1"/>
  <c r="B229" i="6" a="1"/>
  <c r="B229" i="6" s="1"/>
  <c r="B230" i="6" a="1"/>
  <c r="B230" i="6" s="1"/>
  <c r="B231" i="6" a="1"/>
  <c r="B231" i="6" s="1"/>
  <c r="B232" i="6" a="1"/>
  <c r="B232" i="6" s="1"/>
  <c r="B233" i="6" a="1"/>
  <c r="B233" i="6" s="1"/>
  <c r="B234" i="6" a="1"/>
  <c r="B234" i="6" s="1"/>
  <c r="B235" i="6" a="1"/>
  <c r="B235" i="6" s="1"/>
  <c r="B236" i="6" a="1"/>
  <c r="B236" i="6" s="1"/>
  <c r="B237" i="6" a="1"/>
  <c r="B237" i="6" s="1"/>
  <c r="B238" i="6" a="1"/>
  <c r="B238" i="6" s="1"/>
  <c r="B239" i="6" a="1"/>
  <c r="B239" i="6" s="1"/>
  <c r="B240" i="6" a="1"/>
  <c r="B240" i="6" s="1"/>
  <c r="B241" i="6" a="1"/>
  <c r="B241" i="6" s="1"/>
  <c r="B242" i="6" a="1"/>
  <c r="B242" i="6" s="1"/>
  <c r="B243" i="6" a="1"/>
  <c r="B243" i="6" s="1"/>
  <c r="B244" i="6" a="1"/>
  <c r="B244" i="6" s="1"/>
  <c r="B245" i="6" a="1"/>
  <c r="B245" i="6" s="1"/>
  <c r="B246" i="6" a="1"/>
  <c r="B246" i="6" s="1"/>
  <c r="B247" i="6" a="1"/>
  <c r="B247" i="6" s="1"/>
  <c r="B248" i="6" a="1"/>
  <c r="B248" i="6" s="1"/>
  <c r="B249" i="6" a="1"/>
  <c r="B249" i="6" s="1"/>
  <c r="B250" i="6" a="1"/>
  <c r="B250" i="6" s="1"/>
  <c r="B251" i="6" a="1"/>
  <c r="B251" i="6" s="1"/>
  <c r="B252" i="6" a="1"/>
  <c r="B252" i="6" s="1"/>
  <c r="B253" i="6" a="1"/>
  <c r="B253" i="6" s="1"/>
  <c r="B254" i="6" a="1"/>
  <c r="B254" i="6" s="1"/>
  <c r="B255" i="6" a="1"/>
  <c r="B255" i="6" s="1"/>
  <c r="B256" i="6" a="1"/>
  <c r="B256" i="6" s="1"/>
  <c r="B257" i="6" a="1"/>
  <c r="B257" i="6" s="1"/>
  <c r="B258" i="6" a="1"/>
  <c r="B258" i="6" s="1"/>
  <c r="B259" i="6" a="1"/>
  <c r="B259" i="6" s="1"/>
  <c r="B260" i="6" a="1"/>
  <c r="B260" i="6" s="1"/>
  <c r="B261" i="6" a="1"/>
  <c r="B261" i="6" s="1"/>
  <c r="B262" i="6" a="1"/>
  <c r="B262" i="6" s="1"/>
  <c r="B263" i="6" a="1"/>
  <c r="B263" i="6" s="1"/>
  <c r="B264" i="6" a="1"/>
  <c r="B264" i="6" s="1"/>
  <c r="B265" i="6" a="1"/>
  <c r="B265" i="6" s="1"/>
  <c r="B266" i="6" a="1"/>
  <c r="B266" i="6" s="1"/>
  <c r="B267" i="6" a="1"/>
  <c r="B267" i="6" s="1"/>
  <c r="B268" i="6" a="1"/>
  <c r="B268" i="6" s="1"/>
  <c r="B269" i="6" a="1"/>
  <c r="B269" i="6" s="1"/>
  <c r="B270" i="6" a="1"/>
  <c r="B270" i="6" s="1"/>
  <c r="B271" i="6" a="1"/>
  <c r="B271" i="6" s="1"/>
  <c r="B272" i="6" a="1"/>
  <c r="B272" i="6" s="1"/>
  <c r="B273" i="6" a="1"/>
  <c r="B273" i="6" s="1"/>
  <c r="B274" i="6" a="1"/>
  <c r="B274" i="6" s="1"/>
  <c r="B275" i="6" a="1"/>
  <c r="B275" i="6" s="1"/>
  <c r="B276" i="6" a="1"/>
  <c r="B276" i="6" s="1"/>
  <c r="B277" i="6" a="1"/>
  <c r="B277" i="6" s="1"/>
  <c r="B278" i="6" a="1"/>
  <c r="B278" i="6" s="1"/>
  <c r="B279" i="6" a="1"/>
  <c r="B279" i="6" s="1"/>
  <c r="B280" i="6" a="1"/>
  <c r="B280" i="6" s="1"/>
  <c r="B281" i="6" a="1"/>
  <c r="B281" i="6" s="1"/>
  <c r="B282" i="6" a="1"/>
  <c r="B282" i="6" s="1"/>
  <c r="B283" i="6" a="1"/>
  <c r="B283" i="6" s="1"/>
  <c r="B284" i="6" a="1"/>
  <c r="B284" i="6" s="1"/>
  <c r="B285" i="6" a="1"/>
  <c r="B285" i="6" s="1"/>
  <c r="B286" i="6" a="1"/>
  <c r="B286" i="6" s="1"/>
  <c r="B287" i="6" a="1"/>
  <c r="B287" i="6" s="1"/>
  <c r="B288" i="6" a="1"/>
  <c r="B288" i="6" s="1"/>
  <c r="B289" i="6" a="1"/>
  <c r="B289" i="6" s="1"/>
  <c r="B290" i="6" a="1"/>
  <c r="B290" i="6" s="1"/>
  <c r="B291" i="6" a="1"/>
  <c r="B291" i="6" s="1"/>
  <c r="B292" i="6" a="1"/>
  <c r="B292" i="6" s="1"/>
  <c r="B293" i="6" a="1"/>
  <c r="B293" i="6" s="1"/>
  <c r="B294" i="6" a="1"/>
  <c r="B294" i="6" s="1"/>
  <c r="B295" i="6" a="1"/>
  <c r="B295" i="6" s="1"/>
  <c r="B296" i="6" a="1"/>
  <c r="B296" i="6" s="1"/>
  <c r="B297" i="6" a="1"/>
  <c r="B297" i="6" s="1"/>
  <c r="B298" i="6" a="1"/>
  <c r="B298" i="6" s="1"/>
  <c r="B299" i="6" a="1"/>
  <c r="B299" i="6" s="1"/>
  <c r="B300" i="6" a="1"/>
  <c r="B300" i="6" s="1"/>
  <c r="B301" i="6" a="1"/>
  <c r="B301" i="6" s="1"/>
  <c r="B302" i="6" a="1"/>
  <c r="B302" i="6" s="1"/>
  <c r="B303" i="6" a="1"/>
  <c r="B303" i="6" s="1"/>
  <c r="B304" i="6" a="1"/>
  <c r="B304" i="6" s="1"/>
  <c r="B305" i="6" a="1"/>
  <c r="B305" i="6" s="1"/>
  <c r="B306" i="6" a="1"/>
  <c r="B306" i="6" s="1"/>
  <c r="B307" i="6" a="1"/>
  <c r="B307" i="6" s="1"/>
  <c r="B308" i="6" a="1"/>
  <c r="B308" i="6" s="1"/>
  <c r="B309" i="6" a="1"/>
  <c r="B309" i="6" s="1"/>
  <c r="B310" i="6" a="1"/>
  <c r="B310" i="6" s="1"/>
  <c r="B311" i="6" a="1"/>
  <c r="B311" i="6" s="1"/>
  <c r="B312" i="6" a="1"/>
  <c r="B312" i="6" s="1"/>
  <c r="B313" i="6" a="1"/>
  <c r="B313" i="6" s="1"/>
  <c r="B314" i="6" a="1"/>
  <c r="B314" i="6" s="1"/>
  <c r="B315" i="6" a="1"/>
  <c r="B315" i="6" s="1"/>
  <c r="B316" i="6" a="1"/>
  <c r="B316" i="6" s="1"/>
  <c r="B317" i="6" a="1"/>
  <c r="B317" i="6" s="1"/>
  <c r="B318" i="6" a="1"/>
  <c r="B318" i="6" s="1"/>
  <c r="B319" i="6" a="1"/>
  <c r="B319" i="6" s="1"/>
  <c r="B320" i="6" a="1"/>
  <c r="B320" i="6" s="1"/>
  <c r="B321" i="6" a="1"/>
  <c r="B321" i="6" s="1"/>
  <c r="B322" i="6" a="1"/>
  <c r="B322" i="6" s="1"/>
  <c r="B323" i="6" a="1"/>
  <c r="B323" i="6" s="1"/>
  <c r="B324" i="6" a="1"/>
  <c r="B324" i="6" s="1"/>
  <c r="B325" i="6" a="1"/>
  <c r="B325" i="6" s="1"/>
  <c r="B326" i="6" a="1"/>
  <c r="B326" i="6" s="1"/>
  <c r="B327" i="6" a="1"/>
  <c r="B327" i="6" s="1"/>
  <c r="B328" i="6" a="1"/>
  <c r="B328" i="6" s="1"/>
  <c r="B329" i="6" a="1"/>
  <c r="B329" i="6" s="1"/>
  <c r="B330" i="6" a="1"/>
  <c r="B330" i="6" s="1"/>
  <c r="B331" i="6" a="1"/>
  <c r="B331" i="6" s="1"/>
  <c r="B332" i="6" a="1"/>
  <c r="B332" i="6" s="1"/>
  <c r="B333" i="6" a="1"/>
  <c r="B333" i="6" s="1"/>
  <c r="B334" i="6" a="1"/>
  <c r="B334" i="6" s="1"/>
  <c r="B335" i="6" a="1"/>
  <c r="B335" i="6" s="1"/>
  <c r="B336" i="6" a="1"/>
  <c r="B336" i="6" s="1"/>
  <c r="B337" i="6" a="1"/>
  <c r="B337" i="6" s="1"/>
  <c r="B338" i="6" a="1"/>
  <c r="B338" i="6" s="1"/>
  <c r="B339" i="6" a="1"/>
  <c r="B339" i="6" s="1"/>
  <c r="B340" i="6" a="1"/>
  <c r="B340" i="6" s="1"/>
  <c r="B341" i="6" a="1"/>
  <c r="B341" i="6" s="1"/>
  <c r="B342" i="6" a="1"/>
  <c r="B342" i="6" s="1"/>
  <c r="B343" i="6" a="1"/>
  <c r="B343" i="6" s="1"/>
  <c r="B344" i="6" a="1"/>
  <c r="B344" i="6" s="1"/>
  <c r="B345" i="6" a="1"/>
  <c r="B345" i="6" s="1"/>
  <c r="B346" i="6" a="1"/>
  <c r="B346" i="6" s="1"/>
  <c r="B347" i="6" a="1"/>
  <c r="B347" i="6" s="1"/>
  <c r="B348" i="6" a="1"/>
  <c r="B348" i="6" s="1"/>
  <c r="B349" i="6" a="1"/>
  <c r="B349" i="6" s="1"/>
  <c r="B350" i="6" a="1"/>
  <c r="B350" i="6" s="1"/>
  <c r="B351" i="6" a="1"/>
  <c r="B351" i="6" s="1"/>
  <c r="B352" i="6" a="1"/>
  <c r="B352" i="6" s="1"/>
  <c r="B353" i="6" a="1"/>
  <c r="B353" i="6" s="1"/>
  <c r="B354" i="6" a="1"/>
  <c r="B354" i="6" s="1"/>
  <c r="B355" i="6" a="1"/>
  <c r="B355" i="6" s="1"/>
  <c r="B356" i="6" a="1"/>
  <c r="B356" i="6" s="1"/>
  <c r="B357" i="6" a="1"/>
  <c r="B357" i="6" s="1"/>
  <c r="B358" i="6" a="1"/>
  <c r="B358" i="6" s="1"/>
  <c r="B359" i="6" a="1"/>
  <c r="B359" i="6" s="1"/>
  <c r="B360" i="6" a="1"/>
  <c r="B360" i="6" s="1"/>
  <c r="B361" i="6" a="1"/>
  <c r="B361" i="6" s="1"/>
  <c r="B362" i="6" a="1"/>
  <c r="B362" i="6" s="1"/>
  <c r="B363" i="6" a="1"/>
  <c r="B363" i="6" s="1"/>
  <c r="B364" i="6" a="1"/>
  <c r="B364" i="6" s="1"/>
  <c r="B365" i="6" a="1"/>
  <c r="B365" i="6" s="1"/>
  <c r="B366" i="6" a="1"/>
  <c r="B366" i="6" s="1"/>
  <c r="B367" i="6" a="1"/>
  <c r="B367" i="6" s="1"/>
  <c r="B368" i="6" a="1"/>
  <c r="B368" i="6" s="1"/>
  <c r="B369" i="6" a="1"/>
  <c r="B369" i="6" s="1"/>
  <c r="B370" i="6" a="1"/>
  <c r="B370" i="6" s="1"/>
  <c r="B371" i="6" a="1"/>
  <c r="B371" i="6" s="1"/>
  <c r="B372" i="6" a="1"/>
  <c r="B372" i="6" s="1"/>
  <c r="B373" i="6" a="1"/>
  <c r="B373" i="6" s="1"/>
  <c r="B374" i="6" a="1"/>
  <c r="B374" i="6" s="1"/>
  <c r="B375" i="6" a="1"/>
  <c r="B375" i="6" s="1"/>
  <c r="B376" i="6" a="1"/>
  <c r="B376" i="6" s="1"/>
  <c r="B377" i="6" a="1"/>
  <c r="B377" i="6" s="1"/>
  <c r="B378" i="6" a="1"/>
  <c r="B378" i="6" s="1"/>
  <c r="B379" i="6" a="1"/>
  <c r="B379" i="6" s="1"/>
  <c r="B380" i="6" a="1"/>
  <c r="B380" i="6" s="1"/>
  <c r="B381" i="6" a="1"/>
  <c r="B381" i="6" s="1"/>
  <c r="B382" i="6" a="1"/>
  <c r="B382" i="6" s="1"/>
  <c r="B383" i="6" a="1"/>
  <c r="B383" i="6" s="1"/>
  <c r="B384" i="6" a="1"/>
  <c r="B384" i="6" s="1"/>
  <c r="B385" i="6" a="1"/>
  <c r="B385" i="6" s="1"/>
  <c r="B386" i="6" a="1"/>
  <c r="B386" i="6" s="1"/>
  <c r="B387" i="6" a="1"/>
  <c r="B387" i="6" s="1"/>
  <c r="B388" i="6" a="1"/>
  <c r="B388" i="6" s="1"/>
  <c r="B389" i="6" a="1"/>
  <c r="B389" i="6" s="1"/>
  <c r="B390" i="6" a="1"/>
  <c r="B390" i="6" s="1"/>
  <c r="B391" i="6" a="1"/>
  <c r="B391" i="6" s="1"/>
  <c r="B392" i="6" a="1"/>
  <c r="B392" i="6" s="1"/>
  <c r="B393" i="6" a="1"/>
  <c r="B393" i="6" s="1"/>
  <c r="B394" i="6" a="1"/>
  <c r="B394" i="6" s="1"/>
  <c r="B395" i="6" a="1"/>
  <c r="B395" i="6" s="1"/>
  <c r="B396" i="6" a="1"/>
  <c r="B396" i="6" s="1"/>
  <c r="B397" i="6" a="1"/>
  <c r="B397" i="6" s="1"/>
  <c r="B398" i="6" a="1"/>
  <c r="B398" i="6" s="1"/>
  <c r="B399" i="6" a="1"/>
  <c r="B399" i="6" s="1"/>
  <c r="B400" i="6" a="1"/>
  <c r="B400" i="6" s="1"/>
  <c r="B401" i="6" a="1"/>
  <c r="B401" i="6" s="1"/>
  <c r="B402" i="6" a="1"/>
  <c r="B402" i="6" s="1"/>
  <c r="B403" i="6" a="1"/>
  <c r="B403" i="6" s="1"/>
  <c r="B404" i="6" a="1"/>
  <c r="B404" i="6" s="1"/>
  <c r="B405" i="6" a="1"/>
  <c r="B405" i="6" s="1"/>
  <c r="B406" i="6" a="1"/>
  <c r="B406" i="6" s="1"/>
  <c r="B407" i="6" a="1"/>
  <c r="B407" i="6" s="1"/>
  <c r="B408" i="6" a="1"/>
  <c r="B408" i="6" s="1"/>
  <c r="B409" i="6" a="1"/>
  <c r="B409" i="6" s="1"/>
  <c r="B410" i="6" a="1"/>
  <c r="B410" i="6" s="1"/>
  <c r="B411" i="6" a="1"/>
  <c r="B411" i="6" s="1"/>
  <c r="B412" i="6" a="1"/>
  <c r="B412" i="6" s="1"/>
  <c r="B413" i="6" a="1"/>
  <c r="B413" i="6" s="1"/>
  <c r="B414" i="6" a="1"/>
  <c r="B414" i="6" s="1"/>
  <c r="B415" i="6" a="1"/>
  <c r="B415" i="6" s="1"/>
  <c r="B416" i="6" a="1"/>
  <c r="B416" i="6" s="1"/>
  <c r="B417" i="6" a="1"/>
  <c r="B417" i="6" s="1"/>
  <c r="B418" i="6" a="1"/>
  <c r="B418" i="6" s="1"/>
  <c r="B419" i="6" a="1"/>
  <c r="B419" i="6" s="1"/>
  <c r="B420" i="6" a="1"/>
  <c r="B420" i="6" s="1"/>
  <c r="B421" i="6" a="1"/>
  <c r="B421" i="6" s="1"/>
  <c r="B422" i="6" a="1"/>
  <c r="B422" i="6" s="1"/>
  <c r="B423" i="6" a="1"/>
  <c r="B423" i="6" s="1"/>
  <c r="B424" i="6" a="1"/>
  <c r="B424" i="6" s="1"/>
  <c r="B425" i="6" a="1"/>
  <c r="B425" i="6" s="1"/>
  <c r="B426" i="6" a="1"/>
  <c r="B426" i="6" s="1"/>
  <c r="B427" i="6" a="1"/>
  <c r="B427" i="6" s="1"/>
  <c r="B428" i="6" a="1"/>
  <c r="B428" i="6" s="1"/>
  <c r="B429" i="6" a="1"/>
  <c r="B429" i="6" s="1"/>
  <c r="B430" i="6" a="1"/>
  <c r="B430" i="6" s="1"/>
  <c r="B431" i="6" a="1"/>
  <c r="B431" i="6" s="1"/>
  <c r="B432" i="6" a="1"/>
  <c r="B432" i="6" s="1"/>
  <c r="B433" i="6" a="1"/>
  <c r="B433" i="6" s="1"/>
  <c r="B434" i="6" a="1"/>
  <c r="B434" i="6" s="1"/>
  <c r="B435" i="6" a="1"/>
  <c r="B435" i="6" s="1"/>
  <c r="B436" i="6" a="1"/>
  <c r="B436" i="6" s="1"/>
  <c r="B437" i="6" a="1"/>
  <c r="B437" i="6" s="1"/>
  <c r="B438" i="6" a="1"/>
  <c r="B438" i="6" s="1"/>
  <c r="B439" i="6" a="1"/>
  <c r="B439" i="6" s="1"/>
  <c r="B440" i="6" a="1"/>
  <c r="B440" i="6" s="1"/>
  <c r="B441" i="6" a="1"/>
  <c r="B441" i="6" s="1"/>
  <c r="B442" i="6" a="1"/>
  <c r="B442" i="6" s="1"/>
  <c r="B443" i="6" a="1"/>
  <c r="B443" i="6" s="1"/>
  <c r="B444" i="6" a="1"/>
  <c r="B444" i="6" s="1"/>
  <c r="B445" i="6" a="1"/>
  <c r="B445" i="6" s="1"/>
  <c r="B446" i="6" a="1"/>
  <c r="B446" i="6" s="1"/>
  <c r="B447" i="6" a="1"/>
  <c r="B447" i="6" s="1"/>
  <c r="B448" i="6" a="1"/>
  <c r="B448" i="6" s="1"/>
  <c r="B449" i="6" a="1"/>
  <c r="B449" i="6" s="1"/>
  <c r="B450" i="6" a="1"/>
  <c r="B450" i="6" s="1"/>
  <c r="B451" i="6" a="1"/>
  <c r="B451" i="6" s="1"/>
  <c r="B452" i="6" a="1"/>
  <c r="B452" i="6" s="1"/>
  <c r="B453" i="6" a="1"/>
  <c r="B453" i="6" s="1"/>
  <c r="B454" i="6" a="1"/>
  <c r="B454" i="6" s="1"/>
  <c r="B455" i="6" a="1"/>
  <c r="B455" i="6" s="1"/>
  <c r="B456" i="6" a="1"/>
  <c r="B456" i="6" s="1"/>
  <c r="B457" i="6" a="1"/>
  <c r="B457" i="6" s="1"/>
  <c r="B458" i="6" a="1"/>
  <c r="B458" i="6" s="1"/>
  <c r="B459" i="6" a="1"/>
  <c r="B459" i="6" s="1"/>
  <c r="B460" i="6" a="1"/>
  <c r="B460" i="6" s="1"/>
  <c r="B461" i="6" a="1"/>
  <c r="B461" i="6" s="1"/>
  <c r="B462" i="6" a="1"/>
  <c r="B462" i="6" s="1"/>
  <c r="B463" i="6" a="1"/>
  <c r="B463" i="6" s="1"/>
  <c r="B464" i="6" a="1"/>
  <c r="B464" i="6" s="1"/>
  <c r="B465" i="6" a="1"/>
  <c r="B465" i="6" s="1"/>
  <c r="B466" i="6" a="1"/>
  <c r="B466" i="6" s="1"/>
  <c r="B467" i="6" a="1"/>
  <c r="B467" i="6" s="1"/>
  <c r="B468" i="6" a="1"/>
  <c r="B468" i="6" s="1"/>
  <c r="B469" i="6" a="1"/>
  <c r="B469" i="6" s="1"/>
  <c r="B470" i="6" a="1"/>
  <c r="B470" i="6" s="1"/>
  <c r="B471" i="6" a="1"/>
  <c r="B471" i="6" s="1"/>
  <c r="B472" i="6" a="1"/>
  <c r="B472" i="6" s="1"/>
  <c r="B473" i="6" a="1"/>
  <c r="B473" i="6" s="1"/>
  <c r="B474" i="6" a="1"/>
  <c r="B474" i="6" s="1"/>
  <c r="B475" i="6" a="1"/>
  <c r="B475" i="6" s="1"/>
  <c r="B476" i="6" a="1"/>
  <c r="B476" i="6" s="1"/>
  <c r="B477" i="6" a="1"/>
  <c r="B477" i="6" s="1"/>
  <c r="B478" i="6" a="1"/>
  <c r="B478" i="6" s="1"/>
  <c r="B479" i="6" a="1"/>
  <c r="B479" i="6" s="1"/>
  <c r="B480" i="6" a="1"/>
  <c r="B480" i="6" s="1"/>
  <c r="B481" i="6" a="1"/>
  <c r="B481" i="6" s="1"/>
  <c r="B482" i="6" a="1"/>
  <c r="B482" i="6" s="1"/>
  <c r="B483" i="6" a="1"/>
  <c r="B483" i="6" s="1"/>
  <c r="B484" i="6" a="1"/>
  <c r="B484" i="6" s="1"/>
  <c r="B485" i="6" a="1"/>
  <c r="B485" i="6" s="1"/>
  <c r="B486" i="6" a="1"/>
  <c r="B486" i="6" s="1"/>
  <c r="B487" i="6" a="1"/>
  <c r="B487" i="6" s="1"/>
  <c r="B488" i="6" a="1"/>
  <c r="B488" i="6" s="1"/>
  <c r="B489" i="6" a="1"/>
  <c r="B489" i="6" s="1"/>
  <c r="B490" i="6" a="1"/>
  <c r="B490" i="6" s="1"/>
  <c r="B491" i="6" a="1"/>
  <c r="B491" i="6" s="1"/>
  <c r="B492" i="6" a="1"/>
  <c r="B492" i="6" s="1"/>
  <c r="B493" i="6" a="1"/>
  <c r="B493" i="6" s="1"/>
  <c r="B494" i="6" a="1"/>
  <c r="B494" i="6" s="1"/>
  <c r="B495" i="6" a="1"/>
  <c r="B495" i="6" s="1"/>
  <c r="B496" i="6" a="1"/>
  <c r="B496" i="6" s="1"/>
  <c r="B497" i="6" a="1"/>
  <c r="B497" i="6" s="1"/>
  <c r="B498" i="6" a="1"/>
  <c r="B498" i="6" s="1"/>
  <c r="B499" i="6" a="1"/>
  <c r="B499" i="6" s="1"/>
  <c r="B500" i="6" a="1"/>
  <c r="B500" i="6" s="1"/>
  <c r="B501" i="6" a="1"/>
  <c r="B501" i="6" s="1"/>
  <c r="B502" i="6" a="1"/>
  <c r="B502" i="6" s="1"/>
  <c r="B503" i="6" a="1"/>
  <c r="B503" i="6" s="1"/>
  <c r="B504" i="6" a="1"/>
  <c r="B504" i="6" s="1"/>
  <c r="B505" i="6" a="1"/>
  <c r="B505" i="6" s="1"/>
  <c r="B506" i="6" a="1"/>
  <c r="B506" i="6" s="1"/>
  <c r="B507" i="6" a="1"/>
  <c r="B507" i="6" s="1"/>
  <c r="B508" i="6" a="1"/>
  <c r="B508" i="6" s="1"/>
  <c r="B509" i="6" a="1"/>
  <c r="B509" i="6" s="1"/>
  <c r="B510" i="6" a="1"/>
  <c r="B510" i="6" s="1"/>
  <c r="B511" i="6" a="1"/>
  <c r="B511" i="6"/>
  <c r="B512" i="6" a="1"/>
  <c r="B512" i="6" s="1"/>
  <c r="B513" i="6" a="1"/>
  <c r="B513" i="6" s="1"/>
  <c r="B514" i="6" a="1"/>
  <c r="B514" i="6" s="1"/>
  <c r="B515" i="6" a="1"/>
  <c r="B515" i="6" s="1"/>
  <c r="B516" i="6" a="1"/>
  <c r="B516" i="6" s="1"/>
  <c r="B517" i="6" a="1"/>
  <c r="B517" i="6" s="1"/>
  <c r="B518" i="6" a="1"/>
  <c r="B518" i="6" s="1"/>
  <c r="B519" i="6" a="1"/>
  <c r="B519" i="6" s="1"/>
  <c r="B520" i="6" a="1"/>
  <c r="B520" i="6" s="1"/>
  <c r="B521" i="6" a="1"/>
  <c r="B521" i="6" s="1"/>
  <c r="B522" i="6" a="1"/>
  <c r="B522" i="6" s="1"/>
  <c r="B523" i="6" a="1"/>
  <c r="B523" i="6" s="1"/>
  <c r="B524" i="6" a="1"/>
  <c r="B524" i="6" s="1"/>
  <c r="B525" i="6" a="1"/>
  <c r="B525" i="6" s="1"/>
  <c r="B526" i="6" a="1"/>
  <c r="B526" i="6" s="1"/>
  <c r="B527" i="6" a="1"/>
  <c r="B527" i="6" s="1"/>
  <c r="B528" i="6" a="1"/>
  <c r="B528" i="6" s="1"/>
  <c r="B529" i="6" a="1"/>
  <c r="B529" i="6" s="1"/>
  <c r="B530" i="6" a="1"/>
  <c r="B530" i="6" s="1"/>
  <c r="B531" i="6" a="1"/>
  <c r="B531" i="6" s="1"/>
  <c r="B532" i="6" a="1"/>
  <c r="B532" i="6" s="1"/>
  <c r="B533" i="6" a="1"/>
  <c r="B533" i="6" s="1"/>
  <c r="B534" i="6" a="1"/>
  <c r="B534" i="6" s="1"/>
  <c r="B535" i="6" a="1"/>
  <c r="B535" i="6" s="1"/>
  <c r="B536" i="6" a="1"/>
  <c r="B536" i="6" s="1"/>
  <c r="B537" i="6" a="1"/>
  <c r="B537" i="6" s="1"/>
  <c r="B538" i="6" a="1"/>
  <c r="B538" i="6" s="1"/>
  <c r="B539" i="6" a="1"/>
  <c r="B539" i="6" s="1"/>
  <c r="B540" i="6" a="1"/>
  <c r="B540" i="6" s="1"/>
  <c r="B541" i="6" a="1"/>
  <c r="B541" i="6" s="1"/>
  <c r="B542" i="6" a="1"/>
  <c r="B542" i="6" s="1"/>
  <c r="B543" i="6" a="1"/>
  <c r="B543" i="6" s="1"/>
  <c r="B544" i="6" a="1"/>
  <c r="B544" i="6" s="1"/>
  <c r="B545" i="6" a="1"/>
  <c r="B545" i="6" s="1"/>
  <c r="B546" i="6" a="1"/>
  <c r="B546" i="6" s="1"/>
  <c r="B547" i="6" a="1"/>
  <c r="B547" i="6" s="1"/>
  <c r="B548" i="6" a="1"/>
  <c r="B548" i="6" s="1"/>
  <c r="B549" i="6" a="1"/>
  <c r="B549" i="6" s="1"/>
  <c r="B550" i="6" a="1"/>
  <c r="B550" i="6" s="1"/>
  <c r="B551" i="6" a="1"/>
  <c r="B551" i="6" s="1"/>
  <c r="B552" i="6" a="1"/>
  <c r="B552" i="6" s="1"/>
  <c r="B553" i="6" a="1"/>
  <c r="B553" i="6" s="1"/>
  <c r="B554" i="6" a="1"/>
  <c r="B554" i="6" s="1"/>
  <c r="B555" i="6" a="1"/>
  <c r="B555" i="6" s="1"/>
  <c r="B556" i="6" a="1"/>
  <c r="B556" i="6" s="1"/>
  <c r="B557" i="6" a="1"/>
  <c r="B557" i="6" s="1"/>
  <c r="B558" i="6" a="1"/>
  <c r="B558" i="6" s="1"/>
  <c r="B559" i="6" a="1"/>
  <c r="B559" i="6" s="1"/>
  <c r="B560" i="6" a="1"/>
  <c r="B560" i="6" s="1"/>
  <c r="B561" i="6" a="1"/>
  <c r="B561" i="6" s="1"/>
  <c r="B562" i="6" a="1"/>
  <c r="B562" i="6" s="1"/>
  <c r="B563" i="6" a="1"/>
  <c r="B563" i="6" s="1"/>
  <c r="B564" i="6" a="1"/>
  <c r="B564" i="6" s="1"/>
  <c r="B565" i="6" a="1"/>
  <c r="B565" i="6" s="1"/>
  <c r="B566" i="6" a="1"/>
  <c r="B566" i="6" s="1"/>
  <c r="B567" i="6" a="1"/>
  <c r="B567" i="6" s="1"/>
  <c r="B568" i="6" a="1"/>
  <c r="B568" i="6" s="1"/>
  <c r="B569" i="6" a="1"/>
  <c r="B569" i="6" s="1"/>
  <c r="B570" i="6" a="1"/>
  <c r="B570" i="6" s="1"/>
  <c r="B571" i="6" a="1"/>
  <c r="B571" i="6" s="1"/>
  <c r="B572" i="6" a="1"/>
  <c r="B572" i="6" s="1"/>
  <c r="B573" i="6" a="1"/>
  <c r="B573" i="6" s="1"/>
  <c r="B574" i="6" a="1"/>
  <c r="B574" i="6" s="1"/>
  <c r="B575" i="6" a="1"/>
  <c r="B575" i="6" s="1"/>
  <c r="B576" i="6" a="1"/>
  <c r="B576" i="6" s="1"/>
  <c r="B577" i="6" a="1"/>
  <c r="B577" i="6" s="1"/>
  <c r="B578" i="6" a="1"/>
  <c r="B578" i="6" s="1"/>
  <c r="B579" i="6" a="1"/>
  <c r="B579" i="6" s="1"/>
  <c r="B580" i="6" a="1"/>
  <c r="B580" i="6" s="1"/>
  <c r="B581" i="6" a="1"/>
  <c r="B581" i="6" s="1"/>
  <c r="B582" i="6" a="1"/>
  <c r="B582" i="6"/>
  <c r="B583" i="6" a="1"/>
  <c r="B583" i="6" s="1"/>
  <c r="B584" i="6" a="1"/>
  <c r="B584" i="6" s="1"/>
  <c r="B585" i="6" a="1"/>
  <c r="B585" i="6" s="1"/>
  <c r="B586" i="6" a="1"/>
  <c r="B586" i="6" s="1"/>
  <c r="B587" i="6" a="1"/>
  <c r="B587" i="6" s="1"/>
  <c r="B588" i="6" a="1"/>
  <c r="B588" i="6" s="1"/>
  <c r="B589" i="6" a="1"/>
  <c r="B589" i="6" s="1"/>
  <c r="B590" i="6" a="1"/>
  <c r="B590" i="6" s="1"/>
  <c r="B591" i="6" a="1"/>
  <c r="B591" i="6" s="1"/>
  <c r="B592" i="6" a="1"/>
  <c r="B592" i="6" s="1"/>
  <c r="B593" i="6" a="1"/>
  <c r="B593" i="6" s="1"/>
  <c r="B594" i="6" a="1"/>
  <c r="B594" i="6" s="1"/>
  <c r="B595" i="6" a="1"/>
  <c r="B595" i="6" s="1"/>
  <c r="B596" i="6" a="1"/>
  <c r="B596" i="6" s="1"/>
  <c r="B597" i="6" a="1"/>
  <c r="B597" i="6" s="1"/>
  <c r="B598" i="6" a="1"/>
  <c r="B598" i="6" s="1"/>
  <c r="B599" i="6" a="1"/>
  <c r="B599" i="6" s="1"/>
  <c r="B600" i="6" a="1"/>
  <c r="B600" i="6" s="1"/>
  <c r="B601" i="6" a="1"/>
  <c r="B601" i="6" s="1"/>
  <c r="B602" i="6" a="1"/>
  <c r="B602" i="6" s="1"/>
  <c r="B603" i="6" a="1"/>
  <c r="B603" i="6" s="1"/>
  <c r="B604" i="6" a="1"/>
  <c r="B604" i="6" s="1"/>
  <c r="B605" i="6" a="1"/>
  <c r="B605" i="6" s="1"/>
  <c r="B606" i="6" a="1"/>
  <c r="B606" i="6" s="1"/>
  <c r="B607" i="6" a="1"/>
  <c r="B607" i="6" s="1"/>
  <c r="B608" i="6" a="1"/>
  <c r="B608" i="6" s="1"/>
  <c r="B609" i="6" a="1"/>
  <c r="B609" i="6" s="1"/>
  <c r="B610" i="6" a="1"/>
  <c r="B610" i="6" s="1"/>
  <c r="B611" i="6" a="1"/>
  <c r="B611" i="6" s="1"/>
  <c r="B612" i="6" a="1"/>
  <c r="B612" i="6" s="1"/>
  <c r="B613" i="6" a="1"/>
  <c r="B613" i="6" s="1"/>
  <c r="B614" i="6" a="1"/>
  <c r="B614" i="6" s="1"/>
  <c r="B615" i="6" a="1"/>
  <c r="B615" i="6" s="1"/>
  <c r="B616" i="6" a="1"/>
  <c r="B616" i="6" s="1"/>
  <c r="B617" i="6" a="1"/>
  <c r="B617" i="6" s="1"/>
  <c r="B618" i="6" a="1"/>
  <c r="B618" i="6" s="1"/>
  <c r="B619" i="6" a="1"/>
  <c r="B619" i="6" s="1"/>
  <c r="B620" i="6" a="1"/>
  <c r="B620" i="6" s="1"/>
  <c r="B621" i="6" a="1"/>
  <c r="B621" i="6" s="1"/>
  <c r="B622" i="6" a="1"/>
  <c r="B622" i="6" s="1"/>
  <c r="B623" i="6" a="1"/>
  <c r="B623" i="6" s="1"/>
  <c r="B624" i="6" a="1"/>
  <c r="B624" i="6" s="1"/>
  <c r="B625" i="6" a="1"/>
  <c r="B625" i="6" s="1"/>
  <c r="B626" i="6" a="1"/>
  <c r="B626" i="6" s="1"/>
  <c r="B627" i="6" a="1"/>
  <c r="B627" i="6" s="1"/>
  <c r="B628" i="6" a="1"/>
  <c r="B628" i="6" s="1"/>
  <c r="B629" i="6" a="1"/>
  <c r="B629" i="6" s="1"/>
  <c r="B630" i="6" a="1"/>
  <c r="B630" i="6" s="1"/>
  <c r="B631" i="6" a="1"/>
  <c r="B631" i="6" s="1"/>
  <c r="B632" i="6" a="1"/>
  <c r="B632" i="6" s="1"/>
  <c r="B633" i="6" a="1"/>
  <c r="B633" i="6" s="1"/>
  <c r="B634" i="6" a="1"/>
  <c r="B634" i="6" s="1"/>
  <c r="B635" i="6" a="1"/>
  <c r="B635" i="6" s="1"/>
  <c r="B636" i="6" a="1"/>
  <c r="B636" i="6" s="1"/>
  <c r="B637" i="6" a="1"/>
  <c r="B637" i="6" s="1"/>
  <c r="B638" i="6" a="1"/>
  <c r="B638" i="6" s="1"/>
  <c r="B639" i="6" a="1"/>
  <c r="B639" i="6" s="1"/>
  <c r="B640" i="6" a="1"/>
  <c r="B640" i="6" s="1"/>
  <c r="B641" i="6" a="1"/>
  <c r="B641" i="6" s="1"/>
  <c r="B642" i="6" a="1"/>
  <c r="B642" i="6" s="1"/>
  <c r="B643" i="6" a="1"/>
  <c r="B643" i="6" s="1"/>
  <c r="B644" i="6" a="1"/>
  <c r="B644" i="6" s="1"/>
  <c r="B645" i="6" a="1"/>
  <c r="B645" i="6" s="1"/>
  <c r="B646" i="6" a="1"/>
  <c r="B646" i="6" s="1"/>
  <c r="B647" i="6" a="1"/>
  <c r="B647" i="6" s="1"/>
  <c r="B648" i="6" a="1"/>
  <c r="B648" i="6" s="1"/>
  <c r="B649" i="6" a="1"/>
  <c r="B649" i="6" s="1"/>
  <c r="B650" i="6" a="1"/>
  <c r="B650" i="6" s="1"/>
  <c r="B651" i="6" a="1"/>
  <c r="B651" i="6" s="1"/>
  <c r="B652" i="6" a="1"/>
  <c r="B652" i="6" s="1"/>
  <c r="B653" i="6" a="1"/>
  <c r="B653" i="6" s="1"/>
  <c r="B654" i="6" a="1"/>
  <c r="B654" i="6" s="1"/>
  <c r="B655" i="6" a="1"/>
  <c r="B655" i="6" s="1"/>
  <c r="B656" i="6" a="1"/>
  <c r="B656" i="6" s="1"/>
  <c r="B657" i="6" a="1"/>
  <c r="B657" i="6" s="1"/>
  <c r="B658" i="6" a="1"/>
  <c r="B658" i="6" s="1"/>
  <c r="B659" i="6" a="1"/>
  <c r="B659" i="6" s="1"/>
  <c r="B660" i="6" a="1"/>
  <c r="B660" i="6" s="1"/>
  <c r="B661" i="6" a="1"/>
  <c r="B661" i="6" s="1"/>
  <c r="B662" i="6" a="1"/>
  <c r="B662" i="6" s="1"/>
  <c r="B663" i="6" a="1"/>
  <c r="B663" i="6" s="1"/>
  <c r="B664" i="6" a="1"/>
  <c r="B664" i="6" s="1"/>
  <c r="B665" i="6" a="1"/>
  <c r="B665" i="6" s="1"/>
  <c r="B666" i="6" a="1"/>
  <c r="B666" i="6" s="1"/>
  <c r="B667" i="6" a="1"/>
  <c r="B667" i="6" s="1"/>
  <c r="B668" i="6" a="1"/>
  <c r="B668" i="6" s="1"/>
  <c r="B669" i="6" a="1"/>
  <c r="B669" i="6" s="1"/>
  <c r="B670" i="6" a="1"/>
  <c r="B670" i="6" s="1"/>
  <c r="B671" i="6" a="1"/>
  <c r="B671" i="6" s="1"/>
  <c r="B672" i="6" a="1"/>
  <c r="B672" i="6" s="1"/>
  <c r="B673" i="6" a="1"/>
  <c r="B673" i="6" s="1"/>
  <c r="B674" i="6" a="1"/>
  <c r="B674" i="6"/>
  <c r="B675" i="6" a="1"/>
  <c r="B675" i="6" s="1"/>
  <c r="B676" i="6" a="1"/>
  <c r="B676" i="6" s="1"/>
  <c r="B677" i="6" a="1"/>
  <c r="B677" i="6" s="1"/>
  <c r="B678" i="6" a="1"/>
  <c r="B678" i="6" s="1"/>
  <c r="B679" i="6" a="1"/>
  <c r="B679" i="6" s="1"/>
  <c r="B680" i="6" a="1"/>
  <c r="B680" i="6" s="1"/>
  <c r="B681" i="6" a="1"/>
  <c r="B681" i="6" s="1"/>
  <c r="B682" i="6" a="1"/>
  <c r="B682" i="6" s="1"/>
  <c r="B683" i="6" a="1"/>
  <c r="B683" i="6" s="1"/>
  <c r="B684" i="6" a="1"/>
  <c r="B684" i="6" s="1"/>
  <c r="B685" i="6" a="1"/>
  <c r="B685" i="6" s="1"/>
  <c r="B686" i="6" a="1"/>
  <c r="B686" i="6" s="1"/>
  <c r="B687" i="6" a="1"/>
  <c r="B687" i="6" s="1"/>
  <c r="B688" i="6" a="1"/>
  <c r="B688" i="6" s="1"/>
  <c r="B689" i="6" a="1"/>
  <c r="B689" i="6" s="1"/>
  <c r="B690" i="6" a="1"/>
  <c r="B690" i="6" s="1"/>
  <c r="B691" i="6" a="1"/>
  <c r="B691" i="6" s="1"/>
  <c r="B692" i="6" a="1"/>
  <c r="B692" i="6" s="1"/>
  <c r="B693" i="6" a="1"/>
  <c r="B693" i="6" s="1"/>
  <c r="B694" i="6" a="1"/>
  <c r="B694" i="6" s="1"/>
  <c r="B695" i="6" a="1"/>
  <c r="B695" i="6" s="1"/>
  <c r="B696" i="6" a="1"/>
  <c r="B696" i="6" s="1"/>
  <c r="B697" i="6" a="1"/>
  <c r="B697" i="6" s="1"/>
  <c r="B698" i="6" a="1"/>
  <c r="B698" i="6" s="1"/>
  <c r="B699" i="6" a="1"/>
  <c r="B699" i="6" s="1"/>
  <c r="B700" i="6" a="1"/>
  <c r="B700" i="6" s="1"/>
  <c r="B701" i="6" a="1"/>
  <c r="B701" i="6" s="1"/>
  <c r="B702" i="6" a="1"/>
  <c r="B702" i="6" s="1"/>
  <c r="B703" i="6" a="1"/>
  <c r="B703" i="6" s="1"/>
  <c r="B704" i="6" a="1"/>
  <c r="B704" i="6" s="1"/>
  <c r="B705" i="6" a="1"/>
  <c r="B705" i="6" s="1"/>
  <c r="B706" i="6" a="1"/>
  <c r="B706" i="6" s="1"/>
  <c r="B707" i="6" a="1"/>
  <c r="B707" i="6" s="1"/>
  <c r="B708" i="6" a="1"/>
  <c r="B708" i="6" s="1"/>
  <c r="B709" i="6" a="1"/>
  <c r="B709" i="6" s="1"/>
  <c r="B710" i="6" a="1"/>
  <c r="B710" i="6" s="1"/>
  <c r="B711" i="6" a="1"/>
  <c r="B711" i="6" s="1"/>
  <c r="B712" i="6" a="1"/>
  <c r="B712" i="6" s="1"/>
  <c r="B713" i="6" a="1"/>
  <c r="B713" i="6" s="1"/>
  <c r="B714" i="6" a="1"/>
  <c r="B714" i="6" s="1"/>
  <c r="B715" i="6" a="1"/>
  <c r="B715" i="6" s="1"/>
  <c r="B716" i="6" a="1"/>
  <c r="B716" i="6" s="1"/>
  <c r="B717" i="6" a="1"/>
  <c r="B717" i="6" s="1"/>
  <c r="B718" i="6" a="1"/>
  <c r="B718" i="6" s="1"/>
  <c r="B719" i="6" a="1"/>
  <c r="B719" i="6" s="1"/>
  <c r="B720" i="6" a="1"/>
  <c r="B720" i="6" s="1"/>
  <c r="B721" i="6" a="1"/>
  <c r="B721" i="6" s="1"/>
  <c r="B722" i="6" a="1"/>
  <c r="B722" i="6" s="1"/>
  <c r="B723" i="6" a="1"/>
  <c r="B723" i="6" s="1"/>
  <c r="B724" i="6" a="1"/>
  <c r="B724" i="6" s="1"/>
  <c r="B725" i="6" a="1"/>
  <c r="B725" i="6" s="1"/>
  <c r="B726" i="6" a="1"/>
  <c r="B726" i="6" s="1"/>
  <c r="B727" i="6" a="1"/>
  <c r="B727" i="6" s="1"/>
  <c r="B728" i="6" a="1"/>
  <c r="B728" i="6" s="1"/>
  <c r="B729" i="6" a="1"/>
  <c r="B729" i="6" s="1"/>
  <c r="B730" i="6" a="1"/>
  <c r="B730" i="6" s="1"/>
  <c r="B731" i="6" a="1"/>
  <c r="B731" i="6" s="1"/>
  <c r="B732" i="6" a="1"/>
  <c r="B732" i="6" s="1"/>
  <c r="B733" i="6" a="1"/>
  <c r="B733" i="6" s="1"/>
  <c r="B734" i="6" a="1"/>
  <c r="B734" i="6" s="1"/>
  <c r="B735" i="6" a="1"/>
  <c r="B735" i="6" s="1"/>
  <c r="B736" i="6" a="1"/>
  <c r="B736" i="6" s="1"/>
  <c r="B737" i="6" a="1"/>
  <c r="B737" i="6" s="1"/>
  <c r="B738" i="6" a="1"/>
  <c r="B738" i="6" s="1"/>
  <c r="B739" i="6" a="1"/>
  <c r="B739" i="6" s="1"/>
  <c r="B740" i="6" a="1"/>
  <c r="B740" i="6" s="1"/>
  <c r="B741" i="6" a="1"/>
  <c r="B741" i="6" s="1"/>
  <c r="B742" i="6" a="1"/>
  <c r="B742" i="6" s="1"/>
  <c r="B743" i="6" a="1"/>
  <c r="B743" i="6" s="1"/>
  <c r="B744" i="6" a="1"/>
  <c r="B744" i="6" s="1"/>
  <c r="B745" i="6" a="1"/>
  <c r="B745" i="6" s="1"/>
  <c r="B746" i="6" a="1"/>
  <c r="B746" i="6" s="1"/>
  <c r="B747" i="6" a="1"/>
  <c r="B747" i="6" s="1"/>
  <c r="B748" i="6" a="1"/>
  <c r="B748" i="6" s="1"/>
  <c r="B749" i="6" a="1"/>
  <c r="B749" i="6" s="1"/>
  <c r="B750" i="6" a="1"/>
  <c r="B750" i="6" s="1"/>
  <c r="B751" i="6" a="1"/>
  <c r="B751" i="6" s="1"/>
  <c r="B752" i="6" a="1"/>
  <c r="B752" i="6" s="1"/>
  <c r="B753" i="6" a="1"/>
  <c r="B753" i="6" s="1"/>
  <c r="B754" i="6" a="1"/>
  <c r="B754" i="6" s="1"/>
  <c r="B755" i="6" a="1"/>
  <c r="B755" i="6" s="1"/>
  <c r="B756" i="6" a="1"/>
  <c r="B756" i="6" s="1"/>
  <c r="B757" i="6" a="1"/>
  <c r="B757" i="6" s="1"/>
  <c r="B758" i="6" a="1"/>
  <c r="B758" i="6" s="1"/>
  <c r="B759" i="6" a="1"/>
  <c r="B759" i="6" s="1"/>
  <c r="B760" i="6" a="1"/>
  <c r="B760" i="6" s="1"/>
  <c r="B761" i="6" a="1"/>
  <c r="B761" i="6" s="1"/>
  <c r="B762" i="6" a="1"/>
  <c r="B762" i="6" s="1"/>
  <c r="B763" i="6" a="1"/>
  <c r="B763" i="6" s="1"/>
  <c r="B764" i="6" a="1"/>
  <c r="B764" i="6" s="1"/>
  <c r="B765" i="6" a="1"/>
  <c r="B765" i="6" s="1"/>
  <c r="B766" i="6" a="1"/>
  <c r="B766" i="6" s="1"/>
  <c r="B767" i="6" a="1"/>
  <c r="B767" i="6" s="1"/>
  <c r="B768" i="6" a="1"/>
  <c r="B768" i="6" s="1"/>
  <c r="B769" i="6" a="1"/>
  <c r="B769" i="6" s="1"/>
  <c r="B770" i="6" a="1"/>
  <c r="B770" i="6" s="1"/>
  <c r="B771" i="6" a="1"/>
  <c r="B771" i="6" s="1"/>
  <c r="B772" i="6" a="1"/>
  <c r="B772" i="6" s="1"/>
  <c r="B773" i="6" a="1"/>
  <c r="B773" i="6" s="1"/>
  <c r="B774" i="6" a="1"/>
  <c r="B774" i="6" s="1"/>
  <c r="B775" i="6" a="1"/>
  <c r="B775" i="6" s="1"/>
  <c r="B776" i="6" a="1"/>
  <c r="B776" i="6" s="1"/>
  <c r="B777" i="6" a="1"/>
  <c r="B777" i="6" s="1"/>
  <c r="B778" i="6" a="1"/>
  <c r="B778" i="6" s="1"/>
  <c r="B779" i="6" a="1"/>
  <c r="B779" i="6" s="1"/>
  <c r="B780" i="6" a="1"/>
  <c r="B780" i="6"/>
  <c r="B781" i="6" a="1"/>
  <c r="B781" i="6" s="1"/>
  <c r="B782" i="6" a="1"/>
  <c r="B782" i="6" s="1"/>
  <c r="B783" i="6" a="1"/>
  <c r="B783" i="6" s="1"/>
  <c r="B784" i="6" a="1"/>
  <c r="B784" i="6" s="1"/>
  <c r="B785" i="6" a="1"/>
  <c r="B785" i="6" s="1"/>
  <c r="B786" i="6" a="1"/>
  <c r="B786" i="6" s="1"/>
  <c r="B787" i="6" a="1"/>
  <c r="B787" i="6" s="1"/>
  <c r="B788" i="6" a="1"/>
  <c r="B788" i="6" s="1"/>
  <c r="B789" i="6" a="1"/>
  <c r="B789" i="6" s="1"/>
  <c r="B790" i="6" a="1"/>
  <c r="B790" i="6" s="1"/>
  <c r="B791" i="6" a="1"/>
  <c r="B791" i="6" s="1"/>
  <c r="B792" i="6" a="1"/>
  <c r="B792" i="6" s="1"/>
  <c r="B793" i="6" a="1"/>
  <c r="B793" i="6" s="1"/>
  <c r="B794" i="6" a="1"/>
  <c r="B794" i="6" s="1"/>
  <c r="B795" i="6" a="1"/>
  <c r="B795" i="6" s="1"/>
  <c r="B796" i="6" a="1"/>
  <c r="B796" i="6" s="1"/>
  <c r="B797" i="6" a="1"/>
  <c r="B797" i="6" s="1"/>
  <c r="B798" i="6" a="1"/>
  <c r="B798" i="6" s="1"/>
  <c r="B799" i="6" a="1"/>
  <c r="B799" i="6" s="1"/>
  <c r="B800" i="6" a="1"/>
  <c r="B800" i="6" s="1"/>
  <c r="B801" i="6" a="1"/>
  <c r="B801" i="6" s="1"/>
  <c r="B802" i="6" a="1"/>
  <c r="B802" i="6" s="1"/>
  <c r="B803" i="6" a="1"/>
  <c r="B803" i="6" s="1"/>
  <c r="B804" i="6" a="1"/>
  <c r="B804" i="6" s="1"/>
  <c r="B805" i="6" a="1"/>
  <c r="B805" i="6" s="1"/>
  <c r="B806" i="6" a="1"/>
  <c r="B806" i="6" s="1"/>
  <c r="B807" i="6" a="1"/>
  <c r="B807" i="6" s="1"/>
  <c r="B808" i="6" a="1"/>
  <c r="B808" i="6" s="1"/>
  <c r="B809" i="6" a="1"/>
  <c r="B809" i="6" s="1"/>
  <c r="B810" i="6" a="1"/>
  <c r="B810" i="6" s="1"/>
  <c r="B811" i="6" a="1"/>
  <c r="B811" i="6" s="1"/>
  <c r="B812" i="6" a="1"/>
  <c r="B812" i="6" s="1"/>
  <c r="B813" i="6" a="1"/>
  <c r="B813" i="6" s="1"/>
  <c r="B814" i="6" a="1"/>
  <c r="B814" i="6" s="1"/>
  <c r="B815" i="6" a="1"/>
  <c r="B815" i="6" s="1"/>
  <c r="B816" i="6" a="1"/>
  <c r="B816" i="6" s="1"/>
  <c r="B817" i="6" a="1"/>
  <c r="B817" i="6" s="1"/>
  <c r="B818" i="6" a="1"/>
  <c r="B818" i="6" s="1"/>
  <c r="B819" i="6" a="1"/>
  <c r="B819" i="6" s="1"/>
  <c r="B820" i="6" a="1"/>
  <c r="B820" i="6" s="1"/>
  <c r="B821" i="6" a="1"/>
  <c r="B821" i="6" s="1"/>
  <c r="B822" i="6" a="1"/>
  <c r="B822" i="6" s="1"/>
  <c r="B823" i="6" a="1"/>
  <c r="B823" i="6" s="1"/>
  <c r="B824" i="6" a="1"/>
  <c r="B824" i="6" s="1"/>
  <c r="B825" i="6" a="1"/>
  <c r="B825" i="6" s="1"/>
  <c r="B826" i="6" a="1"/>
  <c r="B826" i="6" s="1"/>
  <c r="B827" i="6" a="1"/>
  <c r="B827" i="6" s="1"/>
  <c r="B828" i="6" a="1"/>
  <c r="B828" i="6" s="1"/>
  <c r="B829" i="6" a="1"/>
  <c r="B829" i="6" s="1"/>
  <c r="B830" i="6" a="1"/>
  <c r="B830" i="6" s="1"/>
  <c r="B831" i="6" a="1"/>
  <c r="B831" i="6" s="1"/>
  <c r="B832" i="6" a="1"/>
  <c r="B832" i="6" s="1"/>
  <c r="B833" i="6" a="1"/>
  <c r="B833" i="6" s="1"/>
  <c r="B834" i="6" a="1"/>
  <c r="B834" i="6" s="1"/>
  <c r="B835" i="6" a="1"/>
  <c r="B835" i="6" s="1"/>
  <c r="B836" i="6" a="1"/>
  <c r="B836" i="6" s="1"/>
  <c r="B837" i="6" a="1"/>
  <c r="B837" i="6" s="1"/>
  <c r="B838" i="6" a="1"/>
  <c r="B838" i="6" s="1"/>
  <c r="B839" i="6" a="1"/>
  <c r="B839" i="6" s="1"/>
  <c r="B840" i="6" a="1"/>
  <c r="B840" i="6" s="1"/>
  <c r="B841" i="6" a="1"/>
  <c r="B841" i="6" s="1"/>
  <c r="B842" i="6" a="1"/>
  <c r="B842" i="6" s="1"/>
  <c r="B843" i="6" a="1"/>
  <c r="B843" i="6" s="1"/>
  <c r="B844" i="6" a="1"/>
  <c r="B844" i="6" s="1"/>
  <c r="B845" i="6" a="1"/>
  <c r="B845" i="6" s="1"/>
  <c r="B846" i="6" a="1"/>
  <c r="B846" i="6" s="1"/>
  <c r="B847" i="6" a="1"/>
  <c r="B847" i="6" s="1"/>
  <c r="B848" i="6" a="1"/>
  <c r="B848" i="6" s="1"/>
  <c r="B849" i="6" a="1"/>
  <c r="B849" i="6" s="1"/>
  <c r="B850" i="6" a="1"/>
  <c r="B850" i="6" s="1"/>
  <c r="B851" i="6" a="1"/>
  <c r="B851" i="6" s="1"/>
  <c r="B852" i="6" a="1"/>
  <c r="B852" i="6" s="1"/>
  <c r="B853" i="6" a="1"/>
  <c r="B853" i="6" s="1"/>
  <c r="B854" i="6" a="1"/>
  <c r="B854" i="6" s="1"/>
  <c r="B855" i="6" a="1"/>
  <c r="B855" i="6"/>
  <c r="B856" i="6" a="1"/>
  <c r="B856" i="6" s="1"/>
  <c r="B857" i="6" a="1"/>
  <c r="B857" i="6" s="1"/>
  <c r="B858" i="6" a="1"/>
  <c r="B858" i="6" s="1"/>
  <c r="B859" i="6" a="1"/>
  <c r="B859" i="6" s="1"/>
  <c r="B860" i="6" a="1"/>
  <c r="B860" i="6" s="1"/>
  <c r="B861" i="6" a="1"/>
  <c r="B861" i="6" s="1"/>
  <c r="B862" i="6" a="1"/>
  <c r="B862" i="6" s="1"/>
  <c r="B863" i="6" a="1"/>
  <c r="B863" i="6" s="1"/>
  <c r="B864" i="6" a="1"/>
  <c r="B864" i="6" s="1"/>
  <c r="B865" i="6" a="1"/>
  <c r="B865" i="6" s="1"/>
  <c r="B866" i="6" a="1"/>
  <c r="B866" i="6" s="1"/>
  <c r="B867" i="6" a="1"/>
  <c r="B867" i="6" s="1"/>
  <c r="B868" i="6" a="1"/>
  <c r="B868" i="6" s="1"/>
  <c r="B869" i="6" a="1"/>
  <c r="B869" i="6" s="1"/>
  <c r="B870" i="6" a="1"/>
  <c r="B870" i="6" s="1"/>
  <c r="B871" i="6" a="1"/>
  <c r="B871" i="6" s="1"/>
  <c r="B872" i="6" a="1"/>
  <c r="B872" i="6" s="1"/>
  <c r="B873" i="6" a="1"/>
  <c r="B873" i="6" s="1"/>
  <c r="B874" i="6" a="1"/>
  <c r="B874" i="6" s="1"/>
  <c r="B875" i="6" a="1"/>
  <c r="B875" i="6" s="1"/>
  <c r="B876" i="6" a="1"/>
  <c r="B876" i="6" s="1"/>
  <c r="B877" i="6" a="1"/>
  <c r="B877" i="6" s="1"/>
  <c r="B878" i="6" a="1"/>
  <c r="B878" i="6" s="1"/>
  <c r="B879" i="6" a="1"/>
  <c r="B879" i="6" s="1"/>
  <c r="B880" i="6" a="1"/>
  <c r="B880" i="6" s="1"/>
  <c r="B881" i="6" a="1"/>
  <c r="B881" i="6" s="1"/>
  <c r="B882" i="6" a="1"/>
  <c r="B882" i="6" s="1"/>
  <c r="B883" i="6" a="1"/>
  <c r="B883" i="6" s="1"/>
  <c r="B884" i="6" a="1"/>
  <c r="B884" i="6" s="1"/>
  <c r="B885" i="6" a="1"/>
  <c r="B885" i="6" s="1"/>
  <c r="B886" i="6" a="1"/>
  <c r="B886" i="6" s="1"/>
  <c r="B887" i="6" a="1"/>
  <c r="B887" i="6" s="1"/>
  <c r="B888" i="6" a="1"/>
  <c r="B888" i="6" s="1"/>
  <c r="B889" i="6" a="1"/>
  <c r="B889" i="6" s="1"/>
  <c r="B890" i="6" a="1"/>
  <c r="B890" i="6" s="1"/>
  <c r="B891" i="6" a="1"/>
  <c r="B891" i="6" s="1"/>
  <c r="B892" i="6" a="1"/>
  <c r="B892" i="6" s="1"/>
  <c r="B893" i="6" a="1"/>
  <c r="B893" i="6" s="1"/>
  <c r="B894" i="6" a="1"/>
  <c r="B894" i="6" s="1"/>
  <c r="B895" i="6" a="1"/>
  <c r="B895" i="6" s="1"/>
  <c r="B896" i="6" a="1"/>
  <c r="B896" i="6" s="1"/>
  <c r="B897" i="6" a="1"/>
  <c r="B897" i="6" s="1"/>
  <c r="B898" i="6" a="1"/>
  <c r="B898" i="6" s="1"/>
  <c r="B899" i="6" a="1"/>
  <c r="B899" i="6" s="1"/>
  <c r="B900" i="6" a="1"/>
  <c r="B900" i="6" s="1"/>
  <c r="B901" i="6" a="1"/>
  <c r="B901" i="6" s="1"/>
  <c r="B902" i="6" a="1"/>
  <c r="B902" i="6" s="1"/>
  <c r="B903" i="6" a="1"/>
  <c r="B903" i="6" s="1"/>
  <c r="B904" i="6" a="1"/>
  <c r="B904" i="6" s="1"/>
  <c r="B905" i="6" a="1"/>
  <c r="B905" i="6" s="1"/>
  <c r="B906" i="6" a="1"/>
  <c r="B906" i="6" s="1"/>
  <c r="B907" i="6" a="1"/>
  <c r="B907" i="6" s="1"/>
  <c r="B908" i="6" a="1"/>
  <c r="B908" i="6" s="1"/>
  <c r="B909" i="6" a="1"/>
  <c r="B909" i="6" s="1"/>
  <c r="B910" i="6" a="1"/>
  <c r="B910" i="6" s="1"/>
  <c r="B911" i="6" a="1"/>
  <c r="B911" i="6" s="1"/>
  <c r="B912" i="6" a="1"/>
  <c r="B912" i="6" s="1"/>
  <c r="B913" i="6" a="1"/>
  <c r="B913" i="6" s="1"/>
  <c r="B914" i="6" a="1"/>
  <c r="B914" i="6" s="1"/>
  <c r="B915" i="6" a="1"/>
  <c r="B915" i="6" s="1"/>
  <c r="B916" i="6" a="1"/>
  <c r="B916" i="6" s="1"/>
  <c r="B917" i="6" a="1"/>
  <c r="B917" i="6" s="1"/>
  <c r="B918" i="6" a="1"/>
  <c r="B918" i="6" s="1"/>
  <c r="B919" i="6" a="1"/>
  <c r="B919" i="6" s="1"/>
  <c r="B920" i="6" a="1"/>
  <c r="B920" i="6" s="1"/>
  <c r="B921" i="6" a="1"/>
  <c r="B921" i="6" s="1"/>
  <c r="B922" i="6" a="1"/>
  <c r="B922" i="6" s="1"/>
  <c r="B923" i="6" a="1"/>
  <c r="B923" i="6" s="1"/>
  <c r="B924" i="6" a="1"/>
  <c r="B924" i="6" s="1"/>
  <c r="B925" i="6" a="1"/>
  <c r="B925" i="6" s="1"/>
  <c r="B926" i="6" a="1"/>
  <c r="B926" i="6" s="1"/>
  <c r="B927" i="6" a="1"/>
  <c r="B927" i="6" s="1"/>
  <c r="B928" i="6" a="1"/>
  <c r="B928" i="6" s="1"/>
  <c r="B929" i="6" a="1"/>
  <c r="B929" i="6" s="1"/>
  <c r="B930" i="6" a="1"/>
  <c r="B930" i="6" s="1"/>
  <c r="B931" i="6" a="1"/>
  <c r="B931" i="6" s="1"/>
  <c r="B932" i="6" a="1"/>
  <c r="B932" i="6" s="1"/>
  <c r="B933" i="6" a="1"/>
  <c r="B933" i="6" s="1"/>
  <c r="B934" i="6" a="1"/>
  <c r="B934" i="6" s="1"/>
  <c r="B935" i="6" a="1"/>
  <c r="B935" i="6" s="1"/>
  <c r="B936" i="6" a="1"/>
  <c r="B936" i="6" s="1"/>
  <c r="B937" i="6" a="1"/>
  <c r="B937" i="6" s="1"/>
  <c r="B938" i="6" a="1"/>
  <c r="B938" i="6" s="1"/>
  <c r="B939" i="6" a="1"/>
  <c r="B939" i="6" s="1"/>
  <c r="B940" i="6" a="1"/>
  <c r="B940" i="6" s="1"/>
  <c r="B941" i="6" a="1"/>
  <c r="B941" i="6" s="1"/>
  <c r="B942" i="6" a="1"/>
  <c r="B942" i="6" s="1"/>
  <c r="B943" i="6" a="1"/>
  <c r="B943" i="6" s="1"/>
  <c r="B944" i="6" a="1"/>
  <c r="B944" i="6" s="1"/>
  <c r="B945" i="6" a="1"/>
  <c r="B945" i="6" s="1"/>
  <c r="B946" i="6" a="1"/>
  <c r="B946" i="6" s="1"/>
  <c r="B947" i="6" a="1"/>
  <c r="B947" i="6" s="1"/>
  <c r="B948" i="6" a="1"/>
  <c r="B948" i="6" s="1"/>
  <c r="B949" i="6" a="1"/>
  <c r="B949" i="6" s="1"/>
  <c r="B950" i="6" a="1"/>
  <c r="B950" i="6" s="1"/>
  <c r="B951" i="6" a="1"/>
  <c r="B951" i="6" s="1"/>
  <c r="B952" i="6" a="1"/>
  <c r="B952" i="6" s="1"/>
  <c r="B953" i="6" a="1"/>
  <c r="B953" i="6" s="1"/>
  <c r="B954" i="6" a="1"/>
  <c r="B954" i="6" s="1"/>
  <c r="B955" i="6" a="1"/>
  <c r="B955" i="6" s="1"/>
  <c r="B956" i="6" a="1"/>
  <c r="B956" i="6" s="1"/>
  <c r="B957" i="6" a="1"/>
  <c r="B957" i="6" s="1"/>
  <c r="B958" i="6" a="1"/>
  <c r="B958" i="6" s="1"/>
  <c r="B959" i="6" a="1"/>
  <c r="B959" i="6" s="1"/>
  <c r="B960" i="6" a="1"/>
  <c r="B960" i="6" s="1"/>
  <c r="B961" i="6" a="1"/>
  <c r="B961" i="6" s="1"/>
  <c r="B962" i="6" a="1"/>
  <c r="B962" i="6" s="1"/>
  <c r="B963" i="6" a="1"/>
  <c r="B963" i="6" s="1"/>
  <c r="B964" i="6" a="1"/>
  <c r="B964" i="6" s="1"/>
  <c r="B965" i="6" a="1"/>
  <c r="B965" i="6" s="1"/>
  <c r="B966" i="6" a="1"/>
  <c r="B966" i="6" s="1"/>
  <c r="B967" i="6" a="1"/>
  <c r="B967" i="6" s="1"/>
  <c r="B968" i="6" a="1"/>
  <c r="B968" i="6" s="1"/>
  <c r="B969" i="6" a="1"/>
  <c r="B969" i="6" s="1"/>
  <c r="B970" i="6" a="1"/>
  <c r="B970" i="6" s="1"/>
  <c r="B971" i="6" a="1"/>
  <c r="B971" i="6" s="1"/>
  <c r="B972" i="6" a="1"/>
  <c r="B972" i="6" s="1"/>
  <c r="B973" i="6" a="1"/>
  <c r="B973" i="6" s="1"/>
  <c r="B974" i="6" a="1"/>
  <c r="B974" i="6" s="1"/>
  <c r="B975" i="6" a="1"/>
  <c r="B975" i="6" s="1"/>
  <c r="B976" i="6" a="1"/>
  <c r="B976" i="6" s="1"/>
  <c r="B977" i="6" a="1"/>
  <c r="B977" i="6" s="1"/>
  <c r="B978" i="6" a="1"/>
  <c r="B978" i="6" s="1"/>
  <c r="B979" i="6" a="1"/>
  <c r="B979" i="6" s="1"/>
  <c r="B980" i="6" a="1"/>
  <c r="B980" i="6" s="1"/>
  <c r="B981" i="6" a="1"/>
  <c r="B981" i="6" s="1"/>
  <c r="B982" i="6" a="1"/>
  <c r="B982" i="6" s="1"/>
  <c r="B983" i="6" a="1"/>
  <c r="B983" i="6" s="1"/>
  <c r="B984" i="6" a="1"/>
  <c r="B984" i="6" s="1"/>
  <c r="B985" i="6" a="1"/>
  <c r="B985" i="6" s="1"/>
  <c r="B986" i="6" a="1"/>
  <c r="B986" i="6" s="1"/>
  <c r="B987" i="6" a="1"/>
  <c r="B987" i="6" s="1"/>
  <c r="B988" i="6" a="1"/>
  <c r="B988" i="6" s="1"/>
  <c r="B989" i="6" a="1"/>
  <c r="B989" i="6" s="1"/>
  <c r="B990" i="6" a="1"/>
  <c r="B990" i="6" s="1"/>
  <c r="B991" i="6" a="1"/>
  <c r="B991" i="6" s="1"/>
  <c r="B992" i="6" a="1"/>
  <c r="B992" i="6" s="1"/>
  <c r="B993" i="6" a="1"/>
  <c r="B993" i="6" s="1"/>
  <c r="B994" i="6" a="1"/>
  <c r="B994" i="6" s="1"/>
  <c r="B995" i="6" a="1"/>
  <c r="B995" i="6" s="1"/>
  <c r="B996" i="6" a="1"/>
  <c r="B996" i="6" s="1"/>
  <c r="B997" i="6" a="1"/>
  <c r="B997" i="6" s="1"/>
  <c r="B998" i="6" a="1"/>
  <c r="B998" i="6" s="1"/>
  <c r="B999" i="6" a="1"/>
  <c r="B999" i="6" s="1"/>
  <c r="B1000" i="6" a="1"/>
  <c r="B1000" i="6" s="1"/>
  <c r="B1001" i="6" a="1"/>
  <c r="B1001" i="6" s="1"/>
  <c r="B1002" i="6" a="1"/>
  <c r="B1002" i="6" s="1"/>
  <c r="B1003" i="6" a="1"/>
  <c r="B1003" i="6" s="1"/>
  <c r="B1004" i="6" a="1"/>
  <c r="B1004" i="6" s="1"/>
  <c r="B1005" i="6" a="1"/>
  <c r="B1005" i="6" s="1"/>
  <c r="B1006" i="6" a="1"/>
  <c r="B1006" i="6" s="1"/>
  <c r="B1007" i="6" a="1"/>
  <c r="B1007" i="6" s="1"/>
  <c r="B1008" i="6" a="1"/>
  <c r="B1008" i="6" s="1"/>
  <c r="B1009" i="6" a="1"/>
  <c r="B1009" i="6"/>
  <c r="B1010" i="6" a="1"/>
  <c r="B1010" i="6" s="1"/>
  <c r="B1011" i="6" a="1"/>
  <c r="B1011" i="6" s="1"/>
  <c r="B1012" i="6" a="1"/>
  <c r="B1012" i="6" s="1"/>
  <c r="B1013" i="6" a="1"/>
  <c r="B1013" i="6" s="1"/>
  <c r="B1014" i="6" a="1"/>
  <c r="B1014" i="6" s="1"/>
  <c r="B1015" i="6" a="1"/>
  <c r="B1015" i="6" s="1"/>
  <c r="B1016" i="6" a="1"/>
  <c r="B1016" i="6" s="1"/>
  <c r="B1017" i="6" a="1"/>
  <c r="B1017" i="6" s="1"/>
  <c r="B1018" i="6" a="1"/>
  <c r="B1018" i="6" s="1"/>
  <c r="B1019" i="6" a="1"/>
  <c r="B1019" i="6" s="1"/>
  <c r="B1020" i="6" a="1"/>
  <c r="B1020" i="6" s="1"/>
  <c r="B1021" i="6" a="1"/>
  <c r="B1021" i="6" s="1"/>
  <c r="B1022" i="6" a="1"/>
  <c r="B1022" i="6" s="1"/>
  <c r="B1023" i="6" a="1"/>
  <c r="B1023" i="6"/>
  <c r="B1024" i="6" a="1"/>
  <c r="B1024" i="6" s="1"/>
  <c r="B1025" i="6" a="1"/>
  <c r="B1025" i="6" s="1"/>
  <c r="B1026" i="6" a="1"/>
  <c r="B1026" i="6" s="1"/>
  <c r="B1027" i="6" a="1"/>
  <c r="B1027" i="6" s="1"/>
  <c r="B1028" i="6" a="1"/>
  <c r="B1028" i="6" s="1"/>
  <c r="B1029" i="6" a="1"/>
  <c r="B1029" i="6" s="1"/>
  <c r="B1030" i="6" a="1"/>
  <c r="B1030" i="6" s="1"/>
  <c r="B1031" i="6" a="1"/>
  <c r="B1031" i="6" s="1"/>
  <c r="B1032" i="6" a="1"/>
  <c r="B1032" i="6" s="1"/>
  <c r="B1033" i="6" a="1"/>
  <c r="B1033" i="6" s="1"/>
  <c r="B1034" i="6" a="1"/>
  <c r="B1034" i="6" s="1"/>
  <c r="B1035" i="6" a="1"/>
  <c r="B1035" i="6" s="1"/>
  <c r="B1036" i="6" a="1"/>
  <c r="B1036" i="6" s="1"/>
  <c r="B1037" i="6" a="1"/>
  <c r="B1037" i="6" s="1"/>
  <c r="B1038" i="6" a="1"/>
  <c r="B1038" i="6" s="1"/>
  <c r="B1039" i="6" a="1"/>
  <c r="B1039" i="6" s="1"/>
  <c r="B1040" i="6" a="1"/>
  <c r="B1040" i="6" s="1"/>
  <c r="B1041" i="6" a="1"/>
  <c r="B1041" i="6" s="1"/>
  <c r="B1042" i="6" a="1"/>
  <c r="B1042" i="6" s="1"/>
  <c r="B1043" i="6" a="1"/>
  <c r="B1043" i="6" s="1"/>
  <c r="B1044" i="6" a="1"/>
  <c r="B1044" i="6" s="1"/>
  <c r="B1045" i="6" a="1"/>
  <c r="B1045" i="6"/>
  <c r="B1046" i="6" a="1"/>
  <c r="B1046" i="6" s="1"/>
  <c r="B1047" i="6" a="1"/>
  <c r="B1047" i="6" s="1"/>
  <c r="B1048" i="6" a="1"/>
  <c r="B1048" i="6" s="1"/>
  <c r="B1049" i="6" a="1"/>
  <c r="B1049" i="6" s="1"/>
  <c r="B1050" i="6" a="1"/>
  <c r="B1050" i="6" s="1"/>
  <c r="B1051" i="6" a="1"/>
  <c r="B1051" i="6" s="1"/>
  <c r="B1052" i="6" a="1"/>
  <c r="B1052" i="6" s="1"/>
  <c r="B1053" i="6" a="1"/>
  <c r="B1053" i="6" s="1"/>
  <c r="B1054" i="6" a="1"/>
  <c r="B1054" i="6" s="1"/>
  <c r="B1055" i="6" a="1"/>
  <c r="B1055" i="6" s="1"/>
  <c r="B1056" i="6" a="1"/>
  <c r="B1056" i="6" s="1"/>
  <c r="B1057" i="6" a="1"/>
  <c r="B1057" i="6" s="1"/>
  <c r="B1058" i="6" a="1"/>
  <c r="B1058" i="6" s="1"/>
  <c r="B1059" i="6" a="1"/>
  <c r="B1059" i="6" s="1"/>
  <c r="B1060" i="6" a="1"/>
  <c r="B1060" i="6" s="1"/>
  <c r="B1061" i="6" a="1"/>
  <c r="B1061" i="6" s="1"/>
  <c r="B1062" i="6" a="1"/>
  <c r="B1062" i="6" s="1"/>
  <c r="B1063" i="6" a="1"/>
  <c r="B1063" i="6" s="1"/>
  <c r="B1064" i="6" a="1"/>
  <c r="B1064" i="6" s="1"/>
  <c r="B1065" i="6" a="1"/>
  <c r="B1065" i="6" s="1"/>
  <c r="B1066" i="6" a="1"/>
  <c r="B1066" i="6" s="1"/>
  <c r="B1067" i="6" a="1"/>
  <c r="B1067" i="6" s="1"/>
  <c r="B1068" i="6" a="1"/>
  <c r="B1068" i="6" s="1"/>
  <c r="B1069" i="6" a="1"/>
  <c r="B1069" i="6" s="1"/>
  <c r="B1070" i="6" a="1"/>
  <c r="B1070" i="6" s="1"/>
  <c r="B1071" i="6" a="1"/>
  <c r="B1071" i="6" s="1"/>
  <c r="B1072" i="6" a="1"/>
  <c r="B1072" i="6" s="1"/>
  <c r="B1073" i="6" a="1"/>
  <c r="B1073" i="6" s="1"/>
  <c r="B1074" i="6" a="1"/>
  <c r="B1074" i="6" s="1"/>
  <c r="B1075" i="6" a="1"/>
  <c r="B1075" i="6" s="1"/>
  <c r="B1076" i="6" a="1"/>
  <c r="B1076" i="6" s="1"/>
  <c r="B1077" i="6" a="1"/>
  <c r="B1077" i="6" s="1"/>
  <c r="B1078" i="6" a="1"/>
  <c r="B1078" i="6" s="1"/>
  <c r="B1079" i="6" a="1"/>
  <c r="B1079" i="6" s="1"/>
  <c r="B1080" i="6" a="1"/>
  <c r="B1080" i="6" s="1"/>
  <c r="B1081" i="6" a="1"/>
  <c r="B1081" i="6" s="1"/>
  <c r="B1082" i="6" a="1"/>
  <c r="B1082" i="6" s="1"/>
  <c r="B1083" i="6" a="1"/>
  <c r="B1083" i="6" s="1"/>
  <c r="B1084" i="6" a="1"/>
  <c r="B1084" i="6" s="1"/>
  <c r="B1085" i="6" a="1"/>
  <c r="B1085" i="6" s="1"/>
  <c r="B1086" i="6" a="1"/>
  <c r="B1086" i="6" s="1"/>
  <c r="B1087" i="6" a="1"/>
  <c r="B1087" i="6" s="1"/>
  <c r="B1088" i="6" a="1"/>
  <c r="B1088" i="6" s="1"/>
  <c r="B1089" i="6" a="1"/>
  <c r="B1089" i="6" s="1"/>
  <c r="B1090" i="6" a="1"/>
  <c r="B1090" i="6" s="1"/>
  <c r="B1091" i="6" a="1"/>
  <c r="B1091" i="6" s="1"/>
  <c r="B1092" i="6" a="1"/>
  <c r="B1092" i="6" s="1"/>
  <c r="B1093" i="6" a="1"/>
  <c r="B1093" i="6" s="1"/>
  <c r="B1094" i="6" a="1"/>
  <c r="B1094" i="6" s="1"/>
  <c r="B1095" i="6" a="1"/>
  <c r="B1095" i="6" s="1"/>
  <c r="B1096" i="6" a="1"/>
  <c r="B1096" i="6" s="1"/>
  <c r="B1097" i="6" a="1"/>
  <c r="B1097" i="6" s="1"/>
  <c r="B1098" i="6" a="1"/>
  <c r="B1098" i="6" s="1"/>
  <c r="B1099" i="6" a="1"/>
  <c r="B1099" i="6" s="1"/>
  <c r="B1100" i="6" a="1"/>
  <c r="B1100" i="6" s="1"/>
  <c r="B1101" i="6" a="1"/>
  <c r="B1101" i="6" s="1"/>
  <c r="B1102" i="6" a="1"/>
  <c r="B1102" i="6" s="1"/>
  <c r="B1103" i="6" a="1"/>
  <c r="B1103" i="6" s="1"/>
  <c r="B1104" i="6" a="1"/>
  <c r="B1104" i="6" s="1"/>
  <c r="B1105" i="6" a="1"/>
  <c r="B1105" i="6" s="1"/>
  <c r="B1106" i="6" a="1"/>
  <c r="B1106" i="6" s="1"/>
  <c r="B1107" i="6" a="1"/>
  <c r="B1107" i="6" s="1"/>
  <c r="B1108" i="6" a="1"/>
  <c r="B1108" i="6" s="1"/>
  <c r="B1109" i="6" a="1"/>
  <c r="B1109" i="6" s="1"/>
  <c r="B1110" i="6" a="1"/>
  <c r="B1110" i="6" s="1"/>
  <c r="B1111" i="6" a="1"/>
  <c r="B1111" i="6" s="1"/>
  <c r="B1112" i="6" a="1"/>
  <c r="B1112" i="6" s="1"/>
  <c r="B1113" i="6" a="1"/>
  <c r="B1113" i="6" s="1"/>
  <c r="B1114" i="6" a="1"/>
  <c r="B1114" i="6" s="1"/>
  <c r="B1115" i="6" a="1"/>
  <c r="B1115" i="6" s="1"/>
  <c r="B1116" i="6" a="1"/>
  <c r="B1116" i="6" s="1"/>
  <c r="B1117" i="6" a="1"/>
  <c r="B1117" i="6" s="1"/>
  <c r="B1118" i="6" a="1"/>
  <c r="B1118" i="6" s="1"/>
  <c r="B1119" i="6" a="1"/>
  <c r="B1119" i="6" s="1"/>
  <c r="B1120" i="6" a="1"/>
  <c r="B1120" i="6" s="1"/>
  <c r="B1121" i="6" a="1"/>
  <c r="B1121" i="6" s="1"/>
  <c r="B1122" i="6" a="1"/>
  <c r="B1122" i="6" s="1"/>
  <c r="B1123" i="6" a="1"/>
  <c r="B1123" i="6" s="1"/>
  <c r="B1124" i="6" a="1"/>
  <c r="B1124" i="6" s="1"/>
  <c r="B1125" i="6" a="1"/>
  <c r="B1125" i="6" s="1"/>
  <c r="B1126" i="6" a="1"/>
  <c r="B1126" i="6" s="1"/>
  <c r="B1127" i="6" a="1"/>
  <c r="B1127" i="6" s="1"/>
  <c r="B1128" i="6" a="1"/>
  <c r="B1128" i="6" s="1"/>
  <c r="B1129" i="6" a="1"/>
  <c r="B1129" i="6" s="1"/>
  <c r="B1130" i="6" a="1"/>
  <c r="B1130" i="6" s="1"/>
  <c r="B1131" i="6" a="1"/>
  <c r="B1131" i="6" s="1"/>
  <c r="B1132" i="6" a="1"/>
  <c r="B1132" i="6" s="1"/>
  <c r="B1133" i="6" a="1"/>
  <c r="B1133" i="6" s="1"/>
  <c r="B1134" i="6" a="1"/>
  <c r="B1134" i="6" s="1"/>
  <c r="B1135" i="6" a="1"/>
  <c r="B1135" i="6" s="1"/>
  <c r="B1136" i="6" a="1"/>
  <c r="B1136" i="6" s="1"/>
  <c r="B1137" i="6" a="1"/>
  <c r="B1137" i="6" s="1"/>
  <c r="B1138" i="6" a="1"/>
  <c r="B1138" i="6" s="1"/>
  <c r="B1139" i="6" a="1"/>
  <c r="B1139" i="6" s="1"/>
  <c r="B1140" i="6" a="1"/>
  <c r="B1140" i="6" s="1"/>
  <c r="B1141" i="6" a="1"/>
  <c r="B1141" i="6" s="1"/>
  <c r="B1142" i="6" a="1"/>
  <c r="B1142" i="6" s="1"/>
  <c r="B1143" i="6" a="1"/>
  <c r="B1143" i="6" s="1"/>
  <c r="B1144" i="6" a="1"/>
  <c r="B1144" i="6" s="1"/>
  <c r="B1145" i="6" a="1"/>
  <c r="B1145" i="6" s="1"/>
  <c r="B1146" i="6" a="1"/>
  <c r="B1146" i="6" s="1"/>
  <c r="B1147" i="6" a="1"/>
  <c r="B1147" i="6" s="1"/>
  <c r="B1148" i="6" a="1"/>
  <c r="B1148" i="6" s="1"/>
  <c r="B1149" i="6" a="1"/>
  <c r="B1149" i="6" s="1"/>
  <c r="B1150" i="6" a="1"/>
  <c r="B1150" i="6" s="1"/>
  <c r="B1151" i="6" a="1"/>
  <c r="B1151" i="6" s="1"/>
  <c r="B1152" i="6" a="1"/>
  <c r="B1152" i="6" s="1"/>
  <c r="B1153" i="6" a="1"/>
  <c r="B1153" i="6" s="1"/>
  <c r="B1154" i="6" a="1"/>
  <c r="B1154" i="6" s="1"/>
  <c r="B1155" i="6" a="1"/>
  <c r="B1155" i="6" s="1"/>
  <c r="B1156" i="6" a="1"/>
  <c r="B1156" i="6" s="1"/>
  <c r="B1157" i="6" a="1"/>
  <c r="B1157" i="6" s="1"/>
  <c r="B1158" i="6" a="1"/>
  <c r="B1158" i="6" s="1"/>
  <c r="B1159" i="6" a="1"/>
  <c r="B1159" i="6" s="1"/>
  <c r="B1160" i="6" a="1"/>
  <c r="B1160" i="6" s="1"/>
  <c r="B1161" i="6" a="1"/>
  <c r="B1161" i="6" s="1"/>
  <c r="B1162" i="6" a="1"/>
  <c r="B1162" i="6" s="1"/>
  <c r="B1163" i="6" a="1"/>
  <c r="B1163" i="6" s="1"/>
  <c r="B1164" i="6" a="1"/>
  <c r="B1164" i="6" s="1"/>
  <c r="B1165" i="6" a="1"/>
  <c r="B1165" i="6" s="1"/>
  <c r="B1166" i="6" a="1"/>
  <c r="B1166" i="6" s="1"/>
  <c r="B1167" i="6" a="1"/>
  <c r="B1167" i="6" s="1"/>
  <c r="B1168" i="6" a="1"/>
  <c r="B1168" i="6" s="1"/>
  <c r="B1169" i="6" a="1"/>
  <c r="B1169" i="6" s="1"/>
  <c r="B1170" i="6" a="1"/>
  <c r="B1170" i="6" s="1"/>
  <c r="B1171" i="6" a="1"/>
  <c r="B1171" i="6" s="1"/>
  <c r="B1172" i="6" a="1"/>
  <c r="B1172" i="6" s="1"/>
  <c r="B1173" i="6" a="1"/>
  <c r="B1173" i="6" s="1"/>
  <c r="B1174" i="6" a="1"/>
  <c r="B1174" i="6" s="1"/>
  <c r="B1175" i="6" a="1"/>
  <c r="B1175" i="6" s="1"/>
  <c r="B1176" i="6" a="1"/>
  <c r="B1176" i="6" s="1"/>
  <c r="B1177" i="6" a="1"/>
  <c r="B1177" i="6" s="1"/>
  <c r="B1178" i="6" a="1"/>
  <c r="B1178" i="6" s="1"/>
  <c r="B1179" i="6" a="1"/>
  <c r="B1179" i="6" s="1"/>
  <c r="B1180" i="6" a="1"/>
  <c r="B1180" i="6" s="1"/>
  <c r="B1181" i="6" a="1"/>
  <c r="B1181" i="6" s="1"/>
  <c r="B1182" i="6" a="1"/>
  <c r="B1182" i="6" s="1"/>
  <c r="B1183" i="6" a="1"/>
  <c r="B1183" i="6" s="1"/>
  <c r="B1184" i="6" a="1"/>
  <c r="B1184" i="6" s="1"/>
  <c r="B1185" i="6" a="1"/>
  <c r="B1185" i="6" s="1"/>
  <c r="B1186" i="6" a="1"/>
  <c r="B1186" i="6" s="1"/>
  <c r="B1187" i="6" a="1"/>
  <c r="B1187" i="6" s="1"/>
  <c r="B1188" i="6" a="1"/>
  <c r="B1188" i="6" s="1"/>
  <c r="B1189" i="6" a="1"/>
  <c r="B1189" i="6" s="1"/>
  <c r="B1190" i="6" a="1"/>
  <c r="B1190" i="6" s="1"/>
  <c r="B1191" i="6" a="1"/>
  <c r="B1191" i="6" s="1"/>
  <c r="B1192" i="6" a="1"/>
  <c r="B1192" i="6" s="1"/>
  <c r="B1193" i="6" a="1"/>
  <c r="B1193" i="6" s="1"/>
  <c r="B1194" i="6" a="1"/>
  <c r="B1194" i="6" s="1"/>
  <c r="B1195" i="6" a="1"/>
  <c r="B1195" i="6" s="1"/>
  <c r="B1196" i="6" a="1"/>
  <c r="B1196" i="6" s="1"/>
  <c r="B1197" i="6" a="1"/>
  <c r="B1197" i="6" s="1"/>
  <c r="B1198" i="6" a="1"/>
  <c r="B1198" i="6" s="1"/>
  <c r="B1199" i="6" a="1"/>
  <c r="B1199" i="6" s="1"/>
  <c r="B1200" i="6" a="1"/>
  <c r="B1200" i="6" s="1"/>
  <c r="B1201" i="6" a="1"/>
  <c r="B1201" i="6" s="1"/>
  <c r="B1202" i="6" a="1"/>
  <c r="B1202" i="6" s="1"/>
  <c r="B1203" i="6" a="1"/>
  <c r="B1203" i="6"/>
  <c r="B1204" i="6" a="1"/>
  <c r="B1204" i="6" s="1"/>
  <c r="B1205" i="6" a="1"/>
  <c r="B1205" i="6" s="1"/>
  <c r="B1206" i="6" a="1"/>
  <c r="B1206" i="6" s="1"/>
  <c r="B1207" i="6" a="1"/>
  <c r="B1207" i="6" s="1"/>
  <c r="B1208" i="6" a="1"/>
  <c r="B1208" i="6" s="1"/>
  <c r="B1209" i="6" a="1"/>
  <c r="B1209" i="6" s="1"/>
  <c r="B1210" i="6" a="1"/>
  <c r="B1210" i="6" s="1"/>
  <c r="B1211" i="6" a="1"/>
  <c r="B1211" i="6" s="1"/>
  <c r="B1212" i="6" a="1"/>
  <c r="B1212" i="6" s="1"/>
  <c r="B1213" i="6" a="1"/>
  <c r="B1213" i="6" s="1"/>
  <c r="B1214" i="6" a="1"/>
  <c r="B1214" i="6" s="1"/>
  <c r="B1215" i="6" a="1"/>
  <c r="B1215" i="6" s="1"/>
  <c r="B1216" i="6" a="1"/>
  <c r="B1216" i="6" s="1"/>
  <c r="B1217" i="6" a="1"/>
  <c r="B1217" i="6" s="1"/>
  <c r="B1218" i="6" a="1"/>
  <c r="B1218" i="6" s="1"/>
  <c r="B1219" i="6" a="1"/>
  <c r="B1219" i="6" s="1"/>
  <c r="B1220" i="6" a="1"/>
  <c r="B1220" i="6" s="1"/>
  <c r="B1221" i="6" a="1"/>
  <c r="B1221" i="6" s="1"/>
  <c r="B1222" i="6" a="1"/>
  <c r="B1222" i="6" s="1"/>
  <c r="B1223" i="6" a="1"/>
  <c r="B1223" i="6" s="1"/>
  <c r="B1224" i="6" a="1"/>
  <c r="B1224" i="6" s="1"/>
  <c r="B1225" i="6" a="1"/>
  <c r="B1225" i="6" s="1"/>
  <c r="B1226" i="6" a="1"/>
  <c r="B1226" i="6" s="1"/>
  <c r="B1227" i="6" a="1"/>
  <c r="B1227" i="6" s="1"/>
  <c r="B1228" i="6" a="1"/>
  <c r="B1228" i="6" s="1"/>
  <c r="B1229" i="6" a="1"/>
  <c r="B1229" i="6" s="1"/>
  <c r="B1230" i="6" a="1"/>
  <c r="B1230" i="6" s="1"/>
  <c r="B1231" i="6" a="1"/>
  <c r="B1231" i="6" s="1"/>
  <c r="B1232" i="6" a="1"/>
  <c r="B1232" i="6" s="1"/>
  <c r="B1233" i="6" a="1"/>
  <c r="B1233" i="6" s="1"/>
  <c r="B1234" i="6" a="1"/>
  <c r="B1234" i="6" s="1"/>
  <c r="B1235" i="6" a="1"/>
  <c r="B1235" i="6" s="1"/>
  <c r="B1236" i="6" a="1"/>
  <c r="B1236" i="6" s="1"/>
  <c r="B1237" i="6" a="1"/>
  <c r="B1237" i="6" s="1"/>
  <c r="B1238" i="6" a="1"/>
  <c r="B1238" i="6" s="1"/>
  <c r="B1239" i="6" a="1"/>
  <c r="B1239" i="6" s="1"/>
  <c r="B1240" i="6" a="1"/>
  <c r="B1240" i="6" s="1"/>
  <c r="B1241" i="6" a="1"/>
  <c r="B1241" i="6" s="1"/>
  <c r="B1242" i="6" a="1"/>
  <c r="B1242" i="6" s="1"/>
  <c r="B1243" i="6" a="1"/>
  <c r="B1243" i="6" s="1"/>
  <c r="B1244" i="6" a="1"/>
  <c r="B1244" i="6" s="1"/>
  <c r="B1245" i="6" a="1"/>
  <c r="B1245" i="6" s="1"/>
  <c r="B1246" i="6" a="1"/>
  <c r="B1246" i="6" s="1"/>
  <c r="B1247" i="6" a="1"/>
  <c r="B1247" i="6" s="1"/>
  <c r="B1248" i="6" a="1"/>
  <c r="B1248" i="6" s="1"/>
  <c r="B1249" i="6" a="1"/>
  <c r="B1249" i="6" s="1"/>
  <c r="B1250" i="6" a="1"/>
  <c r="B1250" i="6" s="1"/>
  <c r="B1251" i="6" a="1"/>
  <c r="B1251" i="6" s="1"/>
  <c r="B1252" i="6" a="1"/>
  <c r="B1252" i="6" s="1"/>
  <c r="B1253" i="6" a="1"/>
  <c r="B1253" i="6" s="1"/>
  <c r="B1254" i="6" a="1"/>
  <c r="B1254" i="6" s="1"/>
  <c r="B1255" i="6" a="1"/>
  <c r="B1255" i="6" s="1"/>
  <c r="B1256" i="6" a="1"/>
  <c r="B1256" i="6" s="1"/>
  <c r="B1257" i="6" a="1"/>
  <c r="B1257" i="6" s="1"/>
  <c r="B1258" i="6" a="1"/>
  <c r="B1258" i="6" s="1"/>
  <c r="B1259" i="6" a="1"/>
  <c r="B1259" i="6" s="1"/>
  <c r="B1260" i="6" a="1"/>
  <c r="B1260" i="6" s="1"/>
  <c r="B1261" i="6" a="1"/>
  <c r="B1261" i="6" s="1"/>
  <c r="B1262" i="6" a="1"/>
  <c r="B1262" i="6" s="1"/>
  <c r="B1263" i="6" a="1"/>
  <c r="B1263" i="6" s="1"/>
  <c r="B1264" i="6" a="1"/>
  <c r="B1264" i="6" s="1"/>
  <c r="B1265" i="6" a="1"/>
  <c r="B1265" i="6" s="1"/>
  <c r="B1266" i="6" a="1"/>
  <c r="B1266" i="6" s="1"/>
  <c r="B1267" i="6" a="1"/>
  <c r="B1267" i="6" s="1"/>
  <c r="B1268" i="6" a="1"/>
  <c r="B1268" i="6" s="1"/>
  <c r="B1269" i="6" a="1"/>
  <c r="B1269" i="6" s="1"/>
  <c r="B1270" i="6" a="1"/>
  <c r="B1270" i="6" s="1"/>
  <c r="B1271" i="6" a="1"/>
  <c r="B1271" i="6" s="1"/>
  <c r="B1272" i="6" a="1"/>
  <c r="B1272" i="6" s="1"/>
  <c r="B1273" i="6" a="1"/>
  <c r="B1273" i="6" s="1"/>
  <c r="B1274" i="6" a="1"/>
  <c r="B1274" i="6" s="1"/>
  <c r="B1275" i="6" a="1"/>
  <c r="B1275" i="6" s="1"/>
  <c r="B1276" i="6" a="1"/>
  <c r="B1276" i="6" s="1"/>
  <c r="B1277" i="6" a="1"/>
  <c r="B1277" i="6" s="1"/>
  <c r="B1278" i="6" a="1"/>
  <c r="B1278" i="6" s="1"/>
  <c r="B1279" i="6" a="1"/>
  <c r="B1279" i="6" s="1"/>
  <c r="B1280" i="6" a="1"/>
  <c r="B1280" i="6" s="1"/>
  <c r="B1281" i="6" a="1"/>
  <c r="B1281" i="6" s="1"/>
  <c r="B1282" i="6" a="1"/>
  <c r="B1282" i="6" s="1"/>
  <c r="B1283" i="6" a="1"/>
  <c r="B1283" i="6" s="1"/>
  <c r="B1284" i="6" a="1"/>
  <c r="B1284" i="6" s="1"/>
  <c r="B1285" i="6" a="1"/>
  <c r="B1285" i="6" s="1"/>
  <c r="B1286" i="6" a="1"/>
  <c r="B1286" i="6" s="1"/>
  <c r="B1287" i="6" a="1"/>
  <c r="B1287" i="6" s="1"/>
  <c r="B1288" i="6" a="1"/>
  <c r="B1288" i="6" s="1"/>
  <c r="B1289" i="6" a="1"/>
  <c r="B1289" i="6" s="1"/>
  <c r="B1290" i="6" a="1"/>
  <c r="B1290" i="6" s="1"/>
  <c r="B1291" i="6" a="1"/>
  <c r="B1291" i="6" s="1"/>
  <c r="B1292" i="6" a="1"/>
  <c r="B1292" i="6" s="1"/>
  <c r="B1293" i="6" a="1"/>
  <c r="B1293" i="6" s="1"/>
  <c r="B1294" i="6" a="1"/>
  <c r="B1294" i="6" s="1"/>
  <c r="B1295" i="6" a="1"/>
  <c r="B1295" i="6" s="1"/>
  <c r="B1296" i="6" a="1"/>
  <c r="B1296" i="6" s="1"/>
  <c r="B1297" i="6" a="1"/>
  <c r="B1297" i="6" s="1"/>
  <c r="B1298" i="6" a="1"/>
  <c r="B1298" i="6" s="1"/>
  <c r="B1299" i="6" a="1"/>
  <c r="B1299" i="6" s="1"/>
  <c r="B1300" i="6" a="1"/>
  <c r="B1300" i="6" s="1"/>
  <c r="B1301" i="6" a="1"/>
  <c r="B1301" i="6" s="1"/>
  <c r="B1302" i="6" a="1"/>
  <c r="B1302" i="6" s="1"/>
  <c r="B1303" i="6" a="1"/>
  <c r="B1303" i="6" s="1"/>
  <c r="B1304" i="6" a="1"/>
  <c r="B1304" i="6" s="1"/>
  <c r="B1305" i="6" a="1"/>
  <c r="B1305" i="6" s="1"/>
  <c r="B1306" i="6" a="1"/>
  <c r="B1306" i="6" s="1"/>
  <c r="B1307" i="6" a="1"/>
  <c r="B1307" i="6" s="1"/>
  <c r="B1308" i="6" a="1"/>
  <c r="B1308" i="6" s="1"/>
  <c r="B1309" i="6" a="1"/>
  <c r="B1309" i="6" s="1"/>
  <c r="B1310" i="6" a="1"/>
  <c r="B1310" i="6" s="1"/>
  <c r="B1311" i="6" a="1"/>
  <c r="B1311" i="6" s="1"/>
  <c r="B1312" i="6" a="1"/>
  <c r="B1312" i="6" s="1"/>
  <c r="B1313" i="6" a="1"/>
  <c r="B1313" i="6" s="1"/>
  <c r="B1314" i="6" a="1"/>
  <c r="B1314" i="6" s="1"/>
  <c r="B1315" i="6" a="1"/>
  <c r="B1315" i="6" s="1"/>
  <c r="B1316" i="6" a="1"/>
  <c r="B1316" i="6" s="1"/>
  <c r="B1317" i="6" a="1"/>
  <c r="B1317" i="6" s="1"/>
  <c r="B1318" i="6" a="1"/>
  <c r="B1318" i="6" s="1"/>
  <c r="B1319" i="6" a="1"/>
  <c r="B1319" i="6" s="1"/>
  <c r="B1320" i="6" a="1"/>
  <c r="B1320" i="6" s="1"/>
  <c r="B1321" i="6" a="1"/>
  <c r="B1321" i="6" s="1"/>
  <c r="B1322" i="6" a="1"/>
  <c r="B1322" i="6" s="1"/>
  <c r="B1323" i="6" a="1"/>
  <c r="B1323" i="6" s="1"/>
  <c r="B1324" i="6" a="1"/>
  <c r="B1324" i="6" s="1"/>
  <c r="B1325" i="6" a="1"/>
  <c r="B1325" i="6" s="1"/>
  <c r="B1326" i="6" a="1"/>
  <c r="B1326" i="6" s="1"/>
  <c r="B1327" i="6" a="1"/>
  <c r="B1327" i="6" s="1"/>
  <c r="B1328" i="6" a="1"/>
  <c r="B1328" i="6" s="1"/>
  <c r="B1329" i="6" a="1"/>
  <c r="B1329" i="6" s="1"/>
  <c r="B1330" i="6" a="1"/>
  <c r="B1330" i="6" s="1"/>
  <c r="B1331" i="6" a="1"/>
  <c r="B1331" i="6" s="1"/>
  <c r="B1332" i="6" a="1"/>
  <c r="B1332" i="6" s="1"/>
  <c r="B1333" i="6" a="1"/>
  <c r="B1333" i="6" s="1"/>
  <c r="B1334" i="6" a="1"/>
  <c r="B1334" i="6" s="1"/>
  <c r="B1335" i="6" a="1"/>
  <c r="B1335" i="6" s="1"/>
  <c r="B1336" i="6" a="1"/>
  <c r="B1336" i="6" s="1"/>
  <c r="B1337" i="6" a="1"/>
  <c r="B1337" i="6" s="1"/>
  <c r="B1338" i="6" a="1"/>
  <c r="B1338" i="6" s="1"/>
  <c r="B1339" i="6" a="1"/>
  <c r="B1339" i="6" s="1"/>
  <c r="B1340" i="6" a="1"/>
  <c r="B1340" i="6" s="1"/>
  <c r="B1341" i="6" a="1"/>
  <c r="B1341" i="6" s="1"/>
  <c r="B1342" i="6" a="1"/>
  <c r="B1342" i="6" s="1"/>
  <c r="B1343" i="6" a="1"/>
  <c r="B1343" i="6" s="1"/>
  <c r="B1344" i="6" a="1"/>
  <c r="B1344" i="6" s="1"/>
  <c r="B1345" i="6" a="1"/>
  <c r="B1345" i="6" s="1"/>
  <c r="B1346" i="6" a="1"/>
  <c r="B1346" i="6" s="1"/>
  <c r="B1347" i="6" a="1"/>
  <c r="B1347" i="6" s="1"/>
  <c r="B1348" i="6" a="1"/>
  <c r="B1348" i="6" s="1"/>
  <c r="B1349" i="6" a="1"/>
  <c r="B1349" i="6" s="1"/>
  <c r="B1350" i="6" a="1"/>
  <c r="B1350" i="6" s="1"/>
  <c r="B1351" i="6" a="1"/>
  <c r="B1351" i="6" s="1"/>
  <c r="B1352" i="6" a="1"/>
  <c r="B1352" i="6" s="1"/>
  <c r="B1353" i="6" a="1"/>
  <c r="B1353" i="6" s="1"/>
  <c r="B1354" i="6" a="1"/>
  <c r="B1354" i="6" s="1"/>
  <c r="B1355" i="6" a="1"/>
  <c r="B1355" i="6" s="1"/>
  <c r="B1356" i="6" a="1"/>
  <c r="B1356" i="6" s="1"/>
  <c r="B1357" i="6" a="1"/>
  <c r="B1357" i="6" s="1"/>
  <c r="B1358" i="6" a="1"/>
  <c r="B1358" i="6" s="1"/>
  <c r="B1359" i="6" a="1"/>
  <c r="B1359" i="6" s="1"/>
  <c r="B1360" i="6" a="1"/>
  <c r="B1360" i="6" s="1"/>
  <c r="B1361" i="6" a="1"/>
  <c r="B1361" i="6" s="1"/>
  <c r="B1362" i="6" a="1"/>
  <c r="B1362" i="6" s="1"/>
  <c r="B1363" i="6" a="1"/>
  <c r="B1363" i="6" s="1"/>
  <c r="B1364" i="6" a="1"/>
  <c r="B1364" i="6" s="1"/>
  <c r="B1365" i="6" a="1"/>
  <c r="B1365" i="6"/>
  <c r="B1366" i="6" a="1"/>
  <c r="B1366" i="6" s="1"/>
  <c r="B1367" i="6" a="1"/>
  <c r="B1367" i="6" s="1"/>
  <c r="B1368" i="6" a="1"/>
  <c r="B1368" i="6" s="1"/>
  <c r="B1369" i="6" a="1"/>
  <c r="B1369" i="6" s="1"/>
  <c r="B1370" i="6" a="1"/>
  <c r="B1370" i="6" s="1"/>
  <c r="B1371" i="6" a="1"/>
  <c r="B1371" i="6" s="1"/>
  <c r="B1372" i="6" a="1"/>
  <c r="B1372" i="6" s="1"/>
  <c r="B1373" i="6" a="1"/>
  <c r="B1373" i="6" s="1"/>
  <c r="B1374" i="6" a="1"/>
  <c r="B1374" i="6" s="1"/>
  <c r="B1375" i="6" a="1"/>
  <c r="B1375" i="6" s="1"/>
  <c r="B1376" i="6" a="1"/>
  <c r="B1376" i="6" s="1"/>
  <c r="B1377" i="6" a="1"/>
  <c r="B1377" i="6" s="1"/>
  <c r="B1378" i="6" a="1"/>
  <c r="B1378" i="6" s="1"/>
  <c r="B1379" i="6" a="1"/>
  <c r="B1379" i="6" s="1"/>
  <c r="B1380" i="6" a="1"/>
  <c r="B1380" i="6" s="1"/>
  <c r="B1381" i="6" a="1"/>
  <c r="B1381" i="6" s="1"/>
  <c r="B1382" i="6" a="1"/>
  <c r="B1382" i="6" s="1"/>
  <c r="B1383" i="6" a="1"/>
  <c r="B1383" i="6" s="1"/>
  <c r="B1384" i="6" a="1"/>
  <c r="B1384" i="6" s="1"/>
  <c r="B1385" i="6" a="1"/>
  <c r="B1385" i="6" s="1"/>
  <c r="B1386" i="6" a="1"/>
  <c r="B1386" i="6" s="1"/>
  <c r="B1387" i="6" a="1"/>
  <c r="B1387" i="6" s="1"/>
  <c r="B1388" i="6" a="1"/>
  <c r="B1388" i="6" s="1"/>
  <c r="B1389" i="6" a="1"/>
  <c r="B1389" i="6" s="1"/>
  <c r="B1390" i="6" a="1"/>
  <c r="B1390" i="6" s="1"/>
  <c r="B1391" i="6" a="1"/>
  <c r="B1391" i="6" s="1"/>
  <c r="B1392" i="6" a="1"/>
  <c r="B1392" i="6" s="1"/>
  <c r="B1393" i="6" a="1"/>
  <c r="B1393" i="6" s="1"/>
  <c r="B1394" i="6" a="1"/>
  <c r="B1394" i="6" s="1"/>
  <c r="B1395" i="6" a="1"/>
  <c r="B1395" i="6" s="1"/>
  <c r="B1396" i="6" a="1"/>
  <c r="B1396" i="6" s="1"/>
  <c r="B1397" i="6" a="1"/>
  <c r="B1397" i="6" s="1"/>
  <c r="B1398" i="6" a="1"/>
  <c r="B1398" i="6" s="1"/>
  <c r="B1399" i="6" a="1"/>
  <c r="B1399" i="6" s="1"/>
  <c r="B1400" i="6" a="1"/>
  <c r="B1400" i="6" s="1"/>
  <c r="B1401" i="6" a="1"/>
  <c r="B1401" i="6" s="1"/>
  <c r="B1402" i="6" a="1"/>
  <c r="B1402" i="6" s="1"/>
  <c r="B1403" i="6" a="1"/>
  <c r="B1403" i="6" s="1"/>
  <c r="B1404" i="6" a="1"/>
  <c r="B1404" i="6" s="1"/>
  <c r="B1405" i="6" a="1"/>
  <c r="B1405" i="6" s="1"/>
  <c r="B1406" i="6" a="1"/>
  <c r="B1406" i="6" s="1"/>
  <c r="B1407" i="6" a="1"/>
  <c r="B1407" i="6" s="1"/>
  <c r="B1408" i="6" a="1"/>
  <c r="B1408" i="6" s="1"/>
  <c r="B1409" i="6" a="1"/>
  <c r="B1409" i="6" s="1"/>
  <c r="B1410" i="6" a="1"/>
  <c r="B1410" i="6" s="1"/>
  <c r="B1411" i="6" a="1"/>
  <c r="B1411" i="6" s="1"/>
  <c r="B1412" i="6" a="1"/>
  <c r="B1412" i="6" s="1"/>
  <c r="B1413" i="6" a="1"/>
  <c r="B1413" i="6" s="1"/>
  <c r="B1414" i="6" a="1"/>
  <c r="B1414" i="6" s="1"/>
  <c r="B1415" i="6" a="1"/>
  <c r="B1415" i="6" s="1"/>
  <c r="B1416" i="6" a="1"/>
  <c r="B1416" i="6" s="1"/>
  <c r="B1417" i="6" a="1"/>
  <c r="B1417" i="6" s="1"/>
  <c r="B1418" i="6" a="1"/>
  <c r="B1418" i="6" s="1"/>
  <c r="B1419" i="6" a="1"/>
  <c r="B1419" i="6" s="1"/>
  <c r="B1420" i="6" a="1"/>
  <c r="B1420" i="6" s="1"/>
  <c r="B1421" i="6" a="1"/>
  <c r="B1421" i="6" s="1"/>
  <c r="B1422" i="6" a="1"/>
  <c r="B1422" i="6" s="1"/>
  <c r="B1423" i="6" a="1"/>
  <c r="B1423" i="6" s="1"/>
  <c r="B1424" i="6" a="1"/>
  <c r="B1424" i="6" s="1"/>
  <c r="B1425" i="6" a="1"/>
  <c r="B1425" i="6" s="1"/>
  <c r="B1426" i="6" a="1"/>
  <c r="B1426" i="6" s="1"/>
  <c r="B1427" i="6" a="1"/>
  <c r="B1427" i="6" s="1"/>
  <c r="B1428" i="6" a="1"/>
  <c r="B1428" i="6" s="1"/>
  <c r="B1429" i="6" a="1"/>
  <c r="B1429" i="6" s="1"/>
  <c r="B1430" i="6" a="1"/>
  <c r="B1430" i="6" s="1"/>
  <c r="B1431" i="6" a="1"/>
  <c r="B1431" i="6" s="1"/>
  <c r="B1432" i="6" a="1"/>
  <c r="B1432" i="6" s="1"/>
  <c r="B1433" i="6" a="1"/>
  <c r="B1433" i="6" s="1"/>
  <c r="B1434" i="6" a="1"/>
  <c r="B1434" i="6" s="1"/>
  <c r="B1435" i="6" a="1"/>
  <c r="B1435" i="6" s="1"/>
  <c r="B1436" i="6" a="1"/>
  <c r="B1436" i="6" s="1"/>
  <c r="B1437" i="6" a="1"/>
  <c r="B1437" i="6" s="1"/>
  <c r="B1438" i="6" a="1"/>
  <c r="B1438" i="6" s="1"/>
  <c r="B1439" i="6" a="1"/>
  <c r="B1439" i="6" s="1"/>
  <c r="B1440" i="6" a="1"/>
  <c r="B1440" i="6" s="1"/>
  <c r="B1441" i="6" a="1"/>
  <c r="B1441" i="6" s="1"/>
  <c r="B1442" i="6" a="1"/>
  <c r="B1442" i="6" s="1"/>
  <c r="B1443" i="6" a="1"/>
  <c r="B1443" i="6" s="1"/>
  <c r="B1444" i="6" a="1"/>
  <c r="B1444" i="6" s="1"/>
  <c r="B1445" i="6" a="1"/>
  <c r="B1445" i="6" s="1"/>
  <c r="B1446" i="6" a="1"/>
  <c r="B1446" i="6" s="1"/>
  <c r="B1447" i="6" a="1"/>
  <c r="B1447" i="6" s="1"/>
  <c r="B1448" i="6" a="1"/>
  <c r="B1448" i="6" s="1"/>
  <c r="B1449" i="6" a="1"/>
  <c r="B1449" i="6" s="1"/>
  <c r="B1450" i="6" a="1"/>
  <c r="B1450" i="6" s="1"/>
  <c r="B1451" i="6" a="1"/>
  <c r="B1451" i="6" s="1"/>
  <c r="B1452" i="6" a="1"/>
  <c r="B1452" i="6" s="1"/>
  <c r="B1453" i="6" a="1"/>
  <c r="B1453" i="6" s="1"/>
  <c r="B1454" i="6" a="1"/>
  <c r="B1454" i="6" s="1"/>
  <c r="B1455" i="6" a="1"/>
  <c r="B1455" i="6" s="1"/>
  <c r="B1456" i="6" a="1"/>
  <c r="B1456" i="6" s="1"/>
  <c r="B1457" i="6" a="1"/>
  <c r="B1457" i="6" s="1"/>
  <c r="B1458" i="6" a="1"/>
  <c r="B1458" i="6" s="1"/>
  <c r="B1459" i="6" a="1"/>
  <c r="B1459" i="6" s="1"/>
  <c r="B1460" i="6" a="1"/>
  <c r="B1460" i="6" s="1"/>
  <c r="B1461" i="6" a="1"/>
  <c r="B1461" i="6" s="1"/>
  <c r="B1462" i="6" a="1"/>
  <c r="B1462" i="6" s="1"/>
  <c r="B1463" i="6" a="1"/>
  <c r="B1463" i="6" s="1"/>
  <c r="B1464" i="6" a="1"/>
  <c r="B1464" i="6" s="1"/>
  <c r="B1465" i="6" a="1"/>
  <c r="B1465" i="6" s="1"/>
  <c r="B1466" i="6" a="1"/>
  <c r="B1466" i="6" s="1"/>
  <c r="B1467" i="6" a="1"/>
  <c r="B1467" i="6" s="1"/>
  <c r="B1468" i="6" a="1"/>
  <c r="B1468" i="6" s="1"/>
  <c r="B1469" i="6" a="1"/>
  <c r="B1469" i="6" s="1"/>
  <c r="B1470" i="6" a="1"/>
  <c r="B1470" i="6" s="1"/>
  <c r="B1471" i="6" a="1"/>
  <c r="B1471" i="6" s="1"/>
  <c r="B2" i="6" a="1"/>
  <c r="B2" i="6" s="1"/>
  <c r="H3" i="3"/>
  <c r="H5" i="3" a="1"/>
  <c r="H5" i="3" s="1"/>
  <c r="H6" i="3" a="1"/>
  <c r="H6" i="3" s="1"/>
  <c r="H7" i="3" a="1"/>
  <c r="H7" i="3" s="1"/>
  <c r="H8" i="3" a="1"/>
  <c r="H8" i="3" s="1"/>
  <c r="H9" i="3" a="1"/>
  <c r="H9" i="3"/>
  <c r="H10" i="3" a="1"/>
  <c r="H10" i="3" s="1"/>
  <c r="H11" i="3" a="1"/>
  <c r="H11" i="3" s="1"/>
  <c r="H12" i="3" a="1"/>
  <c r="H12" i="3" s="1"/>
  <c r="H13" i="3" a="1"/>
  <c r="H13" i="3" s="1"/>
  <c r="H14" i="3" a="1"/>
  <c r="H14" i="3" s="1"/>
  <c r="H15" i="3" a="1"/>
  <c r="H15" i="3" s="1"/>
  <c r="H16" i="3" a="1"/>
  <c r="H16" i="3" s="1"/>
  <c r="H17" i="3" a="1"/>
  <c r="H17" i="3" s="1"/>
  <c r="H18" i="3" a="1"/>
  <c r="H18" i="3" s="1"/>
  <c r="H19" i="3" a="1"/>
  <c r="H19" i="3" s="1"/>
  <c r="H20" i="3" a="1"/>
  <c r="H20" i="3" s="1"/>
  <c r="H21" i="3" a="1"/>
  <c r="H21" i="3" s="1"/>
  <c r="H22" i="3" a="1"/>
  <c r="H22" i="3" s="1"/>
  <c r="H23" i="3" a="1"/>
  <c r="H23" i="3" s="1"/>
  <c r="H24" i="3" a="1"/>
  <c r="H24" i="3"/>
  <c r="H25" i="3" a="1"/>
  <c r="H25" i="3" s="1"/>
  <c r="H26" i="3" a="1"/>
  <c r="H26" i="3" s="1"/>
  <c r="H27" i="3" a="1"/>
  <c r="H27" i="3" s="1"/>
  <c r="H28" i="3" a="1"/>
  <c r="H28" i="3" s="1"/>
  <c r="H29" i="3" a="1"/>
  <c r="H29" i="3" s="1"/>
  <c r="H30" i="3" a="1"/>
  <c r="H30" i="3" s="1"/>
  <c r="H31" i="3" a="1"/>
  <c r="H31" i="3" s="1"/>
  <c r="H32" i="3" a="1"/>
  <c r="H32" i="3" s="1"/>
  <c r="H33" i="3" a="1"/>
  <c r="H33" i="3" s="1"/>
  <c r="H34" i="3" a="1"/>
  <c r="H34" i="3" s="1"/>
  <c r="H35" i="3" a="1"/>
  <c r="H35" i="3" s="1"/>
  <c r="H36" i="3" a="1"/>
  <c r="H36" i="3" s="1"/>
  <c r="H37" i="3" a="1"/>
  <c r="H37" i="3" s="1"/>
  <c r="H38" i="3" a="1"/>
  <c r="H38" i="3" s="1"/>
  <c r="H39" i="3" a="1"/>
  <c r="H39" i="3" s="1"/>
  <c r="H40" i="3" a="1"/>
  <c r="H40" i="3" s="1"/>
  <c r="H41" i="3" a="1"/>
  <c r="H41" i="3" s="1"/>
  <c r="H42" i="3" a="1"/>
  <c r="H42" i="3" s="1"/>
  <c r="H43" i="3" a="1"/>
  <c r="H43" i="3" s="1"/>
  <c r="H44" i="3" a="1"/>
  <c r="H44" i="3" s="1"/>
  <c r="H45" i="3" a="1"/>
  <c r="H45" i="3" s="1"/>
  <c r="H46" i="3" a="1"/>
  <c r="H46" i="3" s="1"/>
  <c r="H47" i="3" a="1"/>
  <c r="H47" i="3" s="1"/>
  <c r="H48" i="3" a="1"/>
  <c r="H48" i="3" s="1"/>
  <c r="H49" i="3" a="1"/>
  <c r="H49" i="3" s="1"/>
  <c r="H50" i="3" a="1"/>
  <c r="H50" i="3" s="1"/>
  <c r="H51" i="3" a="1"/>
  <c r="H51" i="3" s="1"/>
  <c r="H52" i="3" a="1"/>
  <c r="H52" i="3" s="1"/>
  <c r="H53" i="3" a="1"/>
  <c r="H53" i="3" s="1"/>
  <c r="H54" i="3" a="1"/>
  <c r="H54" i="3" s="1"/>
  <c r="H55" i="3" a="1"/>
  <c r="H55" i="3" s="1"/>
  <c r="H56" i="3" a="1"/>
  <c r="H56" i="3" s="1"/>
  <c r="H57" i="3" a="1"/>
  <c r="H57" i="3" s="1"/>
  <c r="H58" i="3" a="1"/>
  <c r="H58" i="3" s="1"/>
  <c r="H59" i="3" a="1"/>
  <c r="H59" i="3" s="1"/>
  <c r="H60" i="3" a="1"/>
  <c r="H60" i="3" s="1"/>
  <c r="H61" i="3" a="1"/>
  <c r="H61" i="3" s="1"/>
  <c r="H62" i="3" a="1"/>
  <c r="H62" i="3" s="1"/>
  <c r="H63" i="3" a="1"/>
  <c r="H63" i="3" s="1"/>
  <c r="H64" i="3" a="1"/>
  <c r="H64" i="3" s="1"/>
  <c r="H65" i="3" a="1"/>
  <c r="H65" i="3" s="1"/>
  <c r="H66" i="3" a="1"/>
  <c r="H66" i="3" s="1"/>
  <c r="H67" i="3" a="1"/>
  <c r="H67" i="3" s="1"/>
  <c r="H68" i="3" a="1"/>
  <c r="H68" i="3" s="1"/>
  <c r="H69" i="3" a="1"/>
  <c r="H69" i="3" s="1"/>
  <c r="H70" i="3" a="1"/>
  <c r="H70" i="3" s="1"/>
  <c r="H71" i="3" a="1"/>
  <c r="H71" i="3" s="1"/>
  <c r="H72" i="3" a="1"/>
  <c r="H72" i="3" s="1"/>
  <c r="H73" i="3" a="1"/>
  <c r="H73" i="3" s="1"/>
  <c r="H74" i="3" a="1"/>
  <c r="H74" i="3" s="1"/>
  <c r="H75" i="3" a="1"/>
  <c r="H75" i="3" s="1"/>
  <c r="H76" i="3" a="1"/>
  <c r="H76" i="3" s="1"/>
  <c r="H77" i="3" a="1"/>
  <c r="H77" i="3" s="1"/>
  <c r="H78" i="3" a="1"/>
  <c r="H78" i="3" s="1"/>
  <c r="H79" i="3" a="1"/>
  <c r="H79" i="3" s="1"/>
  <c r="H80" i="3" a="1"/>
  <c r="H80" i="3" s="1"/>
  <c r="H81" i="3" a="1"/>
  <c r="H81" i="3" s="1"/>
  <c r="H82" i="3" a="1"/>
  <c r="H82" i="3" s="1"/>
  <c r="H83" i="3" a="1"/>
  <c r="H83" i="3" s="1"/>
  <c r="H84" i="3" a="1"/>
  <c r="H84" i="3" s="1"/>
  <c r="H85" i="3" a="1"/>
  <c r="H85" i="3" s="1"/>
  <c r="H86" i="3" a="1"/>
  <c r="H86" i="3" s="1"/>
  <c r="H87" i="3" a="1"/>
  <c r="H87" i="3" s="1"/>
  <c r="H88" i="3" a="1"/>
  <c r="H88" i="3" s="1"/>
  <c r="H89" i="3" a="1"/>
  <c r="H89" i="3" s="1"/>
  <c r="H90" i="3" a="1"/>
  <c r="H90" i="3" s="1"/>
  <c r="H91" i="3" a="1"/>
  <c r="H91" i="3" s="1"/>
  <c r="H92" i="3" a="1"/>
  <c r="H92" i="3" s="1"/>
  <c r="H93" i="3" a="1"/>
  <c r="H93" i="3" s="1"/>
  <c r="H94" i="3" a="1"/>
  <c r="H94" i="3" s="1"/>
  <c r="H95" i="3" a="1"/>
  <c r="H95" i="3" s="1"/>
  <c r="H96" i="3" a="1"/>
  <c r="H96" i="3" s="1"/>
  <c r="H97" i="3" a="1"/>
  <c r="H97" i="3" s="1"/>
  <c r="H98" i="3" a="1"/>
  <c r="H98" i="3" s="1"/>
  <c r="H99" i="3" a="1"/>
  <c r="H99" i="3" s="1"/>
  <c r="H100" i="3" a="1"/>
  <c r="H100" i="3" s="1"/>
  <c r="H101" i="3" a="1"/>
  <c r="H101" i="3" s="1"/>
  <c r="H102" i="3" a="1"/>
  <c r="H102" i="3" s="1"/>
  <c r="H103" i="3" a="1"/>
  <c r="H103" i="3" s="1"/>
  <c r="H104" i="3" a="1"/>
  <c r="H104" i="3"/>
  <c r="H105" i="3" a="1"/>
  <c r="H105" i="3" s="1"/>
  <c r="H106" i="3" a="1"/>
  <c r="H106" i="3" s="1"/>
  <c r="H107" i="3" a="1"/>
  <c r="H107" i="3" s="1"/>
  <c r="H108" i="3" a="1"/>
  <c r="H108" i="3" s="1"/>
  <c r="H109" i="3" a="1"/>
  <c r="H109" i="3" s="1"/>
  <c r="H110" i="3" a="1"/>
  <c r="H110" i="3" s="1"/>
  <c r="H111" i="3" a="1"/>
  <c r="H111" i="3" s="1"/>
  <c r="H112" i="3" a="1"/>
  <c r="H112" i="3" s="1"/>
  <c r="H113" i="3" a="1"/>
  <c r="H113" i="3" s="1"/>
  <c r="H114" i="3" a="1"/>
  <c r="H114" i="3" s="1"/>
  <c r="H115" i="3" a="1"/>
  <c r="H115" i="3" s="1"/>
  <c r="H116" i="3" a="1"/>
  <c r="H116" i="3" s="1"/>
  <c r="H117" i="3" a="1"/>
  <c r="H117" i="3" s="1"/>
  <c r="H118" i="3" a="1"/>
  <c r="H118" i="3" s="1"/>
  <c r="H119" i="3" a="1"/>
  <c r="H119" i="3" s="1"/>
  <c r="H120" i="3" a="1"/>
  <c r="H120" i="3" s="1"/>
  <c r="H121" i="3" a="1"/>
  <c r="H121" i="3" s="1"/>
  <c r="H122" i="3" a="1"/>
  <c r="H122" i="3" s="1"/>
  <c r="H123" i="3" a="1"/>
  <c r="H123" i="3" s="1"/>
  <c r="H124" i="3" a="1"/>
  <c r="H124" i="3" s="1"/>
  <c r="H125" i="3" a="1"/>
  <c r="H125" i="3" s="1"/>
  <c r="H126" i="3" a="1"/>
  <c r="H126" i="3" s="1"/>
  <c r="H127" i="3" a="1"/>
  <c r="H127" i="3" s="1"/>
  <c r="H128" i="3" a="1"/>
  <c r="H128" i="3" s="1"/>
  <c r="H129" i="3" a="1"/>
  <c r="H129" i="3" s="1"/>
  <c r="H130" i="3" a="1"/>
  <c r="H130" i="3" s="1"/>
  <c r="H131" i="3" a="1"/>
  <c r="H131" i="3" s="1"/>
  <c r="H132" i="3" a="1"/>
  <c r="H132" i="3" s="1"/>
  <c r="H133" i="3" a="1"/>
  <c r="H133" i="3" s="1"/>
  <c r="H134" i="3" a="1"/>
  <c r="H134" i="3" s="1"/>
  <c r="H135" i="3" a="1"/>
  <c r="H135" i="3" s="1"/>
  <c r="H136" i="3" a="1"/>
  <c r="H136" i="3" s="1"/>
  <c r="H137" i="3" a="1"/>
  <c r="H137" i="3" s="1"/>
  <c r="H138" i="3" a="1"/>
  <c r="H138" i="3" s="1"/>
  <c r="H139" i="3" a="1"/>
  <c r="H139" i="3" s="1"/>
  <c r="H140" i="3" a="1"/>
  <c r="H140" i="3" s="1"/>
  <c r="H141" i="3" a="1"/>
  <c r="H141" i="3" s="1"/>
  <c r="H142" i="3" a="1"/>
  <c r="H142" i="3" s="1"/>
  <c r="H143" i="3" a="1"/>
  <c r="H143" i="3" s="1"/>
  <c r="H144" i="3" a="1"/>
  <c r="H144" i="3" s="1"/>
  <c r="H145" i="3" a="1"/>
  <c r="H145" i="3" s="1"/>
  <c r="H146" i="3" a="1"/>
  <c r="H146" i="3" s="1"/>
  <c r="H147" i="3" a="1"/>
  <c r="H147" i="3" s="1"/>
  <c r="H148" i="3" a="1"/>
  <c r="H148" i="3"/>
  <c r="H149" i="3" a="1"/>
  <c r="H149" i="3" s="1"/>
  <c r="H150" i="3" a="1"/>
  <c r="H150" i="3" s="1"/>
  <c r="H151" i="3" a="1"/>
  <c r="H151" i="3" s="1"/>
  <c r="H152" i="3" a="1"/>
  <c r="H152" i="3" s="1"/>
  <c r="H153" i="3" a="1"/>
  <c r="H153" i="3" s="1"/>
  <c r="H154" i="3" a="1"/>
  <c r="H154" i="3" s="1"/>
  <c r="H155" i="3" a="1"/>
  <c r="H155" i="3" s="1"/>
  <c r="H156" i="3" a="1"/>
  <c r="H156" i="3"/>
  <c r="H157" i="3" a="1"/>
  <c r="H157" i="3" s="1"/>
  <c r="H158" i="3" a="1"/>
  <c r="H158" i="3" s="1"/>
  <c r="H159" i="3" a="1"/>
  <c r="H159" i="3" s="1"/>
  <c r="H160" i="3" a="1"/>
  <c r="H160" i="3" s="1"/>
  <c r="H161" i="3" a="1"/>
  <c r="H161" i="3" s="1"/>
  <c r="H162" i="3" a="1"/>
  <c r="H162" i="3" s="1"/>
  <c r="H163" i="3" a="1"/>
  <c r="H163" i="3" s="1"/>
  <c r="H164" i="3" a="1"/>
  <c r="H164" i="3" s="1"/>
  <c r="H165" i="3" a="1"/>
  <c r="H165" i="3"/>
  <c r="H166" i="3" a="1"/>
  <c r="H166" i="3" s="1"/>
  <c r="H167" i="3" a="1"/>
  <c r="H167" i="3" s="1"/>
  <c r="H168" i="3" a="1"/>
  <c r="H168" i="3" s="1"/>
  <c r="H169" i="3" a="1"/>
  <c r="H169" i="3" s="1"/>
  <c r="H170" i="3" a="1"/>
  <c r="H170" i="3" s="1"/>
  <c r="H171" i="3" a="1"/>
  <c r="H171" i="3" s="1"/>
  <c r="H172" i="3" a="1"/>
  <c r="H172" i="3" s="1"/>
  <c r="H173" i="3" a="1"/>
  <c r="H173" i="3" s="1"/>
  <c r="H174" i="3" a="1"/>
  <c r="H174" i="3" s="1"/>
  <c r="H175" i="3" a="1"/>
  <c r="H175" i="3" s="1"/>
  <c r="H176" i="3" a="1"/>
  <c r="H176" i="3" s="1"/>
  <c r="H177" i="3" a="1"/>
  <c r="H177" i="3" s="1"/>
  <c r="H178" i="3" a="1"/>
  <c r="H178" i="3" s="1"/>
  <c r="H179" i="3" a="1"/>
  <c r="H179" i="3" s="1"/>
  <c r="H180" i="3" a="1"/>
  <c r="H180" i="3" s="1"/>
  <c r="H181" i="3" a="1"/>
  <c r="H181" i="3" s="1"/>
  <c r="H182" i="3" a="1"/>
  <c r="H182" i="3" s="1"/>
  <c r="H183" i="3" a="1"/>
  <c r="H183" i="3" s="1"/>
  <c r="H184" i="3" a="1"/>
  <c r="H184" i="3" s="1"/>
  <c r="H185" i="3" a="1"/>
  <c r="H185" i="3" s="1"/>
  <c r="H186" i="3" a="1"/>
  <c r="H186" i="3" s="1"/>
  <c r="H187" i="3" a="1"/>
  <c r="H187" i="3" s="1"/>
  <c r="H188" i="3" a="1"/>
  <c r="H188" i="3" s="1"/>
  <c r="H189" i="3" a="1"/>
  <c r="H189" i="3"/>
  <c r="H190" i="3" a="1"/>
  <c r="H190" i="3" s="1"/>
  <c r="H191" i="3" a="1"/>
  <c r="H191" i="3" s="1"/>
  <c r="H192" i="3" a="1"/>
  <c r="H192" i="3" s="1"/>
  <c r="H193" i="3" a="1"/>
  <c r="H193" i="3" s="1"/>
  <c r="H194" i="3" a="1"/>
  <c r="H194" i="3" s="1"/>
  <c r="H195" i="3" a="1"/>
  <c r="H195" i="3" s="1"/>
  <c r="H196" i="3" a="1"/>
  <c r="H196" i="3" s="1"/>
  <c r="H197" i="3" a="1"/>
  <c r="H197" i="3" s="1"/>
  <c r="H198" i="3" a="1"/>
  <c r="H198" i="3" s="1"/>
  <c r="H199" i="3" a="1"/>
  <c r="H199" i="3" s="1"/>
  <c r="H200" i="3" a="1"/>
  <c r="H200" i="3" s="1"/>
  <c r="H201" i="3" a="1"/>
  <c r="H201" i="3" s="1"/>
  <c r="H202" i="3" a="1"/>
  <c r="H202" i="3" s="1"/>
  <c r="H203" i="3" a="1"/>
  <c r="H203" i="3" s="1"/>
  <c r="H204" i="3" a="1"/>
  <c r="H204" i="3" s="1"/>
  <c r="H205" i="3" a="1"/>
  <c r="H205" i="3" s="1"/>
  <c r="H206" i="3" a="1"/>
  <c r="H206" i="3" s="1"/>
  <c r="H207" i="3" a="1"/>
  <c r="H207" i="3" s="1"/>
  <c r="H208" i="3" a="1"/>
  <c r="H208" i="3" s="1"/>
  <c r="H209" i="3" a="1"/>
  <c r="H209" i="3" s="1"/>
  <c r="H210" i="3" a="1"/>
  <c r="H210" i="3" s="1"/>
  <c r="H211" i="3" a="1"/>
  <c r="H211" i="3" s="1"/>
  <c r="H212" i="3" a="1"/>
  <c r="H212" i="3"/>
  <c r="H213" i="3" a="1"/>
  <c r="H213" i="3" s="1"/>
  <c r="H214" i="3" a="1"/>
  <c r="H214" i="3" s="1"/>
  <c r="H215" i="3" a="1"/>
  <c r="H215" i="3" s="1"/>
  <c r="H216" i="3" a="1"/>
  <c r="H216" i="3" s="1"/>
  <c r="H217" i="3" a="1"/>
  <c r="H217" i="3" s="1"/>
  <c r="H218" i="3" a="1"/>
  <c r="H218" i="3" s="1"/>
  <c r="H219" i="3" a="1"/>
  <c r="H219" i="3" s="1"/>
  <c r="H220" i="3" a="1"/>
  <c r="H220" i="3" s="1"/>
  <c r="H221" i="3" a="1"/>
  <c r="H221" i="3" s="1"/>
  <c r="H222" i="3" a="1"/>
  <c r="H222" i="3" s="1"/>
  <c r="H223" i="3" a="1"/>
  <c r="H223" i="3"/>
  <c r="H224" i="3" a="1"/>
  <c r="H224" i="3" s="1"/>
  <c r="H225" i="3" a="1"/>
  <c r="H225" i="3" s="1"/>
  <c r="H226" i="3" a="1"/>
  <c r="H226" i="3" s="1"/>
  <c r="H227" i="3" a="1"/>
  <c r="H227" i="3" s="1"/>
  <c r="H228" i="3" a="1"/>
  <c r="H228" i="3" s="1"/>
  <c r="H229" i="3" a="1"/>
  <c r="H229" i="3" s="1"/>
  <c r="H230" i="3" a="1"/>
  <c r="H230" i="3" s="1"/>
  <c r="H231" i="3" a="1"/>
  <c r="H231" i="3" s="1"/>
  <c r="H232" i="3" a="1"/>
  <c r="H232" i="3" s="1"/>
  <c r="H233" i="3" a="1"/>
  <c r="H233" i="3" s="1"/>
  <c r="H234" i="3" a="1"/>
  <c r="H234" i="3" s="1"/>
  <c r="H235" i="3" a="1"/>
  <c r="H235" i="3" s="1"/>
  <c r="H236" i="3" a="1"/>
  <c r="H236" i="3" s="1"/>
  <c r="H237" i="3" a="1"/>
  <c r="H237" i="3" s="1"/>
  <c r="H238" i="3" a="1"/>
  <c r="H238" i="3" s="1"/>
  <c r="H239" i="3" a="1"/>
  <c r="H239" i="3" s="1"/>
  <c r="H240" i="3" a="1"/>
  <c r="H240" i="3" s="1"/>
  <c r="H241" i="3" a="1"/>
  <c r="H241" i="3"/>
  <c r="H242" i="3" a="1"/>
  <c r="H242" i="3" s="1"/>
  <c r="H243" i="3" a="1"/>
  <c r="H243" i="3" s="1"/>
  <c r="H244" i="3" a="1"/>
  <c r="H244" i="3" s="1"/>
  <c r="H245" i="3" a="1"/>
  <c r="H245" i="3" s="1"/>
  <c r="H246" i="3" a="1"/>
  <c r="H246" i="3" s="1"/>
  <c r="H247" i="3" a="1"/>
  <c r="H247" i="3" s="1"/>
  <c r="H248" i="3" a="1"/>
  <c r="H248" i="3" s="1"/>
  <c r="H249" i="3" a="1"/>
  <c r="H249" i="3" s="1"/>
  <c r="H250" i="3" a="1"/>
  <c r="H250" i="3" s="1"/>
  <c r="H251" i="3" a="1"/>
  <c r="H251" i="3" s="1"/>
  <c r="H252" i="3" a="1"/>
  <c r="H252" i="3" s="1"/>
  <c r="H253" i="3" a="1"/>
  <c r="H253" i="3" s="1"/>
  <c r="H254" i="3" a="1"/>
  <c r="H254" i="3" s="1"/>
  <c r="H255" i="3" a="1"/>
  <c r="H255" i="3" s="1"/>
  <c r="H256" i="3" a="1"/>
  <c r="H256" i="3" s="1"/>
  <c r="H257" i="3" a="1"/>
  <c r="H257" i="3" s="1"/>
  <c r="H258" i="3" a="1"/>
  <c r="H258" i="3"/>
  <c r="H259" i="3" a="1"/>
  <c r="H259" i="3" s="1"/>
  <c r="H260" i="3" a="1"/>
  <c r="H260" i="3" s="1"/>
  <c r="H261" i="3" a="1"/>
  <c r="H261" i="3" s="1"/>
  <c r="H262" i="3" a="1"/>
  <c r="H262" i="3"/>
  <c r="H263" i="3" a="1"/>
  <c r="H263" i="3" s="1"/>
  <c r="H264" i="3" a="1"/>
  <c r="H264" i="3" s="1"/>
  <c r="H265" i="3" a="1"/>
  <c r="H265" i="3" s="1"/>
  <c r="H266" i="3" a="1"/>
  <c r="H266" i="3" s="1"/>
  <c r="H267" i="3" a="1"/>
  <c r="H267" i="3" s="1"/>
  <c r="H268" i="3" a="1"/>
  <c r="H268" i="3" s="1"/>
  <c r="H269" i="3" a="1"/>
  <c r="H269" i="3" s="1"/>
  <c r="H270" i="3" a="1"/>
  <c r="H270" i="3" s="1"/>
  <c r="H271" i="3" a="1"/>
  <c r="H271" i="3" s="1"/>
  <c r="H272" i="3" a="1"/>
  <c r="H272" i="3" s="1"/>
  <c r="H273" i="3" a="1"/>
  <c r="H273" i="3" s="1"/>
  <c r="H274" i="3" a="1"/>
  <c r="H274" i="3" s="1"/>
  <c r="H275" i="3" a="1"/>
  <c r="H275" i="3" s="1"/>
  <c r="H276" i="3" a="1"/>
  <c r="H276" i="3" s="1"/>
  <c r="H277" i="3" a="1"/>
  <c r="H277" i="3" s="1"/>
  <c r="H278" i="3" a="1"/>
  <c r="H278" i="3" s="1"/>
  <c r="H279" i="3" a="1"/>
  <c r="H279" i="3"/>
  <c r="H280" i="3" a="1"/>
  <c r="H280" i="3" s="1"/>
  <c r="H281" i="3" a="1"/>
  <c r="H281" i="3" s="1"/>
  <c r="H282" i="3" a="1"/>
  <c r="H282" i="3" s="1"/>
  <c r="H283" i="3" a="1"/>
  <c r="H283" i="3" s="1"/>
  <c r="H284" i="3" a="1"/>
  <c r="H284" i="3" s="1"/>
  <c r="H285" i="3" a="1"/>
  <c r="H285" i="3" s="1"/>
  <c r="H286" i="3" a="1"/>
  <c r="H286" i="3" s="1"/>
  <c r="H287" i="3" a="1"/>
  <c r="H287" i="3" s="1"/>
  <c r="H288" i="3" a="1"/>
  <c r="H288" i="3" s="1"/>
  <c r="H289" i="3" a="1"/>
  <c r="H289" i="3" s="1"/>
  <c r="H290" i="3" a="1"/>
  <c r="H290" i="3" s="1"/>
  <c r="H291" i="3" a="1"/>
  <c r="H291" i="3"/>
  <c r="H292" i="3" a="1"/>
  <c r="H292" i="3" s="1"/>
  <c r="H293" i="3" a="1"/>
  <c r="H293" i="3" s="1"/>
  <c r="H294" i="3" a="1"/>
  <c r="H294" i="3" s="1"/>
  <c r="H295" i="3" a="1"/>
  <c r="H295" i="3" s="1"/>
  <c r="H296" i="3" a="1"/>
  <c r="H296" i="3" s="1"/>
  <c r="H297" i="3" a="1"/>
  <c r="H297" i="3" s="1"/>
  <c r="H298" i="3" a="1"/>
  <c r="H298" i="3" s="1"/>
  <c r="H299" i="3" a="1"/>
  <c r="H299" i="3" s="1"/>
  <c r="H300" i="3" a="1"/>
  <c r="H300" i="3" s="1"/>
  <c r="H301" i="3" a="1"/>
  <c r="H301" i="3" s="1"/>
  <c r="H302" i="3" a="1"/>
  <c r="H302" i="3" s="1"/>
  <c r="H303" i="3" a="1"/>
  <c r="H303" i="3" s="1"/>
  <c r="H304" i="3" a="1"/>
  <c r="H304" i="3" s="1"/>
  <c r="H305" i="3" a="1"/>
  <c r="H305" i="3" s="1"/>
  <c r="H306" i="3" a="1"/>
  <c r="H306" i="3" s="1"/>
  <c r="H307" i="3" a="1"/>
  <c r="H307" i="3" s="1"/>
  <c r="H308" i="3" a="1"/>
  <c r="H308" i="3" s="1"/>
  <c r="H309" i="3" a="1"/>
  <c r="H309" i="3" s="1"/>
  <c r="H310" i="3" a="1"/>
  <c r="H310" i="3" s="1"/>
  <c r="H311" i="3" a="1"/>
  <c r="H311" i="3" s="1"/>
  <c r="H312" i="3" a="1"/>
  <c r="H312" i="3" s="1"/>
  <c r="H313" i="3" a="1"/>
  <c r="H313" i="3" s="1"/>
  <c r="H314" i="3" a="1"/>
  <c r="H314" i="3" s="1"/>
  <c r="H315" i="3" a="1"/>
  <c r="H315" i="3" s="1"/>
  <c r="H316" i="3" a="1"/>
  <c r="H316" i="3" s="1"/>
  <c r="H317" i="3" a="1"/>
  <c r="H317" i="3" s="1"/>
  <c r="H318" i="3" a="1"/>
  <c r="H318" i="3" s="1"/>
  <c r="H319" i="3" a="1"/>
  <c r="H319" i="3" s="1"/>
  <c r="H320" i="3" a="1"/>
  <c r="H320" i="3" s="1"/>
  <c r="H321" i="3" a="1"/>
  <c r="H321" i="3" s="1"/>
  <c r="H322" i="3" a="1"/>
  <c r="H322" i="3"/>
  <c r="H323" i="3" a="1"/>
  <c r="H323" i="3" s="1"/>
  <c r="H324" i="3" a="1"/>
  <c r="H324" i="3" s="1"/>
  <c r="H325" i="3" a="1"/>
  <c r="H325" i="3" s="1"/>
  <c r="H326" i="3" a="1"/>
  <c r="H326" i="3" s="1"/>
  <c r="H327" i="3" a="1"/>
  <c r="H327" i="3" s="1"/>
  <c r="H328" i="3" a="1"/>
  <c r="H328" i="3" s="1"/>
  <c r="H329" i="3" a="1"/>
  <c r="H329" i="3" s="1"/>
  <c r="H330" i="3" a="1"/>
  <c r="H330" i="3" s="1"/>
  <c r="H331" i="3" a="1"/>
  <c r="H331" i="3" s="1"/>
  <c r="H332" i="3" a="1"/>
  <c r="H332" i="3" s="1"/>
  <c r="H333" i="3" a="1"/>
  <c r="H333" i="3"/>
  <c r="H334" i="3" a="1"/>
  <c r="H334" i="3" s="1"/>
  <c r="H335" i="3" a="1"/>
  <c r="H335" i="3" s="1"/>
  <c r="H336" i="3" a="1"/>
  <c r="H336" i="3" s="1"/>
  <c r="H337" i="3" a="1"/>
  <c r="H337" i="3" s="1"/>
  <c r="H338" i="3" a="1"/>
  <c r="H338" i="3" s="1"/>
  <c r="H339" i="3" a="1"/>
  <c r="H339" i="3" s="1"/>
  <c r="H340" i="3" a="1"/>
  <c r="H340" i="3" s="1"/>
  <c r="H341" i="3" a="1"/>
  <c r="H341" i="3" s="1"/>
  <c r="H342" i="3" a="1"/>
  <c r="H342" i="3" s="1"/>
  <c r="H343" i="3" a="1"/>
  <c r="H343" i="3" s="1"/>
  <c r="H344" i="3" a="1"/>
  <c r="H344" i="3" s="1"/>
  <c r="H345" i="3" a="1"/>
  <c r="H345" i="3" s="1"/>
  <c r="H346" i="3" a="1"/>
  <c r="H346" i="3" s="1"/>
  <c r="H347" i="3" a="1"/>
  <c r="H347" i="3" s="1"/>
  <c r="H348" i="3" a="1"/>
  <c r="H348" i="3" s="1"/>
  <c r="H349" i="3" a="1"/>
  <c r="H349" i="3" s="1"/>
  <c r="H350" i="3" a="1"/>
  <c r="H350" i="3" s="1"/>
  <c r="H351" i="3" a="1"/>
  <c r="H351" i="3" s="1"/>
  <c r="H352" i="3" a="1"/>
  <c r="H352" i="3" s="1"/>
  <c r="H353" i="3" a="1"/>
  <c r="H353" i="3" s="1"/>
  <c r="H354" i="3" a="1"/>
  <c r="H354" i="3"/>
  <c r="H355" i="3" a="1"/>
  <c r="H355" i="3" s="1"/>
  <c r="H356" i="3" a="1"/>
  <c r="H356" i="3" s="1"/>
  <c r="H357" i="3" a="1"/>
  <c r="H357" i="3" s="1"/>
  <c r="H358" i="3" a="1"/>
  <c r="H358" i="3" s="1"/>
  <c r="H359" i="3" a="1"/>
  <c r="H359" i="3" s="1"/>
  <c r="H360" i="3" a="1"/>
  <c r="H360" i="3" s="1"/>
  <c r="H361" i="3" a="1"/>
  <c r="H361" i="3" s="1"/>
  <c r="H362" i="3" a="1"/>
  <c r="H362" i="3" s="1"/>
  <c r="H363" i="3" a="1"/>
  <c r="H363" i="3"/>
  <c r="H364" i="3" a="1"/>
  <c r="H364" i="3" s="1"/>
  <c r="H365" i="3" a="1"/>
  <c r="H365" i="3" s="1"/>
  <c r="H366" i="3" a="1"/>
  <c r="H366" i="3" s="1"/>
  <c r="H367" i="3" a="1"/>
  <c r="H367" i="3" s="1"/>
  <c r="H368" i="3" a="1"/>
  <c r="H368" i="3" s="1"/>
  <c r="H369" i="3" a="1"/>
  <c r="H369" i="3" s="1"/>
  <c r="H370" i="3" a="1"/>
  <c r="H370" i="3" s="1"/>
  <c r="H371" i="3" a="1"/>
  <c r="H371" i="3" s="1"/>
  <c r="H372" i="3" a="1"/>
  <c r="H372" i="3" s="1"/>
  <c r="H373" i="3" a="1"/>
  <c r="H373" i="3" s="1"/>
  <c r="H374" i="3" a="1"/>
  <c r="H374" i="3" s="1"/>
  <c r="H375" i="3" a="1"/>
  <c r="H375" i="3"/>
  <c r="H376" i="3" a="1"/>
  <c r="H376" i="3" s="1"/>
  <c r="H377" i="3" a="1"/>
  <c r="H377" i="3" s="1"/>
  <c r="H378" i="3" a="1"/>
  <c r="H378" i="3" s="1"/>
  <c r="H379" i="3" a="1"/>
  <c r="H379" i="3" s="1"/>
  <c r="H380" i="3" a="1"/>
  <c r="H380" i="3" s="1"/>
  <c r="H381" i="3" a="1"/>
  <c r="H381" i="3" s="1"/>
  <c r="H382" i="3" a="1"/>
  <c r="H382" i="3" s="1"/>
  <c r="H383" i="3" a="1"/>
  <c r="H383" i="3" s="1"/>
  <c r="H384" i="3" a="1"/>
  <c r="H384" i="3"/>
  <c r="H385" i="3" a="1"/>
  <c r="H385" i="3" s="1"/>
  <c r="H386" i="3" a="1"/>
  <c r="H386" i="3" s="1"/>
  <c r="H387" i="3" a="1"/>
  <c r="H387" i="3" s="1"/>
  <c r="H388" i="3" a="1"/>
  <c r="H388" i="3" s="1"/>
  <c r="H389" i="3" a="1"/>
  <c r="H389" i="3" s="1"/>
  <c r="H390" i="3" a="1"/>
  <c r="H390" i="3" s="1"/>
  <c r="H391" i="3" a="1"/>
  <c r="H391" i="3" s="1"/>
  <c r="H392" i="3" a="1"/>
  <c r="H392" i="3" s="1"/>
  <c r="H393" i="3" a="1"/>
  <c r="H393" i="3" s="1"/>
  <c r="H394" i="3" a="1"/>
  <c r="H394" i="3" s="1"/>
  <c r="H395" i="3" a="1"/>
  <c r="H395" i="3" s="1"/>
  <c r="H396" i="3" a="1"/>
  <c r="H396" i="3" s="1"/>
  <c r="H397" i="3" a="1"/>
  <c r="H397" i="3" s="1"/>
  <c r="H398" i="3" a="1"/>
  <c r="H398" i="3" s="1"/>
  <c r="H399" i="3" a="1"/>
  <c r="H399" i="3" s="1"/>
  <c r="H400" i="3" a="1"/>
  <c r="H400" i="3" s="1"/>
  <c r="H401" i="3" a="1"/>
  <c r="H401" i="3" s="1"/>
  <c r="H402" i="3" a="1"/>
  <c r="H402" i="3" s="1"/>
  <c r="H403" i="3" a="1"/>
  <c r="H403" i="3" s="1"/>
  <c r="H404" i="3" a="1"/>
  <c r="H404" i="3" s="1"/>
  <c r="H405" i="3" a="1"/>
  <c r="H405" i="3" s="1"/>
  <c r="H406" i="3" a="1"/>
  <c r="H406" i="3" s="1"/>
  <c r="H407" i="3" a="1"/>
  <c r="H407" i="3" s="1"/>
  <c r="H408" i="3" a="1"/>
  <c r="H408" i="3" s="1"/>
  <c r="H409" i="3" a="1"/>
  <c r="H409" i="3" s="1"/>
  <c r="H410" i="3" a="1"/>
  <c r="H410" i="3" s="1"/>
  <c r="H411" i="3" a="1"/>
  <c r="H411" i="3" s="1"/>
  <c r="H412" i="3" a="1"/>
  <c r="H412" i="3" s="1"/>
  <c r="H413" i="3" a="1"/>
  <c r="H413" i="3" s="1"/>
  <c r="H414" i="3" a="1"/>
  <c r="H414" i="3" s="1"/>
  <c r="H415" i="3" a="1"/>
  <c r="H415" i="3" s="1"/>
  <c r="H416" i="3" a="1"/>
  <c r="H416" i="3" s="1"/>
  <c r="H417" i="3" a="1"/>
  <c r="H417" i="3" s="1"/>
  <c r="H418" i="3" a="1"/>
  <c r="H418" i="3"/>
  <c r="H419" i="3" a="1"/>
  <c r="H419" i="3" s="1"/>
  <c r="H420" i="3" a="1"/>
  <c r="H420" i="3" s="1"/>
  <c r="H421" i="3" a="1"/>
  <c r="H421" i="3" s="1"/>
  <c r="H422" i="3" a="1"/>
  <c r="H422" i="3" s="1"/>
  <c r="H423" i="3" a="1"/>
  <c r="H423" i="3" s="1"/>
  <c r="H424" i="3" a="1"/>
  <c r="H424" i="3" s="1"/>
  <c r="H425" i="3" a="1"/>
  <c r="H425" i="3" s="1"/>
  <c r="H426" i="3" a="1"/>
  <c r="H426" i="3" s="1"/>
  <c r="H427" i="3" a="1"/>
  <c r="H427" i="3" s="1"/>
  <c r="H428" i="3" a="1"/>
  <c r="H428" i="3"/>
  <c r="H429" i="3" a="1"/>
  <c r="H429" i="3" s="1"/>
  <c r="H430" i="3" a="1"/>
  <c r="H430" i="3" s="1"/>
  <c r="H431" i="3" a="1"/>
  <c r="H431" i="3" s="1"/>
  <c r="H432" i="3" a="1"/>
  <c r="H432" i="3" s="1"/>
  <c r="H433" i="3" a="1"/>
  <c r="H433" i="3" s="1"/>
  <c r="H434" i="3" a="1"/>
  <c r="H434" i="3" s="1"/>
  <c r="H435" i="3" a="1"/>
  <c r="H435" i="3" s="1"/>
  <c r="H436" i="3" a="1"/>
  <c r="H436" i="3" s="1"/>
  <c r="H437" i="3" a="1"/>
  <c r="H437" i="3" s="1"/>
  <c r="H438" i="3" a="1"/>
  <c r="H438" i="3"/>
  <c r="H439" i="3" a="1"/>
  <c r="H439" i="3" s="1"/>
  <c r="H440" i="3" a="1"/>
  <c r="H440" i="3" s="1"/>
  <c r="H441" i="3" a="1"/>
  <c r="H441" i="3"/>
  <c r="H442" i="3" a="1"/>
  <c r="H442" i="3" s="1"/>
  <c r="H443" i="3" a="1"/>
  <c r="H443" i="3" s="1"/>
  <c r="H444" i="3" a="1"/>
  <c r="H444" i="3" s="1"/>
  <c r="H445" i="3" a="1"/>
  <c r="H445" i="3" s="1"/>
  <c r="H446" i="3" a="1"/>
  <c r="H446" i="3" s="1"/>
  <c r="H447" i="3" a="1"/>
  <c r="H447" i="3" s="1"/>
  <c r="H448" i="3" a="1"/>
  <c r="H448" i="3"/>
  <c r="H449" i="3" a="1"/>
  <c r="H449" i="3" s="1"/>
  <c r="H450" i="3" a="1"/>
  <c r="H450" i="3" s="1"/>
  <c r="H451" i="3" a="1"/>
  <c r="H451" i="3" s="1"/>
  <c r="H452" i="3" a="1"/>
  <c r="H452" i="3" s="1"/>
  <c r="H453" i="3" a="1"/>
  <c r="H453" i="3" s="1"/>
  <c r="H454" i="3" a="1"/>
  <c r="H454" i="3" s="1"/>
  <c r="H455" i="3" a="1"/>
  <c r="H455" i="3" s="1"/>
  <c r="H456" i="3" a="1"/>
  <c r="H456" i="3" s="1"/>
  <c r="H457" i="3" a="1"/>
  <c r="H457" i="3" s="1"/>
  <c r="H458" i="3" a="1"/>
  <c r="H458" i="3" s="1"/>
  <c r="H459" i="3" a="1"/>
  <c r="H459" i="3" s="1"/>
  <c r="H460" i="3" a="1"/>
  <c r="H460" i="3" s="1"/>
  <c r="H461" i="3" a="1"/>
  <c r="H461" i="3" s="1"/>
  <c r="H462" i="3" a="1"/>
  <c r="H462" i="3" s="1"/>
  <c r="H463" i="3" a="1"/>
  <c r="H463" i="3" s="1"/>
  <c r="H464" i="3" a="1"/>
  <c r="H464" i="3" s="1"/>
  <c r="H465" i="3" a="1"/>
  <c r="H465" i="3" s="1"/>
  <c r="H466" i="3" a="1"/>
  <c r="H466" i="3" s="1"/>
  <c r="H467" i="3" a="1"/>
  <c r="H467" i="3" s="1"/>
  <c r="H468" i="3" a="1"/>
  <c r="H468" i="3" s="1"/>
  <c r="H469" i="3" a="1"/>
  <c r="H469" i="3" s="1"/>
  <c r="H470" i="3" a="1"/>
  <c r="H470" i="3" s="1"/>
  <c r="H471" i="3" a="1"/>
  <c r="H471" i="3" s="1"/>
  <c r="H472" i="3" a="1"/>
  <c r="H472" i="3" s="1"/>
  <c r="H473" i="3" a="1"/>
  <c r="H473" i="3" s="1"/>
  <c r="H474" i="3" a="1"/>
  <c r="H474" i="3" s="1"/>
  <c r="H475" i="3" a="1"/>
  <c r="H475" i="3" s="1"/>
  <c r="H476" i="3" a="1"/>
  <c r="H476" i="3" s="1"/>
  <c r="H477" i="3" a="1"/>
  <c r="H477" i="3"/>
  <c r="H478" i="3" a="1"/>
  <c r="H478" i="3" s="1"/>
  <c r="H479" i="3" a="1"/>
  <c r="H479" i="3" s="1"/>
  <c r="H480" i="3" a="1"/>
  <c r="H480" i="3" s="1"/>
  <c r="H481" i="3" a="1"/>
  <c r="H481" i="3" s="1"/>
  <c r="H482" i="3" a="1"/>
  <c r="H482" i="3" s="1"/>
  <c r="H483" i="3" a="1"/>
  <c r="H483" i="3" s="1"/>
  <c r="H484" i="3" a="1"/>
  <c r="H484" i="3" s="1"/>
  <c r="H485" i="3" a="1"/>
  <c r="H485" i="3" s="1"/>
  <c r="H486" i="3" a="1"/>
  <c r="H486" i="3" s="1"/>
  <c r="H487" i="3" a="1"/>
  <c r="H487" i="3" s="1"/>
  <c r="H488" i="3" a="1"/>
  <c r="H488" i="3" s="1"/>
  <c r="H489" i="3" a="1"/>
  <c r="H489" i="3" s="1"/>
  <c r="H490" i="3" a="1"/>
  <c r="H490" i="3" s="1"/>
  <c r="H491" i="3" a="1"/>
  <c r="H491" i="3" s="1"/>
  <c r="H492" i="3" a="1"/>
  <c r="H492" i="3"/>
  <c r="H493" i="3" a="1"/>
  <c r="H493" i="3" s="1"/>
  <c r="H494" i="3" a="1"/>
  <c r="H494" i="3" s="1"/>
  <c r="H495" i="3" a="1"/>
  <c r="H495" i="3" s="1"/>
  <c r="H496" i="3" a="1"/>
  <c r="H496" i="3" s="1"/>
  <c r="H497" i="3" a="1"/>
  <c r="H497" i="3" s="1"/>
  <c r="H498" i="3" a="1"/>
  <c r="H498" i="3" s="1"/>
  <c r="H499" i="3" a="1"/>
  <c r="H499" i="3" s="1"/>
  <c r="H500" i="3" a="1"/>
  <c r="H500" i="3" s="1"/>
  <c r="H501" i="3" a="1"/>
  <c r="H501" i="3" s="1"/>
  <c r="H502" i="3" a="1"/>
  <c r="H502" i="3" s="1"/>
  <c r="H503" i="3" a="1"/>
  <c r="H503" i="3" s="1"/>
  <c r="H504" i="3" a="1"/>
  <c r="H504" i="3" s="1"/>
  <c r="H505" i="3" a="1"/>
  <c r="H505" i="3"/>
  <c r="H506" i="3" a="1"/>
  <c r="H506" i="3" s="1"/>
  <c r="H507" i="3" a="1"/>
  <c r="H507" i="3" s="1"/>
  <c r="H508" i="3" a="1"/>
  <c r="H508" i="3" s="1"/>
  <c r="H509" i="3" a="1"/>
  <c r="H509" i="3" s="1"/>
  <c r="H510" i="3" a="1"/>
  <c r="H510" i="3" s="1"/>
  <c r="H511" i="3" a="1"/>
  <c r="H511" i="3" s="1"/>
  <c r="H512" i="3" a="1"/>
  <c r="H512" i="3" s="1"/>
  <c r="H513" i="3" a="1"/>
  <c r="H513" i="3" s="1"/>
  <c r="H514" i="3" a="1"/>
  <c r="H514" i="3" s="1"/>
  <c r="H515" i="3" a="1"/>
  <c r="H515" i="3" s="1"/>
  <c r="H516" i="3" a="1"/>
  <c r="H516" i="3" s="1"/>
  <c r="H517" i="3" a="1"/>
  <c r="H517" i="3" s="1"/>
  <c r="H518" i="3" a="1"/>
  <c r="H518" i="3" s="1"/>
  <c r="H519" i="3" a="1"/>
  <c r="H519" i="3" s="1"/>
  <c r="H520" i="3" a="1"/>
  <c r="H520" i="3" s="1"/>
  <c r="H521" i="3" a="1"/>
  <c r="H521" i="3" s="1"/>
  <c r="H522" i="3" a="1"/>
  <c r="H522" i="3" s="1"/>
  <c r="H523" i="3" a="1"/>
  <c r="H523" i="3" s="1"/>
  <c r="H524" i="3" a="1"/>
  <c r="H524" i="3"/>
  <c r="H525" i="3" a="1"/>
  <c r="H525" i="3" s="1"/>
  <c r="H526" i="3" a="1"/>
  <c r="H526" i="3" s="1"/>
  <c r="H527" i="3" a="1"/>
  <c r="H527" i="3" s="1"/>
  <c r="H528" i="3" a="1"/>
  <c r="H528" i="3" s="1"/>
  <c r="H529" i="3" a="1"/>
  <c r="H529" i="3"/>
  <c r="H530" i="3" a="1"/>
  <c r="H530" i="3" s="1"/>
  <c r="H531" i="3" a="1"/>
  <c r="H531" i="3" s="1"/>
  <c r="H532" i="3" a="1"/>
  <c r="H532" i="3" s="1"/>
  <c r="H533" i="3" a="1"/>
  <c r="H533" i="3" s="1"/>
  <c r="H534" i="3" a="1"/>
  <c r="H534" i="3" s="1"/>
  <c r="H535" i="3" a="1"/>
  <c r="H535" i="3" s="1"/>
  <c r="H536" i="3" a="1"/>
  <c r="H536" i="3" s="1"/>
  <c r="H537" i="3" a="1"/>
  <c r="H537" i="3" s="1"/>
  <c r="H538" i="3" a="1"/>
  <c r="H538" i="3" s="1"/>
  <c r="H539" i="3" a="1"/>
  <c r="H539" i="3" s="1"/>
  <c r="H540" i="3" a="1"/>
  <c r="H540" i="3"/>
  <c r="H541" i="3" a="1"/>
  <c r="H541" i="3" s="1"/>
  <c r="H542" i="3" a="1"/>
  <c r="H542" i="3" s="1"/>
  <c r="H543" i="3" a="1"/>
  <c r="H543" i="3" s="1"/>
  <c r="H544" i="3" a="1"/>
  <c r="H544" i="3"/>
  <c r="H545" i="3" a="1"/>
  <c r="H545" i="3" s="1"/>
  <c r="H546" i="3" a="1"/>
  <c r="H546" i="3" s="1"/>
  <c r="H547" i="3" a="1"/>
  <c r="H547" i="3" s="1"/>
  <c r="H548" i="3" a="1"/>
  <c r="H548" i="3" s="1"/>
  <c r="H549" i="3" a="1"/>
  <c r="H549" i="3" s="1"/>
  <c r="H550" i="3" a="1"/>
  <c r="H550" i="3" s="1"/>
  <c r="H551" i="3" a="1"/>
  <c r="H551" i="3" s="1"/>
  <c r="H552" i="3" a="1"/>
  <c r="H552" i="3" s="1"/>
  <c r="H553" i="3" a="1"/>
  <c r="H553" i="3" s="1"/>
  <c r="H554" i="3" a="1"/>
  <c r="H554" i="3" s="1"/>
  <c r="H555" i="3" a="1"/>
  <c r="H555" i="3" s="1"/>
  <c r="H556" i="3" a="1"/>
  <c r="H556" i="3" s="1"/>
  <c r="H557" i="3" a="1"/>
  <c r="H557" i="3" s="1"/>
  <c r="H558" i="3" a="1"/>
  <c r="H558" i="3" s="1"/>
  <c r="H559" i="3" a="1"/>
  <c r="H559" i="3" s="1"/>
  <c r="H560" i="3" a="1"/>
  <c r="H560" i="3"/>
  <c r="H561" i="3" a="1"/>
  <c r="H561" i="3" s="1"/>
  <c r="H562" i="3" a="1"/>
  <c r="H562" i="3" s="1"/>
  <c r="H563" i="3" a="1"/>
  <c r="H563" i="3" s="1"/>
  <c r="H564" i="3" a="1"/>
  <c r="H564" i="3" s="1"/>
  <c r="H565" i="3" a="1"/>
  <c r="H565" i="3" s="1"/>
  <c r="H566" i="3" a="1"/>
  <c r="H566" i="3" s="1"/>
  <c r="H567" i="3" a="1"/>
  <c r="H567" i="3" s="1"/>
  <c r="H568" i="3" a="1"/>
  <c r="H568" i="3" s="1"/>
  <c r="H569" i="3" a="1"/>
  <c r="H569" i="3" s="1"/>
  <c r="H570" i="3" a="1"/>
  <c r="H570" i="3" s="1"/>
  <c r="H571" i="3" a="1"/>
  <c r="H571" i="3" s="1"/>
  <c r="H572" i="3" a="1"/>
  <c r="H572" i="3" s="1"/>
  <c r="H573" i="3" a="1"/>
  <c r="H573" i="3" s="1"/>
  <c r="H574" i="3" a="1"/>
  <c r="H574" i="3" s="1"/>
  <c r="H575" i="3" a="1"/>
  <c r="H575" i="3" s="1"/>
  <c r="H576" i="3" a="1"/>
  <c r="H576" i="3" s="1"/>
  <c r="H577" i="3" a="1"/>
  <c r="H577" i="3"/>
  <c r="H578" i="3" a="1"/>
  <c r="H578" i="3" s="1"/>
  <c r="H579" i="3" a="1"/>
  <c r="H579" i="3" s="1"/>
  <c r="H580" i="3" a="1"/>
  <c r="H580" i="3" s="1"/>
  <c r="H581" i="3" a="1"/>
  <c r="H581" i="3" s="1"/>
  <c r="H582" i="3" a="1"/>
  <c r="H582" i="3" s="1"/>
  <c r="H583" i="3" a="1"/>
  <c r="H583" i="3" s="1"/>
  <c r="H584" i="3" a="1"/>
  <c r="H584" i="3" s="1"/>
  <c r="H585" i="3" a="1"/>
  <c r="H585" i="3" s="1"/>
  <c r="H586" i="3" a="1"/>
  <c r="H586" i="3" s="1"/>
  <c r="H587" i="3" a="1"/>
  <c r="H587" i="3" s="1"/>
  <c r="H588" i="3" a="1"/>
  <c r="H588" i="3" s="1"/>
  <c r="H589" i="3" a="1"/>
  <c r="H589" i="3" s="1"/>
  <c r="H590" i="3" a="1"/>
  <c r="H590" i="3" s="1"/>
  <c r="H591" i="3" a="1"/>
  <c r="H591" i="3" s="1"/>
  <c r="H592" i="3" a="1"/>
  <c r="H592" i="3" s="1"/>
  <c r="H593" i="3" a="1"/>
  <c r="H593" i="3" s="1"/>
  <c r="H594" i="3" a="1"/>
  <c r="H594" i="3" s="1"/>
  <c r="H595" i="3" a="1"/>
  <c r="H595" i="3" s="1"/>
  <c r="H596" i="3" a="1"/>
  <c r="H596" i="3" s="1"/>
  <c r="H597" i="3" a="1"/>
  <c r="H597" i="3" s="1"/>
  <c r="H598" i="3" a="1"/>
  <c r="H598" i="3" s="1"/>
  <c r="H599" i="3" a="1"/>
  <c r="H599" i="3" s="1"/>
  <c r="H600" i="3" a="1"/>
  <c r="H600" i="3" s="1"/>
  <c r="H601" i="3" a="1"/>
  <c r="H601" i="3" s="1"/>
  <c r="H602" i="3" a="1"/>
  <c r="H602" i="3" s="1"/>
  <c r="H603" i="3" a="1"/>
  <c r="H603" i="3"/>
  <c r="H604" i="3" a="1"/>
  <c r="H604" i="3" s="1"/>
  <c r="H605" i="3" a="1"/>
  <c r="H605" i="3" s="1"/>
  <c r="H606" i="3" a="1"/>
  <c r="H606" i="3" s="1"/>
  <c r="H607" i="3" a="1"/>
  <c r="H607" i="3" s="1"/>
  <c r="H608" i="3" a="1"/>
  <c r="H608" i="3" s="1"/>
  <c r="H609" i="3" a="1"/>
  <c r="H609" i="3" s="1"/>
  <c r="H610" i="3" a="1"/>
  <c r="H610" i="3" s="1"/>
  <c r="H611" i="3" a="1"/>
  <c r="H611" i="3" s="1"/>
  <c r="H612" i="3" a="1"/>
  <c r="H612" i="3" s="1"/>
  <c r="H613" i="3" a="1"/>
  <c r="H613" i="3" s="1"/>
  <c r="H614" i="3" a="1"/>
  <c r="H614" i="3"/>
  <c r="H615" i="3" a="1"/>
  <c r="H615" i="3" s="1"/>
  <c r="H616" i="3" a="1"/>
  <c r="H616" i="3" s="1"/>
  <c r="H617" i="3" a="1"/>
  <c r="H617" i="3" s="1"/>
  <c r="H618" i="3" a="1"/>
  <c r="H618" i="3" s="1"/>
  <c r="H619" i="3" a="1"/>
  <c r="H619" i="3" s="1"/>
  <c r="H620" i="3" a="1"/>
  <c r="H620" i="3" s="1"/>
  <c r="H621" i="3" a="1"/>
  <c r="H621" i="3" s="1"/>
  <c r="H622" i="3" a="1"/>
  <c r="H622" i="3" s="1"/>
  <c r="H623" i="3" a="1"/>
  <c r="H623" i="3" s="1"/>
  <c r="H624" i="3" a="1"/>
  <c r="H624" i="3" s="1"/>
  <c r="H625" i="3" a="1"/>
  <c r="H625" i="3" s="1"/>
  <c r="H626" i="3" a="1"/>
  <c r="H626" i="3" s="1"/>
  <c r="H627" i="3" a="1"/>
  <c r="H627" i="3" s="1"/>
  <c r="H628" i="3" a="1"/>
  <c r="H628" i="3"/>
  <c r="H629" i="3" a="1"/>
  <c r="H629" i="3" s="1"/>
  <c r="H630" i="3" a="1"/>
  <c r="H630" i="3" s="1"/>
  <c r="H631" i="3" a="1"/>
  <c r="H631" i="3" s="1"/>
  <c r="H632" i="3" a="1"/>
  <c r="H632" i="3" s="1"/>
  <c r="H633" i="3" a="1"/>
  <c r="H633" i="3" s="1"/>
  <c r="H634" i="3" a="1"/>
  <c r="H634" i="3" s="1"/>
  <c r="H635" i="3" a="1"/>
  <c r="H635" i="3" s="1"/>
  <c r="H636" i="3" a="1"/>
  <c r="H636" i="3" s="1"/>
  <c r="H637" i="3" a="1"/>
  <c r="H637" i="3"/>
  <c r="H638" i="3" a="1"/>
  <c r="H638" i="3" s="1"/>
  <c r="H639" i="3" a="1"/>
  <c r="H639" i="3" s="1"/>
  <c r="H640" i="3" a="1"/>
  <c r="H640" i="3" s="1"/>
  <c r="H641" i="3" a="1"/>
  <c r="H641" i="3" s="1"/>
  <c r="H642" i="3" a="1"/>
  <c r="H642" i="3"/>
  <c r="H643" i="3" a="1"/>
  <c r="H643" i="3" s="1"/>
  <c r="H644" i="3" a="1"/>
  <c r="H644" i="3" s="1"/>
  <c r="H645" i="3" a="1"/>
  <c r="H645" i="3" s="1"/>
  <c r="H646" i="3" a="1"/>
  <c r="H646" i="3" s="1"/>
  <c r="H647" i="3" a="1"/>
  <c r="H647" i="3" s="1"/>
  <c r="H648" i="3" a="1"/>
  <c r="H648" i="3" s="1"/>
  <c r="H649" i="3" a="1"/>
  <c r="H649" i="3" s="1"/>
  <c r="H650" i="3" a="1"/>
  <c r="H650" i="3" s="1"/>
  <c r="H651" i="3" a="1"/>
  <c r="H651" i="3" s="1"/>
  <c r="H652" i="3" a="1"/>
  <c r="H652" i="3" s="1"/>
  <c r="H653" i="3" a="1"/>
  <c r="H653" i="3" s="1"/>
  <c r="H654" i="3" a="1"/>
  <c r="H654" i="3" s="1"/>
  <c r="H655" i="3" a="1"/>
  <c r="H655" i="3" s="1"/>
  <c r="H656" i="3" a="1"/>
  <c r="H656" i="3" s="1"/>
  <c r="H657" i="3" a="1"/>
  <c r="H657" i="3"/>
  <c r="H658" i="3" a="1"/>
  <c r="H658" i="3" s="1"/>
  <c r="H659" i="3" a="1"/>
  <c r="H659" i="3" s="1"/>
  <c r="H660" i="3" a="1"/>
  <c r="H660" i="3" s="1"/>
  <c r="H661" i="3" a="1"/>
  <c r="H661" i="3" s="1"/>
  <c r="H662" i="3" a="1"/>
  <c r="H662" i="3" s="1"/>
  <c r="H663" i="3" a="1"/>
  <c r="H663" i="3" s="1"/>
  <c r="H664" i="3" a="1"/>
  <c r="H664" i="3" s="1"/>
  <c r="H665" i="3" a="1"/>
  <c r="H665" i="3" s="1"/>
  <c r="H666" i="3" a="1"/>
  <c r="H666" i="3" s="1"/>
  <c r="H667" i="3" a="1"/>
  <c r="H667" i="3"/>
  <c r="H668" i="3" a="1"/>
  <c r="H668" i="3" s="1"/>
  <c r="H669" i="3" a="1"/>
  <c r="H669" i="3" s="1"/>
  <c r="H670" i="3" a="1"/>
  <c r="H670" i="3" s="1"/>
  <c r="H671" i="3" a="1"/>
  <c r="H671" i="3" s="1"/>
  <c r="H672" i="3" a="1"/>
  <c r="H672" i="3" s="1"/>
  <c r="H673" i="3" a="1"/>
  <c r="H673" i="3"/>
  <c r="H674" i="3" a="1"/>
  <c r="H674" i="3" s="1"/>
  <c r="H675" i="3" a="1"/>
  <c r="H675" i="3" s="1"/>
  <c r="H676" i="3" a="1"/>
  <c r="H676" i="3" s="1"/>
  <c r="H677" i="3" a="1"/>
  <c r="H677" i="3" s="1"/>
  <c r="H678" i="3" a="1"/>
  <c r="H678" i="3" s="1"/>
  <c r="H679" i="3" a="1"/>
  <c r="H679" i="3" s="1"/>
  <c r="H680" i="3" a="1"/>
  <c r="H680" i="3" s="1"/>
  <c r="H681" i="3" a="1"/>
  <c r="H681" i="3" s="1"/>
  <c r="H682" i="3" a="1"/>
  <c r="H682" i="3" s="1"/>
  <c r="H683" i="3" a="1"/>
  <c r="H683" i="3" s="1"/>
  <c r="H684" i="3" a="1"/>
  <c r="H684" i="3" s="1"/>
  <c r="H685" i="3" a="1"/>
  <c r="H685" i="3" s="1"/>
  <c r="H686" i="3" a="1"/>
  <c r="H686" i="3" s="1"/>
  <c r="H687" i="3" a="1"/>
  <c r="H687" i="3" s="1"/>
  <c r="H688" i="3" a="1"/>
  <c r="H688" i="3" s="1"/>
  <c r="H689" i="3" a="1"/>
  <c r="H689" i="3" s="1"/>
  <c r="H690" i="3" a="1"/>
  <c r="H690" i="3" s="1"/>
  <c r="H691" i="3" a="1"/>
  <c r="H691" i="3" s="1"/>
  <c r="H692" i="3" a="1"/>
  <c r="H692" i="3" s="1"/>
  <c r="H693" i="3" a="1"/>
  <c r="H693" i="3" s="1"/>
  <c r="H694" i="3" a="1"/>
  <c r="H694" i="3" s="1"/>
  <c r="H695" i="3" a="1"/>
  <c r="H695" i="3" s="1"/>
  <c r="H696" i="3" a="1"/>
  <c r="H696" i="3" s="1"/>
  <c r="H697" i="3" a="1"/>
  <c r="H697" i="3" s="1"/>
  <c r="H698" i="3" a="1"/>
  <c r="H698" i="3" s="1"/>
  <c r="H699" i="3" a="1"/>
  <c r="H699" i="3" s="1"/>
  <c r="H700" i="3" a="1"/>
  <c r="H700" i="3"/>
  <c r="H701" i="3" a="1"/>
  <c r="H701" i="3" s="1"/>
  <c r="H702" i="3" a="1"/>
  <c r="H702" i="3" s="1"/>
  <c r="H703" i="3" a="1"/>
  <c r="H703" i="3" s="1"/>
  <c r="H704" i="3" a="1"/>
  <c r="H704" i="3" s="1"/>
  <c r="H705" i="3" a="1"/>
  <c r="H705" i="3" s="1"/>
  <c r="H706" i="3" a="1"/>
  <c r="H706" i="3" s="1"/>
  <c r="H707" i="3" a="1"/>
  <c r="H707" i="3" s="1"/>
  <c r="H708" i="3" a="1"/>
  <c r="H708" i="3" s="1"/>
  <c r="H709" i="3" a="1"/>
  <c r="H709" i="3" s="1"/>
  <c r="H710" i="3" a="1"/>
  <c r="H710" i="3" s="1"/>
  <c r="H711" i="3" a="1"/>
  <c r="H711" i="3" s="1"/>
  <c r="H712" i="3" a="1"/>
  <c r="H712" i="3" s="1"/>
  <c r="H713" i="3" a="1"/>
  <c r="H713" i="3" s="1"/>
  <c r="H714" i="3" a="1"/>
  <c r="H714" i="3" s="1"/>
  <c r="H715" i="3" a="1"/>
  <c r="H715" i="3" s="1"/>
  <c r="H716" i="3" a="1"/>
  <c r="H716" i="3" s="1"/>
  <c r="H717" i="3" a="1"/>
  <c r="H717" i="3" s="1"/>
  <c r="H718" i="3" a="1"/>
  <c r="H718" i="3" s="1"/>
  <c r="H719" i="3" a="1"/>
  <c r="H719" i="3" s="1"/>
  <c r="H720" i="3" a="1"/>
  <c r="H720" i="3" s="1"/>
  <c r="H721" i="3" a="1"/>
  <c r="H721" i="3" s="1"/>
  <c r="H722" i="3" a="1"/>
  <c r="H722" i="3"/>
  <c r="H723" i="3" a="1"/>
  <c r="H723" i="3" s="1"/>
  <c r="H724" i="3" a="1"/>
  <c r="H724" i="3" s="1"/>
  <c r="H725" i="3" a="1"/>
  <c r="H725" i="3" s="1"/>
  <c r="H726" i="3" a="1"/>
  <c r="H726" i="3" s="1"/>
  <c r="H727" i="3" a="1"/>
  <c r="H727" i="3" s="1"/>
  <c r="H728" i="3" a="1"/>
  <c r="H728" i="3" s="1"/>
  <c r="H729" i="3" a="1"/>
  <c r="H729" i="3"/>
  <c r="H730" i="3" a="1"/>
  <c r="H730" i="3" s="1"/>
  <c r="H731" i="3" a="1"/>
  <c r="H731" i="3" s="1"/>
  <c r="H732" i="3" a="1"/>
  <c r="H732" i="3"/>
  <c r="H733" i="3" a="1"/>
  <c r="H733" i="3" s="1"/>
  <c r="H734" i="3" a="1"/>
  <c r="H734" i="3" s="1"/>
  <c r="H735" i="3" a="1"/>
  <c r="H735" i="3" s="1"/>
  <c r="H736" i="3" a="1"/>
  <c r="H736" i="3" s="1"/>
  <c r="H737" i="3" a="1"/>
  <c r="H737" i="3" s="1"/>
  <c r="H738" i="3" a="1"/>
  <c r="H738" i="3" s="1"/>
  <c r="H739" i="3" a="1"/>
  <c r="H739" i="3"/>
  <c r="H740" i="3" a="1"/>
  <c r="H740" i="3" s="1"/>
  <c r="H741" i="3" a="1"/>
  <c r="H741" i="3" s="1"/>
  <c r="H742" i="3" a="1"/>
  <c r="H742" i="3" s="1"/>
  <c r="H743" i="3" a="1"/>
  <c r="H743" i="3" s="1"/>
  <c r="H744" i="3" a="1"/>
  <c r="H744" i="3" s="1"/>
  <c r="H745" i="3" a="1"/>
  <c r="H745" i="3" s="1"/>
  <c r="H746" i="3" a="1"/>
  <c r="H746" i="3" s="1"/>
  <c r="H747" i="3" a="1"/>
  <c r="H747" i="3" s="1"/>
  <c r="H748" i="3" a="1"/>
  <c r="H748" i="3" s="1"/>
  <c r="H749" i="3" a="1"/>
  <c r="H749" i="3" s="1"/>
  <c r="H750" i="3" a="1"/>
  <c r="H750" i="3"/>
  <c r="H751" i="3" a="1"/>
  <c r="H751" i="3" s="1"/>
  <c r="H752" i="3" a="1"/>
  <c r="H752" i="3"/>
  <c r="H753" i="3" a="1"/>
  <c r="H753" i="3" s="1"/>
  <c r="H754" i="3" a="1"/>
  <c r="H754" i="3" s="1"/>
  <c r="H755" i="3" a="1"/>
  <c r="H755" i="3" s="1"/>
  <c r="H756" i="3" a="1"/>
  <c r="H756" i="3" s="1"/>
  <c r="H757" i="3" a="1"/>
  <c r="H757" i="3" s="1"/>
  <c r="H758" i="3" a="1"/>
  <c r="H758" i="3" s="1"/>
  <c r="H759" i="3" a="1"/>
  <c r="H759" i="3" s="1"/>
  <c r="H760" i="3" a="1"/>
  <c r="H760" i="3"/>
  <c r="H761" i="3" a="1"/>
  <c r="H761" i="3" s="1"/>
  <c r="H762" i="3" a="1"/>
  <c r="H762" i="3" s="1"/>
  <c r="H763" i="3" a="1"/>
  <c r="H763" i="3"/>
  <c r="H764" i="3" a="1"/>
  <c r="H764" i="3" s="1"/>
  <c r="H765" i="3" a="1"/>
  <c r="H765" i="3" s="1"/>
  <c r="H766" i="3" a="1"/>
  <c r="H766" i="3" s="1"/>
  <c r="H767" i="3" a="1"/>
  <c r="H767" i="3" s="1"/>
  <c r="H768" i="3" a="1"/>
  <c r="H768" i="3" s="1"/>
  <c r="H769" i="3" a="1"/>
  <c r="H769" i="3" s="1"/>
  <c r="H770" i="3" a="1"/>
  <c r="H770" i="3" s="1"/>
  <c r="H771" i="3" a="1"/>
  <c r="H771" i="3" s="1"/>
  <c r="H772" i="3" a="1"/>
  <c r="H772" i="3" s="1"/>
  <c r="H773" i="3" a="1"/>
  <c r="H773" i="3" s="1"/>
  <c r="H774" i="3" a="1"/>
  <c r="H774" i="3" s="1"/>
  <c r="H775" i="3" a="1"/>
  <c r="H775" i="3" s="1"/>
  <c r="H776" i="3" a="1"/>
  <c r="H776" i="3" s="1"/>
  <c r="H777" i="3" a="1"/>
  <c r="H777" i="3" s="1"/>
  <c r="H778" i="3" a="1"/>
  <c r="H778" i="3" s="1"/>
  <c r="H779" i="3" a="1"/>
  <c r="H779" i="3" s="1"/>
  <c r="H780" i="3" a="1"/>
  <c r="H780" i="3" s="1"/>
  <c r="H781" i="3" a="1"/>
  <c r="H781" i="3" s="1"/>
  <c r="H782" i="3" a="1"/>
  <c r="H782" i="3" s="1"/>
  <c r="H783" i="3" a="1"/>
  <c r="H783" i="3" s="1"/>
  <c r="H784" i="3" a="1"/>
  <c r="H784" i="3" s="1"/>
  <c r="H785" i="3" a="1"/>
  <c r="H785" i="3" s="1"/>
  <c r="H786" i="3" a="1"/>
  <c r="H786" i="3" s="1"/>
  <c r="H787" i="3" a="1"/>
  <c r="H787" i="3" s="1"/>
  <c r="H788" i="3" a="1"/>
  <c r="H788" i="3" s="1"/>
  <c r="H789" i="3" a="1"/>
  <c r="H789" i="3" s="1"/>
  <c r="H790" i="3" a="1"/>
  <c r="H790" i="3" s="1"/>
  <c r="H791" i="3" a="1"/>
  <c r="H791" i="3" s="1"/>
  <c r="H792" i="3" a="1"/>
  <c r="H792" i="3" s="1"/>
  <c r="H793" i="3" a="1"/>
  <c r="H793" i="3" s="1"/>
  <c r="H794" i="3" a="1"/>
  <c r="H794" i="3" s="1"/>
  <c r="H795" i="3" a="1"/>
  <c r="H795" i="3" s="1"/>
  <c r="H796" i="3" a="1"/>
  <c r="H796" i="3" s="1"/>
  <c r="H797" i="3" a="1"/>
  <c r="H797" i="3" s="1"/>
  <c r="H798" i="3" a="1"/>
  <c r="H798" i="3"/>
  <c r="H799" i="3" a="1"/>
  <c r="H799" i="3" s="1"/>
  <c r="H800" i="3" a="1"/>
  <c r="H800" i="3" s="1"/>
  <c r="H801" i="3" a="1"/>
  <c r="H801" i="3" s="1"/>
  <c r="H802" i="3" a="1"/>
  <c r="H802" i="3"/>
  <c r="H803" i="3" a="1"/>
  <c r="H803" i="3" s="1"/>
  <c r="H804" i="3" a="1"/>
  <c r="H804" i="3" s="1"/>
  <c r="H805" i="3" a="1"/>
  <c r="H805" i="3" s="1"/>
  <c r="H806" i="3" a="1"/>
  <c r="H806" i="3" s="1"/>
  <c r="H807" i="3" a="1"/>
  <c r="H807" i="3" s="1"/>
  <c r="H808" i="3" a="1"/>
  <c r="H808" i="3" s="1"/>
  <c r="H809" i="3" a="1"/>
  <c r="H809" i="3" s="1"/>
  <c r="H810" i="3" a="1"/>
  <c r="H810" i="3" s="1"/>
  <c r="H811" i="3" a="1"/>
  <c r="H811" i="3" s="1"/>
  <c r="H812" i="3" a="1"/>
  <c r="H812" i="3"/>
  <c r="H813" i="3" a="1"/>
  <c r="H813" i="3" s="1"/>
  <c r="H814" i="3" a="1"/>
  <c r="H814" i="3" s="1"/>
  <c r="H815" i="3" a="1"/>
  <c r="H815" i="3" s="1"/>
  <c r="H816" i="3" a="1"/>
  <c r="H816" i="3" s="1"/>
  <c r="H817" i="3" a="1"/>
  <c r="H817" i="3" s="1"/>
  <c r="H818" i="3" a="1"/>
  <c r="H818" i="3"/>
  <c r="H819" i="3" a="1"/>
  <c r="H819" i="3"/>
  <c r="H820" i="3" a="1"/>
  <c r="H820" i="3" s="1"/>
  <c r="H821" i="3" a="1"/>
  <c r="H821" i="3" s="1"/>
  <c r="H822" i="3" a="1"/>
  <c r="H822" i="3" s="1"/>
  <c r="H823" i="3" a="1"/>
  <c r="H823" i="3" s="1"/>
  <c r="H824" i="3" a="1"/>
  <c r="H824" i="3" s="1"/>
  <c r="H825" i="3" a="1"/>
  <c r="H825" i="3" s="1"/>
  <c r="H826" i="3" a="1"/>
  <c r="H826" i="3" s="1"/>
  <c r="H827" i="3" a="1"/>
  <c r="H827" i="3" s="1"/>
  <c r="H828" i="3" a="1"/>
  <c r="H828" i="3" s="1"/>
  <c r="H829" i="3" a="1"/>
  <c r="H829" i="3"/>
  <c r="H830" i="3" a="1"/>
  <c r="H830" i="3" s="1"/>
  <c r="H831" i="3" a="1"/>
  <c r="H831" i="3" s="1"/>
  <c r="H832" i="3" a="1"/>
  <c r="H832" i="3" s="1"/>
  <c r="H833" i="3" a="1"/>
  <c r="H833" i="3" s="1"/>
  <c r="H834" i="3" a="1"/>
  <c r="H834" i="3" s="1"/>
  <c r="H835" i="3" a="1"/>
  <c r="H835" i="3" s="1"/>
  <c r="H836" i="3" a="1"/>
  <c r="H836" i="3"/>
  <c r="H837" i="3" a="1"/>
  <c r="H837" i="3" s="1"/>
  <c r="H838" i="3" a="1"/>
  <c r="H838" i="3" s="1"/>
  <c r="H839" i="3" a="1"/>
  <c r="H839" i="3" s="1"/>
  <c r="H840" i="3" a="1"/>
  <c r="H840" i="3" s="1"/>
  <c r="H841" i="3" a="1"/>
  <c r="H841" i="3" s="1"/>
  <c r="H842" i="3" a="1"/>
  <c r="H842" i="3" s="1"/>
  <c r="H843" i="3" a="1"/>
  <c r="H843" i="3" s="1"/>
  <c r="H844" i="3" a="1"/>
  <c r="H844" i="3" s="1"/>
  <c r="H845" i="3" a="1"/>
  <c r="H845" i="3" s="1"/>
  <c r="H846" i="3" a="1"/>
  <c r="H846" i="3" s="1"/>
  <c r="H847" i="3" a="1"/>
  <c r="H847" i="3" s="1"/>
  <c r="H848" i="3" a="1"/>
  <c r="H848" i="3" s="1"/>
  <c r="H849" i="3" a="1"/>
  <c r="H849" i="3" s="1"/>
  <c r="H850" i="3" a="1"/>
  <c r="H850" i="3" s="1"/>
  <c r="H851" i="3" a="1"/>
  <c r="H851" i="3" s="1"/>
  <c r="H852" i="3" a="1"/>
  <c r="H852" i="3" s="1"/>
  <c r="H853" i="3" a="1"/>
  <c r="H853" i="3" s="1"/>
  <c r="H854" i="3" a="1"/>
  <c r="H854" i="3" s="1"/>
  <c r="H855" i="3" a="1"/>
  <c r="H855" i="3" s="1"/>
  <c r="H856" i="3" a="1"/>
  <c r="H856" i="3" s="1"/>
  <c r="H857" i="3" a="1"/>
  <c r="H857" i="3" s="1"/>
  <c r="H858" i="3" a="1"/>
  <c r="H858" i="3" s="1"/>
  <c r="H859" i="3" a="1"/>
  <c r="H859" i="3" s="1"/>
  <c r="H860" i="3" a="1"/>
  <c r="H860" i="3" s="1"/>
  <c r="H861" i="3" a="1"/>
  <c r="H861" i="3" s="1"/>
  <c r="H862" i="3" a="1"/>
  <c r="H862" i="3" s="1"/>
  <c r="H863" i="3" a="1"/>
  <c r="H863" i="3" s="1"/>
  <c r="H864" i="3" a="1"/>
  <c r="H864" i="3" s="1"/>
  <c r="H865" i="3" a="1"/>
  <c r="H865" i="3" s="1"/>
  <c r="H866" i="3" a="1"/>
  <c r="H866" i="3" s="1"/>
  <c r="H867" i="3" a="1"/>
  <c r="H867" i="3" s="1"/>
  <c r="H868" i="3" a="1"/>
  <c r="H868" i="3" s="1"/>
  <c r="H869" i="3" a="1"/>
  <c r="H869" i="3" s="1"/>
  <c r="H870" i="3" a="1"/>
  <c r="H870" i="3" s="1"/>
  <c r="H871" i="3" a="1"/>
  <c r="H871" i="3"/>
  <c r="H872" i="3" a="1"/>
  <c r="H872" i="3" s="1"/>
  <c r="H873" i="3" a="1"/>
  <c r="H873" i="3" s="1"/>
  <c r="H874" i="3" a="1"/>
  <c r="H874" i="3" s="1"/>
  <c r="H875" i="3" a="1"/>
  <c r="H875" i="3" s="1"/>
  <c r="H876" i="3" a="1"/>
  <c r="H876" i="3" s="1"/>
  <c r="H877" i="3" a="1"/>
  <c r="H877" i="3" s="1"/>
  <c r="H878" i="3" a="1"/>
  <c r="H878" i="3" s="1"/>
  <c r="H879" i="3" a="1"/>
  <c r="H879" i="3" s="1"/>
  <c r="H880" i="3" a="1"/>
  <c r="H880" i="3" s="1"/>
  <c r="H881" i="3" a="1"/>
  <c r="H881" i="3" s="1"/>
  <c r="H882" i="3" a="1"/>
  <c r="H882" i="3" s="1"/>
  <c r="H883" i="3" a="1"/>
  <c r="H883" i="3" s="1"/>
  <c r="H884" i="3" a="1"/>
  <c r="H884" i="3" s="1"/>
  <c r="H885" i="3" a="1"/>
  <c r="H885" i="3" s="1"/>
  <c r="H886" i="3" a="1"/>
  <c r="H886" i="3" s="1"/>
  <c r="H887" i="3" a="1"/>
  <c r="H887" i="3" s="1"/>
  <c r="H888" i="3" a="1"/>
  <c r="H888" i="3" s="1"/>
  <c r="H889" i="3" a="1"/>
  <c r="H889" i="3"/>
  <c r="H890" i="3" a="1"/>
  <c r="H890" i="3" s="1"/>
  <c r="H891" i="3" a="1"/>
  <c r="H891" i="3" s="1"/>
  <c r="H892" i="3" a="1"/>
  <c r="H892" i="3"/>
  <c r="H893" i="3" a="1"/>
  <c r="H893" i="3" s="1"/>
  <c r="H894" i="3" a="1"/>
  <c r="H894" i="3" s="1"/>
  <c r="H895" i="3" a="1"/>
  <c r="H895" i="3" s="1"/>
  <c r="H896" i="3" a="1"/>
  <c r="H896" i="3" s="1"/>
  <c r="H897" i="3" a="1"/>
  <c r="H897" i="3" s="1"/>
  <c r="H898" i="3" a="1"/>
  <c r="H898" i="3" s="1"/>
  <c r="H899" i="3" a="1"/>
  <c r="H899" i="3" s="1"/>
  <c r="H900" i="3" a="1"/>
  <c r="H900" i="3" s="1"/>
  <c r="H901" i="3" a="1"/>
  <c r="H901" i="3" s="1"/>
  <c r="H902" i="3" a="1"/>
  <c r="H902" i="3" s="1"/>
  <c r="H903" i="3" a="1"/>
  <c r="H903" i="3" s="1"/>
  <c r="H904" i="3" a="1"/>
  <c r="H904" i="3" s="1"/>
  <c r="H905" i="3" a="1"/>
  <c r="H905" i="3" s="1"/>
  <c r="H906" i="3" a="1"/>
  <c r="H906" i="3" s="1"/>
  <c r="H907" i="3" a="1"/>
  <c r="H907" i="3" s="1"/>
  <c r="H908" i="3" a="1"/>
  <c r="H908" i="3" s="1"/>
  <c r="H909" i="3" a="1"/>
  <c r="H909" i="3" s="1"/>
  <c r="H910" i="3" a="1"/>
  <c r="H910" i="3" s="1"/>
  <c r="H911" i="3" a="1"/>
  <c r="H911" i="3" s="1"/>
  <c r="H912" i="3" a="1"/>
  <c r="H912" i="3" s="1"/>
  <c r="H913" i="3" a="1"/>
  <c r="H913" i="3" s="1"/>
  <c r="H914" i="3" a="1"/>
  <c r="H914" i="3" s="1"/>
  <c r="H915" i="3" a="1"/>
  <c r="H915" i="3" s="1"/>
  <c r="H916" i="3" a="1"/>
  <c r="H916" i="3" s="1"/>
  <c r="H917" i="3" a="1"/>
  <c r="H917" i="3" s="1"/>
  <c r="H918" i="3" a="1"/>
  <c r="H918" i="3" s="1"/>
  <c r="H919" i="3" a="1"/>
  <c r="H919" i="3" s="1"/>
  <c r="H920" i="3" a="1"/>
  <c r="H920" i="3" s="1"/>
  <c r="H921" i="3" a="1"/>
  <c r="H921" i="3" s="1"/>
  <c r="H922" i="3" a="1"/>
  <c r="H922" i="3" s="1"/>
  <c r="H923" i="3" a="1"/>
  <c r="H923" i="3" s="1"/>
  <c r="H924" i="3" a="1"/>
  <c r="H924" i="3" s="1"/>
  <c r="H925" i="3" a="1"/>
  <c r="H925" i="3" s="1"/>
  <c r="H926" i="3" a="1"/>
  <c r="H926" i="3"/>
  <c r="H927" i="3" a="1"/>
  <c r="H927" i="3" s="1"/>
  <c r="H928" i="3" a="1"/>
  <c r="H928" i="3" s="1"/>
  <c r="H929" i="3" a="1"/>
  <c r="H929" i="3" s="1"/>
  <c r="H930" i="3" a="1"/>
  <c r="H930" i="3" s="1"/>
  <c r="H931" i="3" a="1"/>
  <c r="H931" i="3" s="1"/>
  <c r="H932" i="3" a="1"/>
  <c r="H932" i="3"/>
  <c r="H933" i="3" a="1"/>
  <c r="H933" i="3"/>
  <c r="H934" i="3" a="1"/>
  <c r="H934" i="3" s="1"/>
  <c r="H935" i="3" a="1"/>
  <c r="H935" i="3" s="1"/>
  <c r="H936" i="3" a="1"/>
  <c r="H936" i="3" s="1"/>
  <c r="H937" i="3" a="1"/>
  <c r="H937" i="3" s="1"/>
  <c r="H938" i="3" a="1"/>
  <c r="H938" i="3" s="1"/>
  <c r="H939" i="3" a="1"/>
  <c r="H939" i="3" s="1"/>
  <c r="H940" i="3" a="1"/>
  <c r="H940" i="3" s="1"/>
  <c r="H941" i="3" a="1"/>
  <c r="H941" i="3" s="1"/>
  <c r="H942" i="3" a="1"/>
  <c r="H942" i="3" s="1"/>
  <c r="H943" i="3" a="1"/>
  <c r="H943" i="3" s="1"/>
  <c r="H944" i="3" a="1"/>
  <c r="H944" i="3" s="1"/>
  <c r="H945" i="3" a="1"/>
  <c r="H945" i="3" s="1"/>
  <c r="H946" i="3" a="1"/>
  <c r="H946" i="3" s="1"/>
  <c r="H947" i="3" a="1"/>
  <c r="H947" i="3" s="1"/>
  <c r="H948" i="3" a="1"/>
  <c r="H948" i="3" s="1"/>
  <c r="H949" i="3" a="1"/>
  <c r="H949" i="3" s="1"/>
  <c r="H950" i="3" a="1"/>
  <c r="H950" i="3" s="1"/>
  <c r="H951" i="3" a="1"/>
  <c r="H951" i="3" s="1"/>
  <c r="H952" i="3" a="1"/>
  <c r="H952" i="3" s="1"/>
  <c r="H953" i="3" a="1"/>
  <c r="H953" i="3" s="1"/>
  <c r="H954" i="3" a="1"/>
  <c r="H954" i="3" s="1"/>
  <c r="H955" i="3" a="1"/>
  <c r="H955" i="3" s="1"/>
  <c r="H956" i="3" a="1"/>
  <c r="H956" i="3" s="1"/>
  <c r="H957" i="3" a="1"/>
  <c r="H957" i="3" s="1"/>
  <c r="H958" i="3" a="1"/>
  <c r="H958" i="3" s="1"/>
  <c r="H959" i="3" a="1"/>
  <c r="H959" i="3" s="1"/>
  <c r="H960" i="3" a="1"/>
  <c r="H960" i="3" s="1"/>
  <c r="H961" i="3" a="1"/>
  <c r="H961" i="3" s="1"/>
  <c r="H962" i="3" a="1"/>
  <c r="H962" i="3" s="1"/>
  <c r="H963" i="3" a="1"/>
  <c r="H963" i="3" s="1"/>
  <c r="H964" i="3" a="1"/>
  <c r="H964" i="3" s="1"/>
  <c r="H965" i="3" a="1"/>
  <c r="H965" i="3" s="1"/>
  <c r="H966" i="3" a="1"/>
  <c r="H966" i="3" s="1"/>
  <c r="H967" i="3" a="1"/>
  <c r="H967" i="3" s="1"/>
  <c r="H968" i="3" a="1"/>
  <c r="H968" i="3" s="1"/>
  <c r="H969" i="3" a="1"/>
  <c r="H969" i="3" s="1"/>
  <c r="H970" i="3" a="1"/>
  <c r="H970" i="3" s="1"/>
  <c r="H971" i="3" a="1"/>
  <c r="H971" i="3" s="1"/>
  <c r="H972" i="3" a="1"/>
  <c r="H972" i="3" s="1"/>
  <c r="H973" i="3" a="1"/>
  <c r="H973" i="3" s="1"/>
  <c r="H974" i="3" a="1"/>
  <c r="H974" i="3" s="1"/>
  <c r="H975" i="3" a="1"/>
  <c r="H975" i="3" s="1"/>
  <c r="H976" i="3" a="1"/>
  <c r="H976" i="3" s="1"/>
  <c r="H977" i="3" a="1"/>
  <c r="H977" i="3" s="1"/>
  <c r="H978" i="3" a="1"/>
  <c r="H978" i="3" s="1"/>
  <c r="H979" i="3" a="1"/>
  <c r="H979" i="3" s="1"/>
  <c r="H980" i="3" a="1"/>
  <c r="H980" i="3" s="1"/>
  <c r="H981" i="3" a="1"/>
  <c r="H981" i="3" s="1"/>
  <c r="H982" i="3" a="1"/>
  <c r="H982" i="3" s="1"/>
  <c r="H983" i="3" a="1"/>
  <c r="H983" i="3" s="1"/>
  <c r="H984" i="3" a="1"/>
  <c r="H984" i="3" s="1"/>
  <c r="H985" i="3" a="1"/>
  <c r="H985" i="3" s="1"/>
  <c r="H986" i="3" a="1"/>
  <c r="H986" i="3" s="1"/>
  <c r="H987" i="3" a="1"/>
  <c r="H987" i="3" s="1"/>
  <c r="H988" i="3" a="1"/>
  <c r="H988" i="3" s="1"/>
  <c r="H989" i="3" a="1"/>
  <c r="H989" i="3" s="1"/>
  <c r="H990" i="3" a="1"/>
  <c r="H990" i="3" s="1"/>
  <c r="H991" i="3" a="1"/>
  <c r="H991" i="3" s="1"/>
  <c r="H992" i="3" a="1"/>
  <c r="H992" i="3" s="1"/>
  <c r="H993" i="3" a="1"/>
  <c r="H993" i="3" s="1"/>
  <c r="H994" i="3" a="1"/>
  <c r="H994" i="3" s="1"/>
  <c r="H995" i="3" a="1"/>
  <c r="H995" i="3" s="1"/>
  <c r="H996" i="3" a="1"/>
  <c r="H996" i="3" s="1"/>
  <c r="H997" i="3" a="1"/>
  <c r="H997" i="3" s="1"/>
  <c r="H998" i="3" a="1"/>
  <c r="H998" i="3" s="1"/>
  <c r="H999" i="3" a="1"/>
  <c r="H999" i="3" s="1"/>
  <c r="H1000" i="3" a="1"/>
  <c r="H1000" i="3" s="1"/>
  <c r="H1001" i="3" a="1"/>
  <c r="H1001" i="3" s="1"/>
  <c r="H1002" i="3" a="1"/>
  <c r="H1002" i="3" s="1"/>
  <c r="H1003" i="3" a="1"/>
  <c r="H1003" i="3" s="1"/>
  <c r="H1004" i="3" a="1"/>
  <c r="H1004" i="3" s="1"/>
  <c r="H1005" i="3" a="1"/>
  <c r="H1005" i="3" s="1"/>
  <c r="H1006" i="3" a="1"/>
  <c r="H1006" i="3" s="1"/>
  <c r="H1007" i="3" a="1"/>
  <c r="H1007" i="3" s="1"/>
  <c r="H1008" i="3" a="1"/>
  <c r="H1008" i="3" s="1"/>
  <c r="H1009" i="3" a="1"/>
  <c r="H1009" i="3" s="1"/>
  <c r="H1010" i="3" a="1"/>
  <c r="H1010" i="3" s="1"/>
  <c r="H1011" i="3" a="1"/>
  <c r="H1011" i="3"/>
  <c r="H1012" i="3" a="1"/>
  <c r="H1012" i="3" s="1"/>
  <c r="H1013" i="3" a="1"/>
  <c r="H1013" i="3" s="1"/>
  <c r="H1014" i="3" a="1"/>
  <c r="H1014" i="3" s="1"/>
  <c r="H1015" i="3" a="1"/>
  <c r="H1015" i="3" s="1"/>
  <c r="H1016" i="3" a="1"/>
  <c r="H1016" i="3" s="1"/>
  <c r="H1017" i="3" a="1"/>
  <c r="H1017" i="3" s="1"/>
  <c r="H1018" i="3" a="1"/>
  <c r="H1018" i="3" s="1"/>
  <c r="H1019" i="3" a="1"/>
  <c r="H1019" i="3" s="1"/>
  <c r="H1020" i="3" a="1"/>
  <c r="H1020" i="3" s="1"/>
  <c r="H1021" i="3" a="1"/>
  <c r="H1021" i="3" s="1"/>
  <c r="H1022" i="3" a="1"/>
  <c r="H1022" i="3"/>
  <c r="H1023" i="3" a="1"/>
  <c r="H1023" i="3" s="1"/>
  <c r="H1024" i="3" a="1"/>
  <c r="H1024" i="3" s="1"/>
  <c r="H1025" i="3" a="1"/>
  <c r="H1025" i="3" s="1"/>
  <c r="H1026" i="3" a="1"/>
  <c r="H1026" i="3" s="1"/>
  <c r="H1027" i="3" a="1"/>
  <c r="H1027" i="3" s="1"/>
  <c r="H1028" i="3" a="1"/>
  <c r="H1028" i="3" s="1"/>
  <c r="H1029" i="3" a="1"/>
  <c r="H1029" i="3" s="1"/>
  <c r="H1030" i="3" a="1"/>
  <c r="H1030" i="3" s="1"/>
  <c r="H1031" i="3" a="1"/>
  <c r="H1031" i="3" s="1"/>
  <c r="H1032" i="3" a="1"/>
  <c r="H1032" i="3" s="1"/>
  <c r="H1033" i="3" a="1"/>
  <c r="H1033" i="3"/>
  <c r="H1034" i="3" a="1"/>
  <c r="H1034" i="3" s="1"/>
  <c r="H1035" i="3" a="1"/>
  <c r="H1035" i="3" s="1"/>
  <c r="H1036" i="3" a="1"/>
  <c r="H1036" i="3" s="1"/>
  <c r="H1037" i="3" a="1"/>
  <c r="H1037" i="3" s="1"/>
  <c r="H1038" i="3" a="1"/>
  <c r="H1038" i="3" s="1"/>
  <c r="H1039" i="3" a="1"/>
  <c r="H1039" i="3" s="1"/>
  <c r="H1040" i="3" a="1"/>
  <c r="H1040" i="3" s="1"/>
  <c r="H1041" i="3" a="1"/>
  <c r="H1041" i="3" s="1"/>
  <c r="H1042" i="3" a="1"/>
  <c r="H1042" i="3" s="1"/>
  <c r="H1043" i="3" a="1"/>
  <c r="H1043" i="3" s="1"/>
  <c r="H1044" i="3" a="1"/>
  <c r="H1044" i="3" s="1"/>
  <c r="H1045" i="3" a="1"/>
  <c r="H1045" i="3" s="1"/>
  <c r="H1046" i="3" a="1"/>
  <c r="H1046" i="3" s="1"/>
  <c r="H1047" i="3" a="1"/>
  <c r="H1047" i="3" s="1"/>
  <c r="H1048" i="3" a="1"/>
  <c r="H1048" i="3" s="1"/>
  <c r="H1049" i="3" a="1"/>
  <c r="H1049" i="3" s="1"/>
  <c r="H1050" i="3" a="1"/>
  <c r="H1050" i="3" s="1"/>
  <c r="H1051" i="3" a="1"/>
  <c r="H1051" i="3" s="1"/>
  <c r="H1052" i="3" a="1"/>
  <c r="H1052" i="3" s="1"/>
  <c r="H1053" i="3" a="1"/>
  <c r="H1053" i="3" s="1"/>
  <c r="H1054" i="3" a="1"/>
  <c r="H1054" i="3" s="1"/>
  <c r="H1055" i="3" a="1"/>
  <c r="H1055" i="3" s="1"/>
  <c r="H1056" i="3" a="1"/>
  <c r="H1056" i="3" s="1"/>
  <c r="H1057" i="3" a="1"/>
  <c r="H1057" i="3" s="1"/>
  <c r="H1058" i="3" a="1"/>
  <c r="H1058" i="3" s="1"/>
  <c r="H1059" i="3" a="1"/>
  <c r="H1059" i="3" s="1"/>
  <c r="H1060" i="3" a="1"/>
  <c r="H1060" i="3" s="1"/>
  <c r="H1061" i="3" a="1"/>
  <c r="H1061" i="3" s="1"/>
  <c r="H1062" i="3" a="1"/>
  <c r="H1062" i="3" s="1"/>
  <c r="H1063" i="3" a="1"/>
  <c r="H1063" i="3"/>
  <c r="H1064" i="3" a="1"/>
  <c r="H1064" i="3" s="1"/>
  <c r="H1065" i="3" a="1"/>
  <c r="H1065" i="3" s="1"/>
  <c r="H1066" i="3" a="1"/>
  <c r="H1066" i="3"/>
  <c r="H1067" i="3" a="1"/>
  <c r="H1067" i="3" s="1"/>
  <c r="H1068" i="3" a="1"/>
  <c r="H1068" i="3" s="1"/>
  <c r="H1069" i="3" a="1"/>
  <c r="H1069" i="3" s="1"/>
  <c r="H1070" i="3" a="1"/>
  <c r="H1070" i="3" s="1"/>
  <c r="H1071" i="3" a="1"/>
  <c r="H1071" i="3" s="1"/>
  <c r="H1072" i="3" a="1"/>
  <c r="H1072" i="3" s="1"/>
  <c r="H1073" i="3" a="1"/>
  <c r="H1073" i="3" s="1"/>
  <c r="H1074" i="3" a="1"/>
  <c r="H1074" i="3" s="1"/>
  <c r="H1075" i="3" a="1"/>
  <c r="H1075" i="3" s="1"/>
  <c r="H1076" i="3" a="1"/>
  <c r="H1076" i="3" s="1"/>
  <c r="H1077" i="3" a="1"/>
  <c r="H1077" i="3" s="1"/>
  <c r="H1078" i="3" a="1"/>
  <c r="H1078" i="3" s="1"/>
  <c r="H1079" i="3" a="1"/>
  <c r="H1079" i="3" s="1"/>
  <c r="H1080" i="3" a="1"/>
  <c r="H1080" i="3" s="1"/>
  <c r="H1081" i="3" a="1"/>
  <c r="H1081" i="3" s="1"/>
  <c r="H1082" i="3" a="1"/>
  <c r="H1082" i="3" s="1"/>
  <c r="H1083" i="3" a="1"/>
  <c r="H1083" i="3" s="1"/>
  <c r="H1084" i="3" a="1"/>
  <c r="H1084" i="3" s="1"/>
  <c r="H1085" i="3" a="1"/>
  <c r="H1085" i="3" s="1"/>
  <c r="H1086" i="3" a="1"/>
  <c r="H1086" i="3" s="1"/>
  <c r="H1087" i="3" a="1"/>
  <c r="H1087" i="3" s="1"/>
  <c r="H1088" i="3" a="1"/>
  <c r="H1088" i="3" s="1"/>
  <c r="H1089" i="3" a="1"/>
  <c r="H1089" i="3" s="1"/>
  <c r="H1090" i="3" a="1"/>
  <c r="H1090" i="3" s="1"/>
  <c r="H1091" i="3" a="1"/>
  <c r="H1091" i="3" s="1"/>
  <c r="H1092" i="3" a="1"/>
  <c r="H1092" i="3" s="1"/>
  <c r="H1093" i="3" a="1"/>
  <c r="H1093" i="3" s="1"/>
  <c r="H1094" i="3" a="1"/>
  <c r="H1094" i="3" s="1"/>
  <c r="H1095" i="3" a="1"/>
  <c r="H1095" i="3" s="1"/>
  <c r="H1096" i="3" a="1"/>
  <c r="H1096" i="3" s="1"/>
  <c r="H1097" i="3" a="1"/>
  <c r="H1097" i="3" s="1"/>
  <c r="H1098" i="3" a="1"/>
  <c r="H1098" i="3" s="1"/>
  <c r="H1099" i="3" a="1"/>
  <c r="H1099" i="3" s="1"/>
  <c r="H1100" i="3" a="1"/>
  <c r="H1100" i="3" s="1"/>
  <c r="H1101" i="3" a="1"/>
  <c r="H1101" i="3" s="1"/>
  <c r="H1102" i="3" a="1"/>
  <c r="H1102" i="3" s="1"/>
  <c r="H1103" i="3" a="1"/>
  <c r="H1103" i="3" s="1"/>
  <c r="H1104" i="3" a="1"/>
  <c r="H1104" i="3" s="1"/>
  <c r="H1105" i="3" a="1"/>
  <c r="H1105" i="3" s="1"/>
  <c r="H1106" i="3" a="1"/>
  <c r="H1106" i="3" s="1"/>
  <c r="H1107" i="3" a="1"/>
  <c r="H1107" i="3" s="1"/>
  <c r="H1108" i="3" a="1"/>
  <c r="H1108" i="3"/>
  <c r="H1109" i="3" a="1"/>
  <c r="H1109" i="3" s="1"/>
  <c r="H1110" i="3" a="1"/>
  <c r="H1110" i="3"/>
  <c r="H1111" i="3" a="1"/>
  <c r="H1111" i="3" s="1"/>
  <c r="H1112" i="3" a="1"/>
  <c r="H1112" i="3" s="1"/>
  <c r="H1113" i="3" a="1"/>
  <c r="H1113" i="3" s="1"/>
  <c r="H1114" i="3" a="1"/>
  <c r="H1114" i="3" s="1"/>
  <c r="H1115" i="3" a="1"/>
  <c r="H1115" i="3" s="1"/>
  <c r="H1116" i="3" a="1"/>
  <c r="H1116" i="3" s="1"/>
  <c r="H1117" i="3" a="1"/>
  <c r="H1117" i="3" s="1"/>
  <c r="H1118" i="3" a="1"/>
  <c r="H1118" i="3" s="1"/>
  <c r="H1119" i="3" a="1"/>
  <c r="H1119" i="3" s="1"/>
  <c r="H1120" i="3" a="1"/>
  <c r="H1120" i="3" s="1"/>
  <c r="H1121" i="3" a="1"/>
  <c r="H1121" i="3" s="1"/>
  <c r="H1122" i="3" a="1"/>
  <c r="H1122" i="3" s="1"/>
  <c r="H1123" i="3" a="1"/>
  <c r="H1123" i="3" s="1"/>
  <c r="H1124" i="3" a="1"/>
  <c r="H1124" i="3" s="1"/>
  <c r="H1125" i="3" a="1"/>
  <c r="H1125" i="3" s="1"/>
  <c r="H1126" i="3" a="1"/>
  <c r="H1126" i="3" s="1"/>
  <c r="H1127" i="3" a="1"/>
  <c r="H1127" i="3" s="1"/>
  <c r="H1128" i="3" a="1"/>
  <c r="H1128" i="3" s="1"/>
  <c r="H1129" i="3" a="1"/>
  <c r="H1129" i="3" s="1"/>
  <c r="H1130" i="3" a="1"/>
  <c r="H1130" i="3"/>
  <c r="H1131" i="3" a="1"/>
  <c r="H1131" i="3" s="1"/>
  <c r="H1132" i="3" a="1"/>
  <c r="H1132" i="3" s="1"/>
  <c r="H1133" i="3" a="1"/>
  <c r="H1133" i="3" s="1"/>
  <c r="H1134" i="3" a="1"/>
  <c r="H1134" i="3" s="1"/>
  <c r="H1135" i="3" a="1"/>
  <c r="H1135" i="3" s="1"/>
  <c r="H1136" i="3" a="1"/>
  <c r="H1136" i="3" s="1"/>
  <c r="H1137" i="3" a="1"/>
  <c r="H1137" i="3" s="1"/>
  <c r="H1138" i="3" a="1"/>
  <c r="H1138" i="3"/>
  <c r="H1139" i="3" a="1"/>
  <c r="H1139" i="3" s="1"/>
  <c r="H1140" i="3" a="1"/>
  <c r="H1140" i="3" s="1"/>
  <c r="H1141" i="3" a="1"/>
  <c r="H1141" i="3" s="1"/>
  <c r="H1142" i="3" a="1"/>
  <c r="H1142" i="3" s="1"/>
  <c r="H1143" i="3" a="1"/>
  <c r="H1143" i="3" s="1"/>
  <c r="H1144" i="3" a="1"/>
  <c r="H1144" i="3"/>
  <c r="H1145" i="3" a="1"/>
  <c r="H1145" i="3" s="1"/>
  <c r="H1146" i="3" a="1"/>
  <c r="H1146" i="3" s="1"/>
  <c r="H1147" i="3" a="1"/>
  <c r="H1147" i="3" s="1"/>
  <c r="H1148" i="3" a="1"/>
  <c r="H1148" i="3"/>
  <c r="H1149" i="3" a="1"/>
  <c r="H1149" i="3" s="1"/>
  <c r="H1150" i="3" a="1"/>
  <c r="H1150" i="3" s="1"/>
  <c r="H1151" i="3" a="1"/>
  <c r="H1151" i="3" s="1"/>
  <c r="H1152" i="3" a="1"/>
  <c r="H1152" i="3" s="1"/>
  <c r="H1153" i="3" a="1"/>
  <c r="H1153" i="3" s="1"/>
  <c r="H1154" i="3" a="1"/>
  <c r="H1154" i="3"/>
  <c r="H1155" i="3" a="1"/>
  <c r="H1155" i="3" s="1"/>
  <c r="H1156" i="3" a="1"/>
  <c r="H1156" i="3" s="1"/>
  <c r="H1157" i="3" a="1"/>
  <c r="H1157" i="3" s="1"/>
  <c r="H1158" i="3" a="1"/>
  <c r="H1158" i="3" s="1"/>
  <c r="H1159" i="3" a="1"/>
  <c r="H1159" i="3" s="1"/>
  <c r="H1160" i="3" a="1"/>
  <c r="H1160" i="3" s="1"/>
  <c r="H1161" i="3" a="1"/>
  <c r="H1161" i="3" s="1"/>
  <c r="H1162" i="3" a="1"/>
  <c r="H1162" i="3" s="1"/>
  <c r="H1163" i="3" a="1"/>
  <c r="H1163" i="3" s="1"/>
  <c r="H1164" i="3" a="1"/>
  <c r="H1164" i="3" s="1"/>
  <c r="H1165" i="3" a="1"/>
  <c r="H1165" i="3" s="1"/>
  <c r="H1166" i="3" a="1"/>
  <c r="H1166" i="3" s="1"/>
  <c r="H1167" i="3" a="1"/>
  <c r="H1167" i="3" s="1"/>
  <c r="H1168" i="3" a="1"/>
  <c r="H1168" i="3" s="1"/>
  <c r="H1169" i="3" a="1"/>
  <c r="H1169" i="3" s="1"/>
  <c r="H1170" i="3" a="1"/>
  <c r="H1170" i="3" s="1"/>
  <c r="H1171" i="3" a="1"/>
  <c r="H1171" i="3" s="1"/>
  <c r="H1172" i="3" a="1"/>
  <c r="H1172" i="3"/>
  <c r="H1173" i="3" a="1"/>
  <c r="H1173" i="3" s="1"/>
  <c r="H1174" i="3" a="1"/>
  <c r="H1174" i="3" s="1"/>
  <c r="H1175" i="3" a="1"/>
  <c r="H1175" i="3" s="1"/>
  <c r="H1176" i="3" a="1"/>
  <c r="H1176" i="3" s="1"/>
  <c r="H1177" i="3" a="1"/>
  <c r="H1177" i="3" s="1"/>
  <c r="H1178" i="3" a="1"/>
  <c r="H1178" i="3" s="1"/>
  <c r="H1179" i="3" a="1"/>
  <c r="H1179" i="3" s="1"/>
  <c r="H1180" i="3" a="1"/>
  <c r="H1180" i="3"/>
  <c r="H1181" i="3" a="1"/>
  <c r="H1181" i="3" s="1"/>
  <c r="H1182" i="3" a="1"/>
  <c r="H1182" i="3"/>
  <c r="H1183" i="3" a="1"/>
  <c r="H1183" i="3" s="1"/>
  <c r="H1184" i="3" a="1"/>
  <c r="H1184" i="3" s="1"/>
  <c r="H1185" i="3" a="1"/>
  <c r="H1185" i="3" s="1"/>
  <c r="H1186" i="3" a="1"/>
  <c r="H1186" i="3" s="1"/>
  <c r="H1187" i="3" a="1"/>
  <c r="H1187" i="3" s="1"/>
  <c r="H1188" i="3" a="1"/>
  <c r="H1188" i="3" s="1"/>
  <c r="H1189" i="3" a="1"/>
  <c r="H1189" i="3"/>
  <c r="H1190" i="3" a="1"/>
  <c r="H1190" i="3" s="1"/>
  <c r="H1191" i="3" a="1"/>
  <c r="H1191" i="3" s="1"/>
  <c r="H1192" i="3" a="1"/>
  <c r="H1192" i="3" s="1"/>
  <c r="H1193" i="3" a="1"/>
  <c r="H1193" i="3" s="1"/>
  <c r="H1194" i="3" a="1"/>
  <c r="H1194" i="3" s="1"/>
  <c r="H1195" i="3" a="1"/>
  <c r="H1195" i="3" s="1"/>
  <c r="H1196" i="3" a="1"/>
  <c r="H1196" i="3" s="1"/>
  <c r="H1197" i="3" a="1"/>
  <c r="H1197" i="3" s="1"/>
  <c r="H1198" i="3" a="1"/>
  <c r="H1198" i="3"/>
  <c r="H1199" i="3" a="1"/>
  <c r="H1199" i="3" s="1"/>
  <c r="H1200" i="3" a="1"/>
  <c r="H1200" i="3" s="1"/>
  <c r="H1201" i="3" a="1"/>
  <c r="H1201" i="3" s="1"/>
  <c r="H1202" i="3" a="1"/>
  <c r="H1202" i="3" s="1"/>
  <c r="H1203" i="3" a="1"/>
  <c r="H1203" i="3" s="1"/>
  <c r="H1204" i="3" a="1"/>
  <c r="H1204" i="3" s="1"/>
  <c r="H1205" i="3" a="1"/>
  <c r="H1205" i="3" s="1"/>
  <c r="H1206" i="3" a="1"/>
  <c r="H1206" i="3" s="1"/>
  <c r="H1207" i="3" a="1"/>
  <c r="H1207" i="3"/>
  <c r="H1208" i="3" a="1"/>
  <c r="H1208" i="3" s="1"/>
  <c r="H1209" i="3" a="1"/>
  <c r="H1209" i="3" s="1"/>
  <c r="H1210" i="3" a="1"/>
  <c r="H1210" i="3" s="1"/>
  <c r="H1211" i="3" a="1"/>
  <c r="H1211" i="3" s="1"/>
  <c r="H1212" i="3" a="1"/>
  <c r="H1212" i="3" s="1"/>
  <c r="H1213" i="3" a="1"/>
  <c r="H1213" i="3" s="1"/>
  <c r="H1214" i="3" a="1"/>
  <c r="H1214" i="3" s="1"/>
  <c r="H1215" i="3" a="1"/>
  <c r="H1215" i="3" s="1"/>
  <c r="H1216" i="3" a="1"/>
  <c r="H1216" i="3" s="1"/>
  <c r="H1217" i="3" a="1"/>
  <c r="H1217" i="3" s="1"/>
  <c r="H1218" i="3" a="1"/>
  <c r="H1218" i="3"/>
  <c r="H1219" i="3" a="1"/>
  <c r="H1219" i="3" s="1"/>
  <c r="H1220" i="3" a="1"/>
  <c r="H1220" i="3"/>
  <c r="H1221" i="3" a="1"/>
  <c r="H1221" i="3" s="1"/>
  <c r="H1222" i="3" a="1"/>
  <c r="H1222" i="3" s="1"/>
  <c r="H1223" i="3" a="1"/>
  <c r="H1223" i="3" s="1"/>
  <c r="H1224" i="3" a="1"/>
  <c r="H1224" i="3" s="1"/>
  <c r="H1225" i="3" a="1"/>
  <c r="H1225" i="3" s="1"/>
  <c r="H1226" i="3" a="1"/>
  <c r="H1226" i="3"/>
  <c r="H1227" i="3" a="1"/>
  <c r="H1227" i="3"/>
  <c r="H1228" i="3" a="1"/>
  <c r="H1228" i="3"/>
  <c r="H1229" i="3" a="1"/>
  <c r="H1229" i="3" s="1"/>
  <c r="H1230" i="3" a="1"/>
  <c r="H1230" i="3" s="1"/>
  <c r="H1231" i="3" a="1"/>
  <c r="H1231" i="3" s="1"/>
  <c r="H1232" i="3" a="1"/>
  <c r="H1232" i="3" s="1"/>
  <c r="H1233" i="3" a="1"/>
  <c r="H1233" i="3" s="1"/>
  <c r="H1234" i="3" a="1"/>
  <c r="H1234" i="3"/>
  <c r="H1235" i="3" a="1"/>
  <c r="H1235" i="3" s="1"/>
  <c r="H1236" i="3" a="1"/>
  <c r="H1236" i="3"/>
  <c r="H1237" i="3" a="1"/>
  <c r="H1237" i="3" s="1"/>
  <c r="H1238" i="3" a="1"/>
  <c r="H1238" i="3" s="1"/>
  <c r="H1239" i="3" a="1"/>
  <c r="H1239" i="3" s="1"/>
  <c r="H1240" i="3" a="1"/>
  <c r="H1240" i="3" s="1"/>
  <c r="H1241" i="3" a="1"/>
  <c r="H1241" i="3" s="1"/>
  <c r="H1242" i="3" a="1"/>
  <c r="H1242" i="3" s="1"/>
  <c r="H1243" i="3" a="1"/>
  <c r="H1243" i="3" s="1"/>
  <c r="H1244" i="3" a="1"/>
  <c r="H1244" i="3" s="1"/>
  <c r="H1245" i="3" a="1"/>
  <c r="H1245" i="3" s="1"/>
  <c r="H1246" i="3" a="1"/>
  <c r="H1246" i="3"/>
  <c r="H1247" i="3" a="1"/>
  <c r="H1247" i="3" s="1"/>
  <c r="H1248" i="3" a="1"/>
  <c r="H1248" i="3"/>
  <c r="H1249" i="3" a="1"/>
  <c r="H1249" i="3" s="1"/>
  <c r="H1250" i="3" a="1"/>
  <c r="H1250" i="3" s="1"/>
  <c r="H1251" i="3" a="1"/>
  <c r="H1251" i="3" s="1"/>
  <c r="H1252" i="3" a="1"/>
  <c r="H1252" i="3" s="1"/>
  <c r="H1253" i="3" a="1"/>
  <c r="H1253" i="3" s="1"/>
  <c r="H1254" i="3" a="1"/>
  <c r="H1254" i="3"/>
  <c r="H1255" i="3" a="1"/>
  <c r="H1255" i="3" s="1"/>
  <c r="H1256" i="3" a="1"/>
  <c r="H1256" i="3" s="1"/>
  <c r="H1257" i="3" a="1"/>
  <c r="H1257" i="3" s="1"/>
  <c r="H1258" i="3" a="1"/>
  <c r="H1258" i="3" s="1"/>
  <c r="H1259" i="3" a="1"/>
  <c r="H1259" i="3" s="1"/>
  <c r="H1260" i="3" a="1"/>
  <c r="H1260" i="3" s="1"/>
  <c r="H1261" i="3" a="1"/>
  <c r="H1261" i="3" s="1"/>
  <c r="H1262" i="3" a="1"/>
  <c r="H1262" i="3" s="1"/>
  <c r="H1263" i="3" a="1"/>
  <c r="H1263" i="3" s="1"/>
  <c r="H1264" i="3" a="1"/>
  <c r="H1264" i="3" s="1"/>
  <c r="H1265" i="3" a="1"/>
  <c r="H1265" i="3" s="1"/>
  <c r="H1266" i="3" a="1"/>
  <c r="H1266" i="3" s="1"/>
  <c r="H1267" i="3" a="1"/>
  <c r="H1267" i="3" s="1"/>
  <c r="H1268" i="3" a="1"/>
  <c r="H1268" i="3" s="1"/>
  <c r="H1269" i="3" a="1"/>
  <c r="H1269" i="3" s="1"/>
  <c r="H1270" i="3" a="1"/>
  <c r="H1270" i="3" s="1"/>
  <c r="H1271" i="3" a="1"/>
  <c r="H1271" i="3" s="1"/>
  <c r="H1272" i="3" a="1"/>
  <c r="H1272" i="3" s="1"/>
  <c r="H1273" i="3" a="1"/>
  <c r="H1273" i="3" s="1"/>
  <c r="H1274" i="3" a="1"/>
  <c r="H1274" i="3" s="1"/>
  <c r="H1275" i="3" a="1"/>
  <c r="H1275" i="3" s="1"/>
  <c r="H1276" i="3" a="1"/>
  <c r="H1276" i="3" s="1"/>
  <c r="H1277" i="3" a="1"/>
  <c r="H1277" i="3" s="1"/>
  <c r="H1278" i="3" a="1"/>
  <c r="H1278" i="3" s="1"/>
  <c r="H1279" i="3" a="1"/>
  <c r="H1279" i="3"/>
  <c r="H1280" i="3" a="1"/>
  <c r="H1280" i="3" s="1"/>
  <c r="H1281" i="3" a="1"/>
  <c r="H1281" i="3" s="1"/>
  <c r="H1282" i="3" a="1"/>
  <c r="H1282" i="3" s="1"/>
  <c r="H1283" i="3" a="1"/>
  <c r="H1283" i="3"/>
  <c r="H1284" i="3" a="1"/>
  <c r="H1284" i="3" s="1"/>
  <c r="H1285" i="3" a="1"/>
  <c r="H1285" i="3"/>
  <c r="H1286" i="3" a="1"/>
  <c r="H1286" i="3" s="1"/>
  <c r="H1287" i="3" a="1"/>
  <c r="H1287" i="3" s="1"/>
  <c r="H1288" i="3" a="1"/>
  <c r="H1288" i="3" s="1"/>
  <c r="H1289" i="3" a="1"/>
  <c r="H1289" i="3" s="1"/>
  <c r="H1290" i="3" a="1"/>
  <c r="H1290" i="3" s="1"/>
  <c r="H1291" i="3" a="1"/>
  <c r="H1291" i="3" s="1"/>
  <c r="H1292" i="3" a="1"/>
  <c r="H1292" i="3"/>
  <c r="H1293" i="3" a="1"/>
  <c r="H1293" i="3" s="1"/>
  <c r="H1294" i="3" a="1"/>
  <c r="H1294" i="3" s="1"/>
  <c r="H1295" i="3" a="1"/>
  <c r="H1295" i="3" s="1"/>
  <c r="H1296" i="3" a="1"/>
  <c r="H1296" i="3" s="1"/>
  <c r="H1297" i="3" a="1"/>
  <c r="H1297" i="3" s="1"/>
  <c r="H1298" i="3" a="1"/>
  <c r="H1298" i="3" s="1"/>
  <c r="H1299" i="3" a="1"/>
  <c r="H1299" i="3"/>
  <c r="H1300" i="3" a="1"/>
  <c r="H1300" i="3" s="1"/>
  <c r="H1301" i="3" a="1"/>
  <c r="H1301" i="3" s="1"/>
  <c r="H1302" i="3" a="1"/>
  <c r="H1302" i="3" s="1"/>
  <c r="H1303" i="3" a="1"/>
  <c r="H1303" i="3" s="1"/>
  <c r="H1304" i="3" a="1"/>
  <c r="H1304" i="3" s="1"/>
  <c r="H1305" i="3" a="1"/>
  <c r="H1305" i="3" s="1"/>
  <c r="H1306" i="3" a="1"/>
  <c r="H1306" i="3"/>
  <c r="H1307" i="3" a="1"/>
  <c r="H1307" i="3" s="1"/>
  <c r="H1308" i="3" a="1"/>
  <c r="H1308" i="3" s="1"/>
  <c r="H1309" i="3" a="1"/>
  <c r="H1309" i="3" s="1"/>
  <c r="H1310" i="3" a="1"/>
  <c r="H1310" i="3" s="1"/>
  <c r="H1311" i="3" a="1"/>
  <c r="H1311" i="3" s="1"/>
  <c r="H1312" i="3" a="1"/>
  <c r="H1312" i="3" s="1"/>
  <c r="H1313" i="3" a="1"/>
  <c r="H1313" i="3" s="1"/>
  <c r="H1314" i="3" a="1"/>
  <c r="H1314" i="3" s="1"/>
  <c r="H1315" i="3" a="1"/>
  <c r="H1315" i="3" s="1"/>
  <c r="H1316" i="3" a="1"/>
  <c r="H1316" i="3"/>
  <c r="H1317" i="3" a="1"/>
  <c r="H1317" i="3"/>
  <c r="H1318" i="3" a="1"/>
  <c r="H1318" i="3" s="1"/>
  <c r="H1319" i="3" a="1"/>
  <c r="H1319" i="3" s="1"/>
  <c r="H1320" i="3" a="1"/>
  <c r="H1320" i="3" s="1"/>
  <c r="H1321" i="3" a="1"/>
  <c r="H1321" i="3" s="1"/>
  <c r="H1322" i="3" a="1"/>
  <c r="H1322" i="3" s="1"/>
  <c r="H1323" i="3" a="1"/>
  <c r="H1323" i="3" s="1"/>
  <c r="H1324" i="3" a="1"/>
  <c r="H1324" i="3"/>
  <c r="H1325" i="3" a="1"/>
  <c r="H1325" i="3"/>
  <c r="H1326" i="3" a="1"/>
  <c r="H1326" i="3" s="1"/>
  <c r="H1327" i="3" a="1"/>
  <c r="H1327" i="3" s="1"/>
  <c r="H1328" i="3" a="1"/>
  <c r="H1328" i="3" s="1"/>
  <c r="H1329" i="3" a="1"/>
  <c r="H1329" i="3" s="1"/>
  <c r="H1330" i="3" a="1"/>
  <c r="H1330" i="3" s="1"/>
  <c r="H1331" i="3" a="1"/>
  <c r="H1331" i="3" s="1"/>
  <c r="H1332" i="3" a="1"/>
  <c r="H1332" i="3" s="1"/>
  <c r="H1333" i="3" a="1"/>
  <c r="H1333" i="3" s="1"/>
  <c r="H1334" i="3" a="1"/>
  <c r="H1334" i="3" s="1"/>
  <c r="H1335" i="3" a="1"/>
  <c r="H1335" i="3" s="1"/>
  <c r="H1336" i="3" a="1"/>
  <c r="H1336" i="3" s="1"/>
  <c r="H1337" i="3" a="1"/>
  <c r="H1337" i="3" s="1"/>
  <c r="H1338" i="3" a="1"/>
  <c r="H1338" i="3" s="1"/>
  <c r="H1339" i="3" a="1"/>
  <c r="H1339" i="3"/>
  <c r="H1340" i="3" a="1"/>
  <c r="H1340" i="3" s="1"/>
  <c r="H1341" i="3" a="1"/>
  <c r="H1341" i="3" s="1"/>
  <c r="H1342" i="3" a="1"/>
  <c r="H1342" i="3" s="1"/>
  <c r="H1343" i="3" a="1"/>
  <c r="H1343" i="3" s="1"/>
  <c r="H1344" i="3" a="1"/>
  <c r="H1344" i="3" s="1"/>
  <c r="H1345" i="3" a="1"/>
  <c r="H1345" i="3" s="1"/>
  <c r="H1346" i="3" a="1"/>
  <c r="H1346" i="3"/>
  <c r="H1347" i="3" a="1"/>
  <c r="H1347" i="3" s="1"/>
  <c r="H1348" i="3" a="1"/>
  <c r="H1348" i="3" s="1"/>
  <c r="H1349" i="3" a="1"/>
  <c r="H1349" i="3" s="1"/>
  <c r="H1350" i="3" a="1"/>
  <c r="H1350" i="3" s="1"/>
  <c r="H1351" i="3" a="1"/>
  <c r="H1351" i="3" s="1"/>
  <c r="H1352" i="3" a="1"/>
  <c r="H1352" i="3" s="1"/>
  <c r="H1353" i="3" a="1"/>
  <c r="H1353" i="3"/>
  <c r="H1354" i="3" a="1"/>
  <c r="H1354" i="3" s="1"/>
  <c r="H1355" i="3" a="1"/>
  <c r="H1355" i="3" s="1"/>
  <c r="H1356" i="3" a="1"/>
  <c r="H1356" i="3" s="1"/>
  <c r="H1357" i="3" a="1"/>
  <c r="H1357" i="3" s="1"/>
  <c r="H1358" i="3" a="1"/>
  <c r="H1358" i="3" s="1"/>
  <c r="H1359" i="3" a="1"/>
  <c r="H1359" i="3" s="1"/>
  <c r="H1360" i="3" a="1"/>
  <c r="H1360" i="3" s="1"/>
  <c r="H1361" i="3" a="1"/>
  <c r="H1361" i="3"/>
  <c r="H1362" i="3" a="1"/>
  <c r="H1362" i="3" s="1"/>
  <c r="H1363" i="3" a="1"/>
  <c r="H1363" i="3"/>
  <c r="H1364" i="3" a="1"/>
  <c r="H1364" i="3" s="1"/>
  <c r="H1365" i="3" a="1"/>
  <c r="H1365" i="3" s="1"/>
  <c r="H1366" i="3" a="1"/>
  <c r="H1366" i="3" s="1"/>
  <c r="H1367" i="3" a="1"/>
  <c r="H1367" i="3" s="1"/>
  <c r="H1368" i="3" a="1"/>
  <c r="H1368" i="3" s="1"/>
  <c r="H1369" i="3" a="1"/>
  <c r="H1369" i="3" s="1"/>
  <c r="H1370" i="3" a="1"/>
  <c r="H1370" i="3" s="1"/>
  <c r="H1371" i="3" a="1"/>
  <c r="H1371" i="3"/>
  <c r="H1372" i="3" a="1"/>
  <c r="H1372" i="3" s="1"/>
  <c r="H1373" i="3" a="1"/>
  <c r="H1373" i="3" s="1"/>
  <c r="H1374" i="3" a="1"/>
  <c r="H1374" i="3" s="1"/>
  <c r="H1375" i="3" a="1"/>
  <c r="H1375" i="3" s="1"/>
  <c r="H1376" i="3" a="1"/>
  <c r="H1376" i="3" s="1"/>
  <c r="H1377" i="3" a="1"/>
  <c r="H1377" i="3" s="1"/>
  <c r="H1378" i="3" a="1"/>
  <c r="H1378" i="3"/>
  <c r="H1379" i="3" a="1"/>
  <c r="H1379" i="3" s="1"/>
  <c r="H1380" i="3" a="1"/>
  <c r="H1380" i="3" s="1"/>
  <c r="H1381" i="3" a="1"/>
  <c r="H1381" i="3" s="1"/>
  <c r="H1382" i="3" a="1"/>
  <c r="H1382" i="3" s="1"/>
  <c r="H1383" i="3" a="1"/>
  <c r="H1383" i="3" s="1"/>
  <c r="H1384" i="3" a="1"/>
  <c r="H1384" i="3" s="1"/>
  <c r="H1385" i="3" a="1"/>
  <c r="H1385" i="3" s="1"/>
  <c r="H1386" i="3" a="1"/>
  <c r="H1386" i="3" s="1"/>
  <c r="H1387" i="3" a="1"/>
  <c r="H1387" i="3" s="1"/>
  <c r="H1388" i="3" a="1"/>
  <c r="H1388" i="3"/>
  <c r="H1389" i="3" a="1"/>
  <c r="H1389" i="3"/>
  <c r="H1390" i="3" a="1"/>
  <c r="H1390" i="3" s="1"/>
  <c r="H1391" i="3" a="1"/>
  <c r="H1391" i="3" s="1"/>
  <c r="H1392" i="3" a="1"/>
  <c r="H1392" i="3" s="1"/>
  <c r="H1393" i="3" a="1"/>
  <c r="H1393" i="3" s="1"/>
  <c r="H1394" i="3" a="1"/>
  <c r="H1394" i="3" s="1"/>
  <c r="H1395" i="3" a="1"/>
  <c r="H1395" i="3" s="1"/>
  <c r="H1396" i="3" a="1"/>
  <c r="H1396" i="3" s="1"/>
  <c r="H1397" i="3" a="1"/>
  <c r="H1397" i="3" s="1"/>
  <c r="H1398" i="3" a="1"/>
  <c r="H1398" i="3" s="1"/>
  <c r="H1399" i="3" a="1"/>
  <c r="H1399" i="3" s="1"/>
  <c r="H1400" i="3" a="1"/>
  <c r="H1400" i="3" s="1"/>
  <c r="H1401" i="3" a="1"/>
  <c r="H1401" i="3" s="1"/>
  <c r="H1402" i="3" a="1"/>
  <c r="H1402" i="3" s="1"/>
  <c r="H1403" i="3" a="1"/>
  <c r="H1403" i="3" s="1"/>
  <c r="H1404" i="3" a="1"/>
  <c r="H1404" i="3" s="1"/>
  <c r="H1405" i="3" a="1"/>
  <c r="H1405" i="3" s="1"/>
  <c r="H1406" i="3" a="1"/>
  <c r="H1406" i="3" s="1"/>
  <c r="H1407" i="3" a="1"/>
  <c r="H1407" i="3"/>
  <c r="H1408" i="3" a="1"/>
  <c r="H1408" i="3" s="1"/>
  <c r="H1409" i="3" a="1"/>
  <c r="H1409" i="3" s="1"/>
  <c r="H1410" i="3" a="1"/>
  <c r="H1410" i="3" s="1"/>
  <c r="H1411" i="3" a="1"/>
  <c r="H1411" i="3" s="1"/>
  <c r="H1412" i="3" a="1"/>
  <c r="H1412" i="3" s="1"/>
  <c r="H1413" i="3" a="1"/>
  <c r="H1413" i="3" s="1"/>
  <c r="H1414" i="3" a="1"/>
  <c r="H1414" i="3" s="1"/>
  <c r="H1415" i="3" a="1"/>
  <c r="H1415" i="3" s="1"/>
  <c r="H1416" i="3" a="1"/>
  <c r="H1416" i="3" s="1"/>
  <c r="H1417" i="3" a="1"/>
  <c r="H1417" i="3" s="1"/>
  <c r="H1418" i="3" a="1"/>
  <c r="H1418" i="3" s="1"/>
  <c r="H1419" i="3" a="1"/>
  <c r="H1419" i="3" s="1"/>
  <c r="H1420" i="3" a="1"/>
  <c r="H1420" i="3"/>
  <c r="H1421" i="3" a="1"/>
  <c r="H1421" i="3" s="1"/>
  <c r="H1422" i="3" a="1"/>
  <c r="H1422" i="3" s="1"/>
  <c r="H1423" i="3" a="1"/>
  <c r="H1423" i="3" s="1"/>
  <c r="H1424" i="3" a="1"/>
  <c r="H1424" i="3" s="1"/>
  <c r="H1425" i="3" a="1"/>
  <c r="H1425" i="3" s="1"/>
  <c r="H1426" i="3" a="1"/>
  <c r="H1426" i="3" s="1"/>
  <c r="H1427" i="3" a="1"/>
  <c r="H1427" i="3" s="1"/>
  <c r="H1428" i="3" a="1"/>
  <c r="H1428" i="3" s="1"/>
  <c r="H1429" i="3" a="1"/>
  <c r="H1429" i="3" s="1"/>
  <c r="H1430" i="3" a="1"/>
  <c r="H1430" i="3" s="1"/>
  <c r="H1431" i="3" a="1"/>
  <c r="H1431" i="3" s="1"/>
  <c r="H1432" i="3" a="1"/>
  <c r="H1432" i="3" s="1"/>
  <c r="H1433" i="3" a="1"/>
  <c r="H1433" i="3" s="1"/>
  <c r="H1434" i="3" a="1"/>
  <c r="H1434" i="3" s="1"/>
  <c r="H1435" i="3" a="1"/>
  <c r="H1435" i="3"/>
  <c r="H1436" i="3" a="1"/>
  <c r="H1436" i="3" s="1"/>
  <c r="H1437" i="3" a="1"/>
  <c r="H1437" i="3" s="1"/>
  <c r="H1438" i="3" a="1"/>
  <c r="H1438" i="3" s="1"/>
  <c r="H1439" i="3" a="1"/>
  <c r="H1439" i="3" s="1"/>
  <c r="H1440" i="3" a="1"/>
  <c r="H1440" i="3" s="1"/>
  <c r="H1441" i="3" a="1"/>
  <c r="H1441" i="3" s="1"/>
  <c r="H1442" i="3" a="1"/>
  <c r="H1442" i="3" s="1"/>
  <c r="H1443" i="3" a="1"/>
  <c r="H1443" i="3" s="1"/>
  <c r="H1444" i="3" a="1"/>
  <c r="H1444" i="3" s="1"/>
  <c r="H1445" i="3" a="1"/>
  <c r="H1445" i="3" s="1"/>
  <c r="H1446" i="3" a="1"/>
  <c r="H1446" i="3" s="1"/>
  <c r="H1447" i="3" a="1"/>
  <c r="H1447" i="3" s="1"/>
  <c r="H1448" i="3" a="1"/>
  <c r="H1448" i="3" s="1"/>
  <c r="H1449" i="3" a="1"/>
  <c r="H1449" i="3" s="1"/>
  <c r="H1450" i="3" a="1"/>
  <c r="H1450" i="3" s="1"/>
  <c r="H1451" i="3" a="1"/>
  <c r="H1451" i="3" s="1"/>
  <c r="H1452" i="3" a="1"/>
  <c r="H1452" i="3" s="1"/>
  <c r="H1453" i="3" a="1"/>
  <c r="H1453" i="3" s="1"/>
  <c r="H1454" i="3" a="1"/>
  <c r="H1454" i="3" s="1"/>
  <c r="H1455" i="3" a="1"/>
  <c r="H1455" i="3" s="1"/>
  <c r="H1456" i="3" a="1"/>
  <c r="H1456" i="3" s="1"/>
  <c r="H1457" i="3" a="1"/>
  <c r="H1457" i="3" s="1"/>
  <c r="H1458" i="3" a="1"/>
  <c r="H1458" i="3" s="1"/>
  <c r="H1459" i="3" a="1"/>
  <c r="H1459" i="3" s="1"/>
  <c r="H1460" i="3" a="1"/>
  <c r="H1460" i="3" s="1"/>
  <c r="H1461" i="3" a="1"/>
  <c r="H1461" i="3" s="1"/>
  <c r="H1462" i="3" a="1"/>
  <c r="H1462" i="3" s="1"/>
  <c r="H1463" i="3" a="1"/>
  <c r="H1463" i="3" s="1"/>
  <c r="H1464" i="3" a="1"/>
  <c r="H1464" i="3" s="1"/>
  <c r="H1465" i="3" a="1"/>
  <c r="H1465" i="3" s="1"/>
  <c r="H1466" i="3" a="1"/>
  <c r="H1466" i="3" s="1"/>
  <c r="H1467" i="3" a="1"/>
  <c r="H1467" i="3"/>
  <c r="H1468" i="3" a="1"/>
  <c r="H1468" i="3" s="1"/>
  <c r="H1469" i="3" a="1"/>
  <c r="H1469" i="3" s="1"/>
  <c r="H1470" i="3" a="1"/>
  <c r="H1470" i="3" s="1"/>
  <c r="H1471" i="3" a="1"/>
  <c r="H1471" i="3" s="1"/>
  <c r="H1472" i="3" a="1"/>
  <c r="H1472" i="3" s="1"/>
  <c r="H1473" i="3" a="1"/>
  <c r="H1473" i="3" s="1"/>
  <c r="H4" i="3" a="1"/>
  <c r="H4" i="3" s="1"/>
  <c r="B6" i="3" a="1"/>
  <c r="B6" i="3" s="1"/>
  <c r="B7" i="3" a="1"/>
  <c r="B7" i="3"/>
  <c r="B8" i="3" a="1"/>
  <c r="B8" i="3" s="1"/>
  <c r="B9" i="3" a="1"/>
  <c r="B9" i="3" s="1"/>
  <c r="B10" i="3" a="1"/>
  <c r="B10" i="3" s="1"/>
  <c r="B11" i="3" a="1"/>
  <c r="B11" i="3" s="1"/>
  <c r="B12" i="3" a="1"/>
  <c r="B12" i="3" s="1"/>
  <c r="B13" i="3" a="1"/>
  <c r="B13" i="3" s="1"/>
  <c r="B14" i="3" a="1"/>
  <c r="B14" i="3" s="1"/>
  <c r="B15" i="3" a="1"/>
  <c r="B15" i="3"/>
  <c r="B16" i="3" a="1"/>
  <c r="B16" i="3" s="1"/>
  <c r="B17" i="3" a="1"/>
  <c r="B17" i="3" s="1"/>
  <c r="B18" i="3" a="1"/>
  <c r="B18" i="3" s="1"/>
  <c r="B19" i="3" a="1"/>
  <c r="B19" i="3" s="1"/>
  <c r="B20" i="3" a="1"/>
  <c r="B20" i="3" s="1"/>
  <c r="B21" i="3" a="1"/>
  <c r="B21" i="3" s="1"/>
  <c r="B22" i="3" a="1"/>
  <c r="B22" i="3" s="1"/>
  <c r="B23" i="3" a="1"/>
  <c r="B23" i="3"/>
  <c r="B24" i="3" a="1"/>
  <c r="B24" i="3" s="1"/>
  <c r="B25" i="3" a="1"/>
  <c r="B25" i="3" s="1"/>
  <c r="B26" i="3" a="1"/>
  <c r="B26" i="3" s="1"/>
  <c r="B27" i="3" a="1"/>
  <c r="B27" i="3" s="1"/>
  <c r="B28" i="3" a="1"/>
  <c r="B28" i="3" s="1"/>
  <c r="B29" i="3" a="1"/>
  <c r="B29" i="3" s="1"/>
  <c r="B30" i="3" a="1"/>
  <c r="B30" i="3" s="1"/>
  <c r="B31" i="3" a="1"/>
  <c r="B31" i="3" s="1"/>
  <c r="B32" i="3" a="1"/>
  <c r="B32" i="3" s="1"/>
  <c r="B33" i="3" a="1"/>
  <c r="B33" i="3" s="1"/>
  <c r="B34" i="3" a="1"/>
  <c r="B34" i="3" s="1"/>
  <c r="B35" i="3" a="1"/>
  <c r="B35" i="3" s="1"/>
  <c r="B36" i="3" a="1"/>
  <c r="B36" i="3" s="1"/>
  <c r="B37" i="3" a="1"/>
  <c r="B37" i="3" s="1"/>
  <c r="B38" i="3" a="1"/>
  <c r="B38" i="3" s="1"/>
  <c r="B39" i="3" a="1"/>
  <c r="B39" i="3" s="1"/>
  <c r="B40" i="3" a="1"/>
  <c r="B40" i="3" s="1"/>
  <c r="B41" i="3" a="1"/>
  <c r="B41" i="3" s="1"/>
  <c r="B42" i="3" a="1"/>
  <c r="B42" i="3" s="1"/>
  <c r="B43" i="3" a="1"/>
  <c r="B43" i="3" s="1"/>
  <c r="B44" i="3" a="1"/>
  <c r="B44" i="3" s="1"/>
  <c r="B45" i="3" a="1"/>
  <c r="B45" i="3" s="1"/>
  <c r="B46" i="3" a="1"/>
  <c r="B46" i="3" s="1"/>
  <c r="B47" i="3" a="1"/>
  <c r="B47" i="3" s="1"/>
  <c r="B48" i="3" a="1"/>
  <c r="B48" i="3" s="1"/>
  <c r="B49" i="3" a="1"/>
  <c r="B49" i="3"/>
  <c r="B50" i="3" a="1"/>
  <c r="B50" i="3" s="1"/>
  <c r="B51" i="3" a="1"/>
  <c r="B51" i="3" s="1"/>
  <c r="B52" i="3" a="1"/>
  <c r="B52" i="3" s="1"/>
  <c r="B53" i="3" a="1"/>
  <c r="B53" i="3" s="1"/>
  <c r="B54" i="3" a="1"/>
  <c r="B54" i="3" s="1"/>
  <c r="B55" i="3" a="1"/>
  <c r="B55" i="3" s="1"/>
  <c r="B56" i="3" a="1"/>
  <c r="B56" i="3" s="1"/>
  <c r="B57" i="3" a="1"/>
  <c r="B57" i="3" s="1"/>
  <c r="B58" i="3" a="1"/>
  <c r="B58" i="3" s="1"/>
  <c r="B59" i="3" a="1"/>
  <c r="B59" i="3" s="1"/>
  <c r="B60" i="3" a="1"/>
  <c r="B60" i="3" s="1"/>
  <c r="B61" i="3" a="1"/>
  <c r="B61" i="3" s="1"/>
  <c r="B62" i="3" a="1"/>
  <c r="B62" i="3" s="1"/>
  <c r="B63" i="3" a="1"/>
  <c r="B63" i="3" s="1"/>
  <c r="B64" i="3" a="1"/>
  <c r="B64" i="3" s="1"/>
  <c r="B65" i="3" a="1"/>
  <c r="B65" i="3" s="1"/>
  <c r="B66" i="3" a="1"/>
  <c r="B66" i="3" s="1"/>
  <c r="B67" i="3" a="1"/>
  <c r="B67" i="3" s="1"/>
  <c r="B68" i="3" a="1"/>
  <c r="B68" i="3" s="1"/>
  <c r="B69" i="3" a="1"/>
  <c r="B69" i="3" s="1"/>
  <c r="B70" i="3" a="1"/>
  <c r="B70" i="3" s="1"/>
  <c r="B71" i="3" a="1"/>
  <c r="B71" i="3"/>
  <c r="B72" i="3" a="1"/>
  <c r="B72" i="3"/>
  <c r="B73" i="3" a="1"/>
  <c r="B73" i="3" s="1"/>
  <c r="B74" i="3" a="1"/>
  <c r="B74" i="3" s="1"/>
  <c r="B75" i="3" a="1"/>
  <c r="B75" i="3" s="1"/>
  <c r="B76" i="3" a="1"/>
  <c r="B76" i="3" s="1"/>
  <c r="B77" i="3" a="1"/>
  <c r="B77" i="3" s="1"/>
  <c r="B78" i="3" a="1"/>
  <c r="B78" i="3" s="1"/>
  <c r="B79" i="3" a="1"/>
  <c r="B79" i="3" s="1"/>
  <c r="B80" i="3" a="1"/>
  <c r="B80" i="3" s="1"/>
  <c r="B81" i="3" a="1"/>
  <c r="B81" i="3" s="1"/>
  <c r="B82" i="3" a="1"/>
  <c r="B82" i="3" s="1"/>
  <c r="B83" i="3" a="1"/>
  <c r="B83" i="3" s="1"/>
  <c r="B84" i="3" a="1"/>
  <c r="B84" i="3" s="1"/>
  <c r="B85" i="3" a="1"/>
  <c r="B85" i="3" s="1"/>
  <c r="B86" i="3" a="1"/>
  <c r="B86" i="3" s="1"/>
  <c r="B87" i="3" a="1"/>
  <c r="B87" i="3" s="1"/>
  <c r="B88" i="3" a="1"/>
  <c r="B88" i="3" s="1"/>
  <c r="B89" i="3" a="1"/>
  <c r="B89" i="3" s="1"/>
  <c r="B90" i="3" a="1"/>
  <c r="B90" i="3" s="1"/>
  <c r="B91" i="3" a="1"/>
  <c r="B91" i="3" s="1"/>
  <c r="B92" i="3" a="1"/>
  <c r="B92" i="3" s="1"/>
  <c r="B93" i="3" a="1"/>
  <c r="B93" i="3" s="1"/>
  <c r="B94" i="3" a="1"/>
  <c r="B94" i="3" s="1"/>
  <c r="B95" i="3" a="1"/>
  <c r="B95" i="3" s="1"/>
  <c r="B96" i="3" a="1"/>
  <c r="B96" i="3" s="1"/>
  <c r="B97" i="3" a="1"/>
  <c r="B97" i="3" s="1"/>
  <c r="B98" i="3" a="1"/>
  <c r="B98" i="3" s="1"/>
  <c r="B99" i="3" a="1"/>
  <c r="B99" i="3" s="1"/>
  <c r="B100" i="3" a="1"/>
  <c r="B100" i="3" s="1"/>
  <c r="B101" i="3" a="1"/>
  <c r="B101" i="3" s="1"/>
  <c r="B102" i="3" a="1"/>
  <c r="B102" i="3" s="1"/>
  <c r="B103" i="3" a="1"/>
  <c r="B103" i="3" s="1"/>
  <c r="B104" i="3" a="1"/>
  <c r="B104" i="3" s="1"/>
  <c r="B105" i="3" a="1"/>
  <c r="B105" i="3" s="1"/>
  <c r="B106" i="3" a="1"/>
  <c r="B106" i="3" s="1"/>
  <c r="B107" i="3" a="1"/>
  <c r="B107" i="3" s="1"/>
  <c r="B108" i="3" a="1"/>
  <c r="B108" i="3" s="1"/>
  <c r="B109" i="3" a="1"/>
  <c r="B109" i="3" s="1"/>
  <c r="B110" i="3" a="1"/>
  <c r="B110" i="3" s="1"/>
  <c r="B111" i="3" a="1"/>
  <c r="B111" i="3" s="1"/>
  <c r="B112" i="3" a="1"/>
  <c r="B112" i="3" s="1"/>
  <c r="B113" i="3" a="1"/>
  <c r="B113" i="3" s="1"/>
  <c r="B114" i="3" a="1"/>
  <c r="B114" i="3" s="1"/>
  <c r="B115" i="3" a="1"/>
  <c r="B115" i="3" s="1"/>
  <c r="B116" i="3" a="1"/>
  <c r="B116" i="3" s="1"/>
  <c r="B117" i="3" a="1"/>
  <c r="B117" i="3" s="1"/>
  <c r="B118" i="3" a="1"/>
  <c r="B118" i="3" s="1"/>
  <c r="B119" i="3" a="1"/>
  <c r="B119" i="3" s="1"/>
  <c r="B120" i="3" a="1"/>
  <c r="B120" i="3" s="1"/>
  <c r="B121" i="3" a="1"/>
  <c r="B121" i="3" s="1"/>
  <c r="B122" i="3" a="1"/>
  <c r="B122" i="3" s="1"/>
  <c r="B123" i="3" a="1"/>
  <c r="B123" i="3" s="1"/>
  <c r="B124" i="3" a="1"/>
  <c r="B124" i="3" s="1"/>
  <c r="B125" i="3" a="1"/>
  <c r="B125" i="3" s="1"/>
  <c r="B126" i="3" a="1"/>
  <c r="B126" i="3" s="1"/>
  <c r="B127" i="3" a="1"/>
  <c r="B127" i="3" s="1"/>
  <c r="B128" i="3" a="1"/>
  <c r="B128" i="3" s="1"/>
  <c r="B129" i="3" a="1"/>
  <c r="B129" i="3" s="1"/>
  <c r="B130" i="3" a="1"/>
  <c r="B130" i="3" s="1"/>
  <c r="B131" i="3" a="1"/>
  <c r="B131" i="3" s="1"/>
  <c r="B132" i="3" a="1"/>
  <c r="B132" i="3" s="1"/>
  <c r="B133" i="3" a="1"/>
  <c r="B133" i="3" s="1"/>
  <c r="B134" i="3" a="1"/>
  <c r="B134" i="3" s="1"/>
  <c r="B135" i="3" a="1"/>
  <c r="B135" i="3" s="1"/>
  <c r="B136" i="3" a="1"/>
  <c r="B136" i="3" s="1"/>
  <c r="B137" i="3" a="1"/>
  <c r="B137" i="3" s="1"/>
  <c r="B138" i="3" a="1"/>
  <c r="B138" i="3" s="1"/>
  <c r="B139" i="3" a="1"/>
  <c r="B139" i="3"/>
  <c r="B140" i="3" a="1"/>
  <c r="B140" i="3" s="1"/>
  <c r="B141" i="3" a="1"/>
  <c r="B141" i="3" s="1"/>
  <c r="B142" i="3" a="1"/>
  <c r="B142" i="3" s="1"/>
  <c r="B143" i="3" a="1"/>
  <c r="B143" i="3" s="1"/>
  <c r="B144" i="3" a="1"/>
  <c r="B144" i="3" s="1"/>
  <c r="B145" i="3" a="1"/>
  <c r="B145" i="3" s="1"/>
  <c r="B146" i="3" a="1"/>
  <c r="B146" i="3" s="1"/>
  <c r="B147" i="3" a="1"/>
  <c r="B147" i="3" s="1"/>
  <c r="B148" i="3" a="1"/>
  <c r="B148" i="3" s="1"/>
  <c r="B149" i="3" a="1"/>
  <c r="B149" i="3"/>
  <c r="B150" i="3" a="1"/>
  <c r="B150" i="3" s="1"/>
  <c r="B151" i="3" a="1"/>
  <c r="B151" i="3" s="1"/>
  <c r="B152" i="3" a="1"/>
  <c r="B152" i="3" s="1"/>
  <c r="B153" i="3" a="1"/>
  <c r="B153" i="3" s="1"/>
  <c r="B154" i="3" a="1"/>
  <c r="B154" i="3" s="1"/>
  <c r="B155" i="3" a="1"/>
  <c r="B155" i="3" s="1"/>
  <c r="B156" i="3" a="1"/>
  <c r="B156" i="3" s="1"/>
  <c r="B157" i="3" a="1"/>
  <c r="B157" i="3" s="1"/>
  <c r="B158" i="3" a="1"/>
  <c r="B158" i="3" s="1"/>
  <c r="B159" i="3" a="1"/>
  <c r="B159" i="3" s="1"/>
  <c r="B160" i="3" a="1"/>
  <c r="B160" i="3" s="1"/>
  <c r="B161" i="3" a="1"/>
  <c r="B161" i="3" s="1"/>
  <c r="B162" i="3" a="1"/>
  <c r="B162" i="3" s="1"/>
  <c r="B163" i="3" a="1"/>
  <c r="B163" i="3" s="1"/>
  <c r="B164" i="3" a="1"/>
  <c r="B164" i="3" s="1"/>
  <c r="B165" i="3" a="1"/>
  <c r="B165" i="3" s="1"/>
  <c r="B166" i="3" a="1"/>
  <c r="B166" i="3" s="1"/>
  <c r="B167" i="3" a="1"/>
  <c r="B167" i="3" s="1"/>
  <c r="B168" i="3" a="1"/>
  <c r="B168" i="3" s="1"/>
  <c r="B169" i="3" a="1"/>
  <c r="B169" i="3"/>
  <c r="B170" i="3" a="1"/>
  <c r="B170" i="3" s="1"/>
  <c r="B171" i="3" a="1"/>
  <c r="B171" i="3" s="1"/>
  <c r="B172" i="3" a="1"/>
  <c r="B172" i="3" s="1"/>
  <c r="B173" i="3" a="1"/>
  <c r="B173" i="3" s="1"/>
  <c r="B174" i="3" a="1"/>
  <c r="B174" i="3" s="1"/>
  <c r="B175" i="3" a="1"/>
  <c r="B175" i="3"/>
  <c r="B176" i="3" a="1"/>
  <c r="B176" i="3" s="1"/>
  <c r="B177" i="3" a="1"/>
  <c r="B177" i="3" s="1"/>
  <c r="B178" i="3" a="1"/>
  <c r="B178" i="3" s="1"/>
  <c r="B179" i="3" a="1"/>
  <c r="B179" i="3" s="1"/>
  <c r="B180" i="3" a="1"/>
  <c r="B180" i="3" s="1"/>
  <c r="B181" i="3" a="1"/>
  <c r="B181" i="3" s="1"/>
  <c r="B182" i="3" a="1"/>
  <c r="B182" i="3" s="1"/>
  <c r="B183" i="3" a="1"/>
  <c r="B183" i="3" s="1"/>
  <c r="B184" i="3" a="1"/>
  <c r="B184" i="3" s="1"/>
  <c r="B185" i="3" a="1"/>
  <c r="B185" i="3" s="1"/>
  <c r="B186" i="3" a="1"/>
  <c r="B186" i="3" s="1"/>
  <c r="B187" i="3" a="1"/>
  <c r="B187" i="3" s="1"/>
  <c r="B188" i="3" a="1"/>
  <c r="B188" i="3" s="1"/>
  <c r="B189" i="3" a="1"/>
  <c r="B189" i="3" s="1"/>
  <c r="B190" i="3" a="1"/>
  <c r="B190" i="3" s="1"/>
  <c r="B191" i="3" a="1"/>
  <c r="B191" i="3" s="1"/>
  <c r="B192" i="3" a="1"/>
  <c r="B192" i="3" s="1"/>
  <c r="B193" i="3" a="1"/>
  <c r="B193" i="3" s="1"/>
  <c r="B194" i="3" a="1"/>
  <c r="B194" i="3" s="1"/>
  <c r="B195" i="3" a="1"/>
  <c r="B195" i="3" s="1"/>
  <c r="B196" i="3" a="1"/>
  <c r="B196" i="3" s="1"/>
  <c r="B197" i="3" a="1"/>
  <c r="B197" i="3" s="1"/>
  <c r="B198" i="3" a="1"/>
  <c r="B198" i="3" s="1"/>
  <c r="B199" i="3" a="1"/>
  <c r="B199" i="3" s="1"/>
  <c r="B200" i="3" a="1"/>
  <c r="B200" i="3" s="1"/>
  <c r="B201" i="3" a="1"/>
  <c r="B201" i="3" s="1"/>
  <c r="B202" i="3" a="1"/>
  <c r="B202" i="3" s="1"/>
  <c r="B203" i="3" a="1"/>
  <c r="B203" i="3" s="1"/>
  <c r="B204" i="3" a="1"/>
  <c r="B204" i="3" s="1"/>
  <c r="B205" i="3" a="1"/>
  <c r="B205" i="3" s="1"/>
  <c r="B206" i="3" a="1"/>
  <c r="B206" i="3" s="1"/>
  <c r="B207" i="3" a="1"/>
  <c r="B207" i="3" s="1"/>
  <c r="B208" i="3" a="1"/>
  <c r="B208" i="3" s="1"/>
  <c r="B209" i="3" a="1"/>
  <c r="B209" i="3" s="1"/>
  <c r="B210" i="3" a="1"/>
  <c r="B210" i="3" s="1"/>
  <c r="B211" i="3" a="1"/>
  <c r="B211" i="3"/>
  <c r="B212" i="3" a="1"/>
  <c r="B212" i="3" s="1"/>
  <c r="B213" i="3" a="1"/>
  <c r="B213" i="3" s="1"/>
  <c r="B214" i="3" a="1"/>
  <c r="B214" i="3" s="1"/>
  <c r="B215" i="3" a="1"/>
  <c r="B215" i="3" s="1"/>
  <c r="B216" i="3" a="1"/>
  <c r="B216" i="3"/>
  <c r="B217" i="3" a="1"/>
  <c r="B217" i="3" s="1"/>
  <c r="B218" i="3" a="1"/>
  <c r="B218" i="3" s="1"/>
  <c r="B219" i="3" a="1"/>
  <c r="B219" i="3" s="1"/>
  <c r="B220" i="3" a="1"/>
  <c r="B220" i="3" s="1"/>
  <c r="B221" i="3" a="1"/>
  <c r="B221" i="3" s="1"/>
  <c r="B222" i="3" a="1"/>
  <c r="B222" i="3" s="1"/>
  <c r="B223" i="3" a="1"/>
  <c r="B223" i="3" s="1"/>
  <c r="B224" i="3" a="1"/>
  <c r="B224" i="3" s="1"/>
  <c r="B225" i="3" a="1"/>
  <c r="B225" i="3" s="1"/>
  <c r="B226" i="3" a="1"/>
  <c r="B226" i="3" s="1"/>
  <c r="B227" i="3" a="1"/>
  <c r="B227" i="3" s="1"/>
  <c r="B228" i="3" a="1"/>
  <c r="B228" i="3" s="1"/>
  <c r="B229" i="3" a="1"/>
  <c r="B229" i="3" s="1"/>
  <c r="B230" i="3" a="1"/>
  <c r="B230" i="3" s="1"/>
  <c r="B231" i="3" a="1"/>
  <c r="B231" i="3" s="1"/>
  <c r="B232" i="3" a="1"/>
  <c r="B232" i="3" s="1"/>
  <c r="B233" i="3" a="1"/>
  <c r="B233" i="3" s="1"/>
  <c r="B234" i="3" a="1"/>
  <c r="B234" i="3" s="1"/>
  <c r="B235" i="3" a="1"/>
  <c r="B235" i="3" s="1"/>
  <c r="B236" i="3" a="1"/>
  <c r="B236" i="3" s="1"/>
  <c r="B237" i="3" a="1"/>
  <c r="B237" i="3" s="1"/>
  <c r="B238" i="3" a="1"/>
  <c r="B238" i="3" s="1"/>
  <c r="B239" i="3" a="1"/>
  <c r="B239" i="3" s="1"/>
  <c r="B240" i="3" a="1"/>
  <c r="B240" i="3" s="1"/>
  <c r="B241" i="3" a="1"/>
  <c r="B241" i="3"/>
  <c r="B242" i="3" a="1"/>
  <c r="B242" i="3" s="1"/>
  <c r="B243" i="3" a="1"/>
  <c r="B243" i="3" s="1"/>
  <c r="B244" i="3" a="1"/>
  <c r="B244" i="3" s="1"/>
  <c r="B245" i="3" a="1"/>
  <c r="B245" i="3" s="1"/>
  <c r="B246" i="3" a="1"/>
  <c r="B246" i="3" s="1"/>
  <c r="B247" i="3" a="1"/>
  <c r="B247" i="3" s="1"/>
  <c r="B248" i="3" a="1"/>
  <c r="B248" i="3" s="1"/>
  <c r="B249" i="3" a="1"/>
  <c r="B249" i="3" s="1"/>
  <c r="B250" i="3" a="1"/>
  <c r="B250" i="3" s="1"/>
  <c r="B251" i="3" a="1"/>
  <c r="B251" i="3" s="1"/>
  <c r="B252" i="3" a="1"/>
  <c r="B252" i="3" s="1"/>
  <c r="B253" i="3" a="1"/>
  <c r="B253" i="3" s="1"/>
  <c r="B254" i="3" a="1"/>
  <c r="B254" i="3" s="1"/>
  <c r="B255" i="3" a="1"/>
  <c r="B255" i="3" s="1"/>
  <c r="B256" i="3" a="1"/>
  <c r="B256" i="3" s="1"/>
  <c r="B257" i="3" a="1"/>
  <c r="B257" i="3" s="1"/>
  <c r="B258" i="3" a="1"/>
  <c r="B258" i="3" s="1"/>
  <c r="B259" i="3" a="1"/>
  <c r="B259" i="3" s="1"/>
  <c r="B260" i="3" a="1"/>
  <c r="B260" i="3" s="1"/>
  <c r="B261" i="3" a="1"/>
  <c r="B261" i="3" s="1"/>
  <c r="B262" i="3" a="1"/>
  <c r="B262" i="3" s="1"/>
  <c r="B263" i="3" a="1"/>
  <c r="B263" i="3" s="1"/>
  <c r="B264" i="3" a="1"/>
  <c r="B264" i="3" s="1"/>
  <c r="B265" i="3" a="1"/>
  <c r="B265" i="3" s="1"/>
  <c r="B266" i="3" a="1"/>
  <c r="B266" i="3" s="1"/>
  <c r="B267" i="3" a="1"/>
  <c r="B267" i="3" s="1"/>
  <c r="B268" i="3" a="1"/>
  <c r="B268" i="3" s="1"/>
  <c r="B269" i="3" a="1"/>
  <c r="B269" i="3" s="1"/>
  <c r="B270" i="3" a="1"/>
  <c r="B270" i="3" s="1"/>
  <c r="B271" i="3" a="1"/>
  <c r="B271" i="3" s="1"/>
  <c r="B272" i="3" a="1"/>
  <c r="B272" i="3" s="1"/>
  <c r="B273" i="3" a="1"/>
  <c r="B273" i="3" s="1"/>
  <c r="B274" i="3" a="1"/>
  <c r="B274" i="3" s="1"/>
  <c r="B275" i="3" a="1"/>
  <c r="B275" i="3" s="1"/>
  <c r="B276" i="3" a="1"/>
  <c r="B276" i="3" s="1"/>
  <c r="B277" i="3" a="1"/>
  <c r="B277" i="3" s="1"/>
  <c r="B278" i="3" a="1"/>
  <c r="B278" i="3" s="1"/>
  <c r="B279" i="3" a="1"/>
  <c r="B279" i="3" s="1"/>
  <c r="B280" i="3" a="1"/>
  <c r="B280" i="3" s="1"/>
  <c r="B281" i="3" a="1"/>
  <c r="B281" i="3" s="1"/>
  <c r="B282" i="3" a="1"/>
  <c r="B282" i="3" s="1"/>
  <c r="B283" i="3" a="1"/>
  <c r="B283" i="3" s="1"/>
  <c r="B284" i="3" a="1"/>
  <c r="B284" i="3" s="1"/>
  <c r="B285" i="3" a="1"/>
  <c r="B285" i="3" s="1"/>
  <c r="B286" i="3" a="1"/>
  <c r="B286" i="3" s="1"/>
  <c r="B287" i="3" a="1"/>
  <c r="B287" i="3" s="1"/>
  <c r="B288" i="3" a="1"/>
  <c r="B288" i="3" s="1"/>
  <c r="B289" i="3" a="1"/>
  <c r="B289" i="3" s="1"/>
  <c r="B290" i="3" a="1"/>
  <c r="B290" i="3" s="1"/>
  <c r="B291" i="3" a="1"/>
  <c r="B291" i="3" s="1"/>
  <c r="B292" i="3" a="1"/>
  <c r="B292" i="3" s="1"/>
  <c r="B293" i="3" a="1"/>
  <c r="B293" i="3" s="1"/>
  <c r="B294" i="3" a="1"/>
  <c r="B294" i="3" s="1"/>
  <c r="B295" i="3" a="1"/>
  <c r="B295" i="3" s="1"/>
  <c r="B296" i="3" a="1"/>
  <c r="B296" i="3" s="1"/>
  <c r="B297" i="3" a="1"/>
  <c r="B297" i="3" s="1"/>
  <c r="B298" i="3" a="1"/>
  <c r="B298" i="3" s="1"/>
  <c r="B299" i="3" a="1"/>
  <c r="B299" i="3" s="1"/>
  <c r="B300" i="3" a="1"/>
  <c r="B300" i="3" s="1"/>
  <c r="B301" i="3" a="1"/>
  <c r="B301" i="3" s="1"/>
  <c r="B302" i="3" a="1"/>
  <c r="B302" i="3" s="1"/>
  <c r="B303" i="3" a="1"/>
  <c r="B303" i="3" s="1"/>
  <c r="B304" i="3" a="1"/>
  <c r="B304" i="3" s="1"/>
  <c r="B305" i="3" a="1"/>
  <c r="B305" i="3" s="1"/>
  <c r="B306" i="3" a="1"/>
  <c r="B306" i="3" s="1"/>
  <c r="B307" i="3" a="1"/>
  <c r="B307" i="3" s="1"/>
  <c r="B308" i="3" a="1"/>
  <c r="B308" i="3" s="1"/>
  <c r="B309" i="3" a="1"/>
  <c r="B309" i="3"/>
  <c r="B310" i="3" a="1"/>
  <c r="B310" i="3" s="1"/>
  <c r="B311" i="3" a="1"/>
  <c r="B311" i="3" s="1"/>
  <c r="B312" i="3" a="1"/>
  <c r="B312" i="3" s="1"/>
  <c r="B313" i="3" a="1"/>
  <c r="B313" i="3" s="1"/>
  <c r="B314" i="3" a="1"/>
  <c r="B314" i="3" s="1"/>
  <c r="B315" i="3" a="1"/>
  <c r="B315" i="3" s="1"/>
  <c r="B316" i="3" a="1"/>
  <c r="B316" i="3" s="1"/>
  <c r="B317" i="3" a="1"/>
  <c r="B317" i="3"/>
  <c r="B318" i="3" a="1"/>
  <c r="B318" i="3"/>
  <c r="B319" i="3" a="1"/>
  <c r="B319" i="3" s="1"/>
  <c r="B320" i="3" a="1"/>
  <c r="B320" i="3" s="1"/>
  <c r="B321" i="3" a="1"/>
  <c r="B321" i="3" s="1"/>
  <c r="B322" i="3" a="1"/>
  <c r="B322" i="3" s="1"/>
  <c r="B323" i="3" a="1"/>
  <c r="B323" i="3" s="1"/>
  <c r="B324" i="3" a="1"/>
  <c r="B324" i="3" s="1"/>
  <c r="B325" i="3" a="1"/>
  <c r="B325" i="3" s="1"/>
  <c r="B326" i="3" a="1"/>
  <c r="B326" i="3" s="1"/>
  <c r="B327" i="3" a="1"/>
  <c r="B327" i="3" s="1"/>
  <c r="B328" i="3" a="1"/>
  <c r="B328" i="3" s="1"/>
  <c r="B329" i="3" a="1"/>
  <c r="B329" i="3" s="1"/>
  <c r="B330" i="3" a="1"/>
  <c r="B330" i="3" s="1"/>
  <c r="B331" i="3" a="1"/>
  <c r="B331" i="3" s="1"/>
  <c r="B332" i="3" a="1"/>
  <c r="B332" i="3" s="1"/>
  <c r="B333" i="3" a="1"/>
  <c r="B333" i="3"/>
  <c r="B334" i="3" a="1"/>
  <c r="B334" i="3" s="1"/>
  <c r="B335" i="3" a="1"/>
  <c r="B335" i="3" s="1"/>
  <c r="B336" i="3" a="1"/>
  <c r="B336" i="3" s="1"/>
  <c r="B337" i="3" a="1"/>
  <c r="B337" i="3" s="1"/>
  <c r="B338" i="3" a="1"/>
  <c r="B338" i="3" s="1"/>
  <c r="B339" i="3" a="1"/>
  <c r="B339" i="3" s="1"/>
  <c r="B340" i="3" a="1"/>
  <c r="B340" i="3" s="1"/>
  <c r="B341" i="3" a="1"/>
  <c r="B341" i="3" s="1"/>
  <c r="B342" i="3" a="1"/>
  <c r="B342" i="3" s="1"/>
  <c r="B343" i="3" a="1"/>
  <c r="B343" i="3" s="1"/>
  <c r="B344" i="3" a="1"/>
  <c r="B344" i="3"/>
  <c r="B345" i="3" a="1"/>
  <c r="B345" i="3" s="1"/>
  <c r="B346" i="3" a="1"/>
  <c r="B346" i="3" s="1"/>
  <c r="B347" i="3" a="1"/>
  <c r="B347" i="3" s="1"/>
  <c r="B348" i="3" a="1"/>
  <c r="B348" i="3" s="1"/>
  <c r="B349" i="3" a="1"/>
  <c r="B349" i="3"/>
  <c r="B350" i="3" a="1"/>
  <c r="B350" i="3" s="1"/>
  <c r="B351" i="3" a="1"/>
  <c r="B351" i="3" s="1"/>
  <c r="B352" i="3" a="1"/>
  <c r="B352" i="3" s="1"/>
  <c r="B353" i="3" a="1"/>
  <c r="B353" i="3"/>
  <c r="B354" i="3" a="1"/>
  <c r="B354" i="3" s="1"/>
  <c r="B355" i="3" a="1"/>
  <c r="B355" i="3" s="1"/>
  <c r="B356" i="3" a="1"/>
  <c r="B356" i="3" s="1"/>
  <c r="B357" i="3" a="1"/>
  <c r="B357" i="3" s="1"/>
  <c r="B358" i="3" a="1"/>
  <c r="B358" i="3" s="1"/>
  <c r="B359" i="3" a="1"/>
  <c r="B359" i="3" s="1"/>
  <c r="B360" i="3" a="1"/>
  <c r="B360" i="3" s="1"/>
  <c r="B361" i="3" a="1"/>
  <c r="B361" i="3" s="1"/>
  <c r="B362" i="3" a="1"/>
  <c r="B362" i="3" s="1"/>
  <c r="B363" i="3" a="1"/>
  <c r="B363" i="3" s="1"/>
  <c r="B364" i="3" a="1"/>
  <c r="B364" i="3" s="1"/>
  <c r="B365" i="3" a="1"/>
  <c r="B365" i="3" s="1"/>
  <c r="B366" i="3" a="1"/>
  <c r="B366" i="3" s="1"/>
  <c r="B367" i="3" a="1"/>
  <c r="B367" i="3" s="1"/>
  <c r="B368" i="3" a="1"/>
  <c r="B368" i="3" s="1"/>
  <c r="B369" i="3" a="1"/>
  <c r="B369" i="3" s="1"/>
  <c r="B370" i="3" a="1"/>
  <c r="B370" i="3" s="1"/>
  <c r="B371" i="3" a="1"/>
  <c r="B371" i="3" s="1"/>
  <c r="B372" i="3" a="1"/>
  <c r="B372" i="3" s="1"/>
  <c r="B373" i="3" a="1"/>
  <c r="B373" i="3" s="1"/>
  <c r="B374" i="3" a="1"/>
  <c r="B374" i="3" s="1"/>
  <c r="B375" i="3" a="1"/>
  <c r="B375" i="3" s="1"/>
  <c r="B376" i="3" a="1"/>
  <c r="B376" i="3" s="1"/>
  <c r="B377" i="3" a="1"/>
  <c r="B377" i="3" s="1"/>
  <c r="B378" i="3" a="1"/>
  <c r="B378" i="3" s="1"/>
  <c r="B379" i="3" a="1"/>
  <c r="B379" i="3" s="1"/>
  <c r="B380" i="3" a="1"/>
  <c r="B380" i="3" s="1"/>
  <c r="B381" i="3" a="1"/>
  <c r="B381" i="3" s="1"/>
  <c r="B382" i="3" a="1"/>
  <c r="B382" i="3" s="1"/>
  <c r="B383" i="3" a="1"/>
  <c r="B383" i="3" s="1"/>
  <c r="B384" i="3" a="1"/>
  <c r="B384" i="3" s="1"/>
  <c r="B385" i="3" a="1"/>
  <c r="B385" i="3" s="1"/>
  <c r="B386" i="3" a="1"/>
  <c r="B386" i="3" s="1"/>
  <c r="B387" i="3" a="1"/>
  <c r="B387" i="3" s="1"/>
  <c r="B388" i="3" a="1"/>
  <c r="B388" i="3" s="1"/>
  <c r="B389" i="3" a="1"/>
  <c r="B389" i="3" s="1"/>
  <c r="B390" i="3" a="1"/>
  <c r="B390" i="3"/>
  <c r="B391" i="3" a="1"/>
  <c r="B391" i="3" s="1"/>
  <c r="B392" i="3" a="1"/>
  <c r="B392" i="3"/>
  <c r="B393" i="3" a="1"/>
  <c r="B393" i="3" s="1"/>
  <c r="B394" i="3" a="1"/>
  <c r="B394" i="3" s="1"/>
  <c r="B395" i="3" a="1"/>
  <c r="B395" i="3" s="1"/>
  <c r="B396" i="3" a="1"/>
  <c r="B396" i="3" s="1"/>
  <c r="B397" i="3" a="1"/>
  <c r="B397" i="3" s="1"/>
  <c r="B398" i="3" a="1"/>
  <c r="B398" i="3" s="1"/>
  <c r="B399" i="3" a="1"/>
  <c r="B399" i="3" s="1"/>
  <c r="B400" i="3" a="1"/>
  <c r="B400" i="3" s="1"/>
  <c r="B401" i="3" a="1"/>
  <c r="B401" i="3" s="1"/>
  <c r="B402" i="3" a="1"/>
  <c r="B402" i="3" s="1"/>
  <c r="B403" i="3" a="1"/>
  <c r="B403" i="3"/>
  <c r="B404" i="3" a="1"/>
  <c r="B404" i="3" s="1"/>
  <c r="B405" i="3" a="1"/>
  <c r="B405" i="3" s="1"/>
  <c r="B406" i="3" a="1"/>
  <c r="B406" i="3" s="1"/>
  <c r="B407" i="3" a="1"/>
  <c r="B407" i="3" s="1"/>
  <c r="B408" i="3" a="1"/>
  <c r="B408" i="3" s="1"/>
  <c r="B409" i="3" a="1"/>
  <c r="B409" i="3" s="1"/>
  <c r="B410" i="3" a="1"/>
  <c r="B410" i="3" s="1"/>
  <c r="B411" i="3" a="1"/>
  <c r="B411" i="3" s="1"/>
  <c r="B412" i="3" a="1"/>
  <c r="B412" i="3" s="1"/>
  <c r="B413" i="3" a="1"/>
  <c r="B413" i="3" s="1"/>
  <c r="B414" i="3" a="1"/>
  <c r="B414" i="3"/>
  <c r="B415" i="3" a="1"/>
  <c r="B415" i="3" s="1"/>
  <c r="B416" i="3" a="1"/>
  <c r="B416" i="3" s="1"/>
  <c r="B417" i="3" a="1"/>
  <c r="B417" i="3"/>
  <c r="B418" i="3" a="1"/>
  <c r="B418" i="3" s="1"/>
  <c r="B419" i="3" a="1"/>
  <c r="B419" i="3" s="1"/>
  <c r="B420" i="3" a="1"/>
  <c r="B420" i="3" s="1"/>
  <c r="B421" i="3" a="1"/>
  <c r="B421" i="3" s="1"/>
  <c r="B422" i="3" a="1"/>
  <c r="B422" i="3" s="1"/>
  <c r="B423" i="3" a="1"/>
  <c r="B423" i="3" s="1"/>
  <c r="B424" i="3" a="1"/>
  <c r="B424" i="3" s="1"/>
  <c r="B425" i="3" a="1"/>
  <c r="B425" i="3" s="1"/>
  <c r="B426" i="3" a="1"/>
  <c r="B426" i="3" s="1"/>
  <c r="B427" i="3" a="1"/>
  <c r="B427" i="3"/>
  <c r="B428" i="3" a="1"/>
  <c r="B428" i="3" s="1"/>
  <c r="B429" i="3" a="1"/>
  <c r="B429" i="3" s="1"/>
  <c r="B430" i="3" a="1"/>
  <c r="B430" i="3" s="1"/>
  <c r="B431" i="3" a="1"/>
  <c r="B431" i="3" s="1"/>
  <c r="B432" i="3" a="1"/>
  <c r="B432" i="3" s="1"/>
  <c r="B433" i="3" a="1"/>
  <c r="B433" i="3" s="1"/>
  <c r="B434" i="3" a="1"/>
  <c r="B434" i="3" s="1"/>
  <c r="B435" i="3" a="1"/>
  <c r="B435" i="3" s="1"/>
  <c r="B436" i="3" a="1"/>
  <c r="B436" i="3" s="1"/>
  <c r="B437" i="3" a="1"/>
  <c r="B437" i="3"/>
  <c r="B438" i="3" a="1"/>
  <c r="B438" i="3"/>
  <c r="B439" i="3" a="1"/>
  <c r="B439" i="3" s="1"/>
  <c r="B440" i="3" a="1"/>
  <c r="B440" i="3" s="1"/>
  <c r="B441" i="3" a="1"/>
  <c r="B441" i="3" s="1"/>
  <c r="B442" i="3" a="1"/>
  <c r="B442" i="3" s="1"/>
  <c r="B443" i="3" a="1"/>
  <c r="B443" i="3" s="1"/>
  <c r="B444" i="3" a="1"/>
  <c r="B444" i="3" s="1"/>
  <c r="B445" i="3" a="1"/>
  <c r="B445" i="3"/>
  <c r="B446" i="3" a="1"/>
  <c r="B446" i="3" s="1"/>
  <c r="B447" i="3" a="1"/>
  <c r="B447" i="3" s="1"/>
  <c r="B448" i="3" a="1"/>
  <c r="B448" i="3" s="1"/>
  <c r="B449" i="3" a="1"/>
  <c r="B449" i="3" s="1"/>
  <c r="B450" i="3" a="1"/>
  <c r="B450" i="3" s="1"/>
  <c r="B451" i="3" a="1"/>
  <c r="B451" i="3" s="1"/>
  <c r="B452" i="3" a="1"/>
  <c r="B452" i="3" s="1"/>
  <c r="B453" i="3" a="1"/>
  <c r="B453" i="3" s="1"/>
  <c r="B454" i="3" a="1"/>
  <c r="B454" i="3" s="1"/>
  <c r="B455" i="3" a="1"/>
  <c r="B455" i="3" s="1"/>
  <c r="B456" i="3" a="1"/>
  <c r="B456" i="3" s="1"/>
  <c r="B457" i="3" a="1"/>
  <c r="B457" i="3" s="1"/>
  <c r="B458" i="3" a="1"/>
  <c r="B458" i="3" s="1"/>
  <c r="B459" i="3" a="1"/>
  <c r="B459" i="3" s="1"/>
  <c r="B460" i="3" a="1"/>
  <c r="B460" i="3" s="1"/>
  <c r="B461" i="3" a="1"/>
  <c r="B461" i="3" s="1"/>
  <c r="B462" i="3" a="1"/>
  <c r="B462" i="3" s="1"/>
  <c r="B463" i="3" a="1"/>
  <c r="B463" i="3" s="1"/>
  <c r="B464" i="3" a="1"/>
  <c r="B464" i="3" s="1"/>
  <c r="B465" i="3" a="1"/>
  <c r="B465" i="3" s="1"/>
  <c r="B466" i="3" a="1"/>
  <c r="B466" i="3" s="1"/>
  <c r="B467" i="3" a="1"/>
  <c r="B467" i="3" s="1"/>
  <c r="B468" i="3" a="1"/>
  <c r="B468" i="3" s="1"/>
  <c r="B469" i="3" a="1"/>
  <c r="B469" i="3" s="1"/>
  <c r="B470" i="3" a="1"/>
  <c r="B470" i="3" s="1"/>
  <c r="B471" i="3" a="1"/>
  <c r="B471" i="3" s="1"/>
  <c r="B472" i="3" a="1"/>
  <c r="B472" i="3" s="1"/>
  <c r="B473" i="3" a="1"/>
  <c r="B473" i="3"/>
  <c r="B474" i="3" a="1"/>
  <c r="B474" i="3" s="1"/>
  <c r="B475" i="3" a="1"/>
  <c r="B475" i="3" s="1"/>
  <c r="B476" i="3" a="1"/>
  <c r="B476" i="3" s="1"/>
  <c r="B477" i="3" a="1"/>
  <c r="B477" i="3" s="1"/>
  <c r="B478" i="3" a="1"/>
  <c r="B478" i="3" s="1"/>
  <c r="B479" i="3" a="1"/>
  <c r="B479" i="3" s="1"/>
  <c r="B480" i="3" a="1"/>
  <c r="B480" i="3" s="1"/>
  <c r="B481" i="3" a="1"/>
  <c r="B481" i="3" s="1"/>
  <c r="B482" i="3" a="1"/>
  <c r="B482" i="3" s="1"/>
  <c r="B483" i="3" a="1"/>
  <c r="B483" i="3" s="1"/>
  <c r="B484" i="3" a="1"/>
  <c r="B484" i="3" s="1"/>
  <c r="B485" i="3" a="1"/>
  <c r="B485" i="3" s="1"/>
  <c r="B486" i="3" a="1"/>
  <c r="B486" i="3" s="1"/>
  <c r="B487" i="3" a="1"/>
  <c r="B487" i="3" s="1"/>
  <c r="B488" i="3" a="1"/>
  <c r="B488" i="3" s="1"/>
  <c r="B489" i="3" a="1"/>
  <c r="B489" i="3" s="1"/>
  <c r="B490" i="3" a="1"/>
  <c r="B490" i="3" s="1"/>
  <c r="B491" i="3" a="1"/>
  <c r="B491" i="3" s="1"/>
  <c r="B492" i="3" a="1"/>
  <c r="B492" i="3" s="1"/>
  <c r="B493" i="3" a="1"/>
  <c r="B493" i="3" s="1"/>
  <c r="B494" i="3" a="1"/>
  <c r="B494" i="3" s="1"/>
  <c r="B495" i="3" a="1"/>
  <c r="B495" i="3" s="1"/>
  <c r="B496" i="3" a="1"/>
  <c r="B496" i="3" s="1"/>
  <c r="B497" i="3" a="1"/>
  <c r="B497" i="3" s="1"/>
  <c r="B498" i="3" a="1"/>
  <c r="B498" i="3" s="1"/>
  <c r="B499" i="3" a="1"/>
  <c r="B499" i="3" s="1"/>
  <c r="B500" i="3" a="1"/>
  <c r="B500" i="3" s="1"/>
  <c r="B501" i="3" a="1"/>
  <c r="B501" i="3" s="1"/>
  <c r="B502" i="3" a="1"/>
  <c r="B502" i="3" s="1"/>
  <c r="B503" i="3" a="1"/>
  <c r="B503" i="3" s="1"/>
  <c r="B504" i="3" a="1"/>
  <c r="B504" i="3" s="1"/>
  <c r="B505" i="3" a="1"/>
  <c r="B505" i="3" s="1"/>
  <c r="B506" i="3" a="1"/>
  <c r="B506" i="3" s="1"/>
  <c r="B507" i="3" a="1"/>
  <c r="B507" i="3"/>
  <c r="B508" i="3" a="1"/>
  <c r="B508" i="3" s="1"/>
  <c r="B509" i="3" a="1"/>
  <c r="B509" i="3" s="1"/>
  <c r="B510" i="3" a="1"/>
  <c r="B510" i="3" s="1"/>
  <c r="B511" i="3" a="1"/>
  <c r="B511" i="3" s="1"/>
  <c r="B512" i="3" a="1"/>
  <c r="B512" i="3" s="1"/>
  <c r="B513" i="3" a="1"/>
  <c r="B513" i="3" s="1"/>
  <c r="B514" i="3" a="1"/>
  <c r="B514" i="3" s="1"/>
  <c r="B515" i="3" a="1"/>
  <c r="B515" i="3" s="1"/>
  <c r="B516" i="3" a="1"/>
  <c r="B516" i="3" s="1"/>
  <c r="B517" i="3" a="1"/>
  <c r="B517" i="3"/>
  <c r="B518" i="3" a="1"/>
  <c r="B518" i="3" s="1"/>
  <c r="B519" i="3" a="1"/>
  <c r="B519" i="3" s="1"/>
  <c r="B520" i="3" a="1"/>
  <c r="B520" i="3" s="1"/>
  <c r="B521" i="3" a="1"/>
  <c r="B521" i="3" s="1"/>
  <c r="B522" i="3" a="1"/>
  <c r="B522" i="3" s="1"/>
  <c r="B523" i="3" a="1"/>
  <c r="B523" i="3" s="1"/>
  <c r="B524" i="3" a="1"/>
  <c r="B524" i="3" s="1"/>
  <c r="B525" i="3" a="1"/>
  <c r="B525" i="3" s="1"/>
  <c r="B526" i="3" a="1"/>
  <c r="B526" i="3" s="1"/>
  <c r="B527" i="3" a="1"/>
  <c r="B527" i="3" s="1"/>
  <c r="B528" i="3" a="1"/>
  <c r="B528" i="3" s="1"/>
  <c r="B529" i="3" a="1"/>
  <c r="B529" i="3" s="1"/>
  <c r="B530" i="3" a="1"/>
  <c r="B530" i="3" s="1"/>
  <c r="B531" i="3" a="1"/>
  <c r="B531" i="3" s="1"/>
  <c r="B532" i="3" a="1"/>
  <c r="B532" i="3" s="1"/>
  <c r="B533" i="3" a="1"/>
  <c r="B533" i="3" s="1"/>
  <c r="B534" i="3" a="1"/>
  <c r="B534" i="3" s="1"/>
  <c r="B535" i="3" a="1"/>
  <c r="B535" i="3" s="1"/>
  <c r="B536" i="3" a="1"/>
  <c r="B536" i="3" s="1"/>
  <c r="B537" i="3" a="1"/>
  <c r="B537" i="3" s="1"/>
  <c r="B538" i="3" a="1"/>
  <c r="B538" i="3" s="1"/>
  <c r="B539" i="3" a="1"/>
  <c r="B539" i="3" s="1"/>
  <c r="B540" i="3" a="1"/>
  <c r="B540" i="3" s="1"/>
  <c r="B541" i="3" a="1"/>
  <c r="B541" i="3"/>
  <c r="B542" i="3" a="1"/>
  <c r="B542" i="3" s="1"/>
  <c r="B543" i="3" a="1"/>
  <c r="B543" i="3" s="1"/>
  <c r="B544" i="3" a="1"/>
  <c r="B544" i="3" s="1"/>
  <c r="B545" i="3" a="1"/>
  <c r="B545" i="3" s="1"/>
  <c r="B546" i="3" a="1"/>
  <c r="B546" i="3" s="1"/>
  <c r="B547" i="3" a="1"/>
  <c r="B547" i="3" s="1"/>
  <c r="B548" i="3" a="1"/>
  <c r="B548" i="3" s="1"/>
  <c r="B549" i="3" a="1"/>
  <c r="B549" i="3" s="1"/>
  <c r="B550" i="3" a="1"/>
  <c r="B550" i="3" s="1"/>
  <c r="B551" i="3" a="1"/>
  <c r="B551" i="3" s="1"/>
  <c r="B552" i="3" a="1"/>
  <c r="B552" i="3" s="1"/>
  <c r="B553" i="3" a="1"/>
  <c r="B553" i="3" s="1"/>
  <c r="B554" i="3" a="1"/>
  <c r="B554" i="3" s="1"/>
  <c r="B555" i="3" a="1"/>
  <c r="B555" i="3" s="1"/>
  <c r="B556" i="3" a="1"/>
  <c r="B556" i="3" s="1"/>
  <c r="B557" i="3" a="1"/>
  <c r="B557" i="3" s="1"/>
  <c r="B558" i="3" a="1"/>
  <c r="B558" i="3" s="1"/>
  <c r="B559" i="3" a="1"/>
  <c r="B559" i="3" s="1"/>
  <c r="B560" i="3" a="1"/>
  <c r="B560" i="3" s="1"/>
  <c r="B561" i="3" a="1"/>
  <c r="B561" i="3" s="1"/>
  <c r="B562" i="3" a="1"/>
  <c r="B562" i="3" s="1"/>
  <c r="B563" i="3" a="1"/>
  <c r="B563" i="3" s="1"/>
  <c r="B564" i="3" a="1"/>
  <c r="B564" i="3" s="1"/>
  <c r="B565" i="3" a="1"/>
  <c r="B565" i="3" s="1"/>
  <c r="B566" i="3" a="1"/>
  <c r="B566" i="3" s="1"/>
  <c r="B567" i="3" a="1"/>
  <c r="B567" i="3" s="1"/>
  <c r="B568" i="3" a="1"/>
  <c r="B568" i="3" s="1"/>
  <c r="B569" i="3" a="1"/>
  <c r="B569" i="3" s="1"/>
  <c r="B570" i="3" a="1"/>
  <c r="B570" i="3" s="1"/>
  <c r="B571" i="3" a="1"/>
  <c r="B571" i="3" s="1"/>
  <c r="B572" i="3" a="1"/>
  <c r="B572" i="3" s="1"/>
  <c r="B573" i="3" a="1"/>
  <c r="B573" i="3" s="1"/>
  <c r="B574" i="3" a="1"/>
  <c r="B574" i="3" s="1"/>
  <c r="B575" i="3" a="1"/>
  <c r="B575" i="3" s="1"/>
  <c r="B576" i="3" a="1"/>
  <c r="B576" i="3" s="1"/>
  <c r="B577" i="3" a="1"/>
  <c r="B577" i="3" s="1"/>
  <c r="B578" i="3" a="1"/>
  <c r="B578" i="3" s="1"/>
  <c r="B579" i="3" a="1"/>
  <c r="B579" i="3" s="1"/>
  <c r="B580" i="3" a="1"/>
  <c r="B580" i="3" s="1"/>
  <c r="B581" i="3" a="1"/>
  <c r="B581" i="3" s="1"/>
  <c r="B582" i="3" a="1"/>
  <c r="B582" i="3" s="1"/>
  <c r="B583" i="3" a="1"/>
  <c r="B583" i="3" s="1"/>
  <c r="B584" i="3" a="1"/>
  <c r="B584" i="3" s="1"/>
  <c r="B585" i="3" a="1"/>
  <c r="B585" i="3" s="1"/>
  <c r="B586" i="3" a="1"/>
  <c r="B586" i="3"/>
  <c r="B587" i="3" a="1"/>
  <c r="B587" i="3" s="1"/>
  <c r="B588" i="3" a="1"/>
  <c r="B588" i="3" s="1"/>
  <c r="B589" i="3" a="1"/>
  <c r="B589" i="3" s="1"/>
  <c r="B590" i="3" a="1"/>
  <c r="B590" i="3" s="1"/>
  <c r="B591" i="3" a="1"/>
  <c r="B591" i="3" s="1"/>
  <c r="B592" i="3" a="1"/>
  <c r="B592" i="3" s="1"/>
  <c r="B593" i="3" a="1"/>
  <c r="B593" i="3" s="1"/>
  <c r="B594" i="3" a="1"/>
  <c r="B594" i="3" s="1"/>
  <c r="B595" i="3" a="1"/>
  <c r="B595" i="3" s="1"/>
  <c r="B596" i="3" a="1"/>
  <c r="B596" i="3" s="1"/>
  <c r="B597" i="3" a="1"/>
  <c r="B597" i="3" s="1"/>
  <c r="B598" i="3" a="1"/>
  <c r="B598" i="3" s="1"/>
  <c r="B599" i="3" a="1"/>
  <c r="B599" i="3" s="1"/>
  <c r="B600" i="3" a="1"/>
  <c r="B600" i="3" s="1"/>
  <c r="B601" i="3" a="1"/>
  <c r="B601" i="3" s="1"/>
  <c r="B602" i="3" a="1"/>
  <c r="B602" i="3" s="1"/>
  <c r="B603" i="3" a="1"/>
  <c r="B603" i="3" s="1"/>
  <c r="B604" i="3" a="1"/>
  <c r="B604" i="3" s="1"/>
  <c r="B605" i="3" a="1"/>
  <c r="B605" i="3" s="1"/>
  <c r="B606" i="3" a="1"/>
  <c r="B606" i="3" s="1"/>
  <c r="B607" i="3" a="1"/>
  <c r="B607" i="3" s="1"/>
  <c r="B608" i="3" a="1"/>
  <c r="B608" i="3" s="1"/>
  <c r="B609" i="3" a="1"/>
  <c r="B609" i="3"/>
  <c r="B610" i="3" a="1"/>
  <c r="B610" i="3" s="1"/>
  <c r="B611" i="3" a="1"/>
  <c r="B611" i="3" s="1"/>
  <c r="B612" i="3" a="1"/>
  <c r="B612" i="3" s="1"/>
  <c r="B613" i="3" a="1"/>
  <c r="B613" i="3" s="1"/>
  <c r="B614" i="3" a="1"/>
  <c r="B614" i="3" s="1"/>
  <c r="B615" i="3" a="1"/>
  <c r="B615" i="3" s="1"/>
  <c r="B616" i="3" a="1"/>
  <c r="B616" i="3" s="1"/>
  <c r="B617" i="3" a="1"/>
  <c r="B617" i="3" s="1"/>
  <c r="B618" i="3" a="1"/>
  <c r="B618" i="3" s="1"/>
  <c r="B619" i="3" a="1"/>
  <c r="B619" i="3" s="1"/>
  <c r="B620" i="3" a="1"/>
  <c r="B620" i="3" s="1"/>
  <c r="B621" i="3" a="1"/>
  <c r="B621" i="3" s="1"/>
  <c r="B622" i="3" a="1"/>
  <c r="B622" i="3" s="1"/>
  <c r="B623" i="3" a="1"/>
  <c r="B623" i="3" s="1"/>
  <c r="B624" i="3" a="1"/>
  <c r="B624" i="3" s="1"/>
  <c r="B625" i="3" a="1"/>
  <c r="B625" i="3" s="1"/>
  <c r="B626" i="3" a="1"/>
  <c r="B626" i="3" s="1"/>
  <c r="B627" i="3" a="1"/>
  <c r="B627" i="3" s="1"/>
  <c r="B628" i="3" a="1"/>
  <c r="B628" i="3" s="1"/>
  <c r="B629" i="3" a="1"/>
  <c r="B629" i="3" s="1"/>
  <c r="B630" i="3" a="1"/>
  <c r="B630" i="3"/>
  <c r="B631" i="3" a="1"/>
  <c r="B631" i="3" s="1"/>
  <c r="B632" i="3" a="1"/>
  <c r="B632" i="3" s="1"/>
  <c r="B633" i="3" a="1"/>
  <c r="B633" i="3" s="1"/>
  <c r="B634" i="3" a="1"/>
  <c r="B634" i="3" s="1"/>
  <c r="B635" i="3" a="1"/>
  <c r="B635" i="3"/>
  <c r="B636" i="3" a="1"/>
  <c r="B636" i="3" s="1"/>
  <c r="B637" i="3" a="1"/>
  <c r="B637" i="3" s="1"/>
  <c r="B638" i="3" a="1"/>
  <c r="B638" i="3" s="1"/>
  <c r="B639" i="3" a="1"/>
  <c r="B639" i="3" s="1"/>
  <c r="B640" i="3" a="1"/>
  <c r="B640" i="3" s="1"/>
  <c r="B641" i="3" a="1"/>
  <c r="B641" i="3" s="1"/>
  <c r="B642" i="3" a="1"/>
  <c r="B642" i="3" s="1"/>
  <c r="B643" i="3" a="1"/>
  <c r="B643" i="3" s="1"/>
  <c r="B644" i="3" a="1"/>
  <c r="B644" i="3" s="1"/>
  <c r="B645" i="3" a="1"/>
  <c r="B645" i="3" s="1"/>
  <c r="B646" i="3" a="1"/>
  <c r="B646" i="3" s="1"/>
  <c r="B647" i="3" a="1"/>
  <c r="B647" i="3" s="1"/>
  <c r="B648" i="3" a="1"/>
  <c r="B648" i="3" s="1"/>
  <c r="B649" i="3" a="1"/>
  <c r="B649" i="3" s="1"/>
  <c r="B650" i="3" a="1"/>
  <c r="B650" i="3" s="1"/>
  <c r="B651" i="3" a="1"/>
  <c r="B651" i="3" s="1"/>
  <c r="B652" i="3" a="1"/>
  <c r="B652" i="3"/>
  <c r="B653" i="3" a="1"/>
  <c r="B653" i="3" s="1"/>
  <c r="B654" i="3" a="1"/>
  <c r="B654" i="3" s="1"/>
  <c r="B655" i="3" a="1"/>
  <c r="B655" i="3" s="1"/>
  <c r="B656" i="3" a="1"/>
  <c r="B656" i="3" s="1"/>
  <c r="B657" i="3" a="1"/>
  <c r="B657" i="3" s="1"/>
  <c r="B658" i="3" a="1"/>
  <c r="B658" i="3" s="1"/>
  <c r="B659" i="3" a="1"/>
  <c r="B659" i="3" s="1"/>
  <c r="B660" i="3" a="1"/>
  <c r="B660" i="3" s="1"/>
  <c r="B661" i="3" a="1"/>
  <c r="B661" i="3" s="1"/>
  <c r="B662" i="3" a="1"/>
  <c r="B662" i="3" s="1"/>
  <c r="B663" i="3" a="1"/>
  <c r="B663" i="3"/>
  <c r="B664" i="3" a="1"/>
  <c r="B664" i="3" s="1"/>
  <c r="B665" i="3" a="1"/>
  <c r="B665" i="3" s="1"/>
  <c r="B666" i="3" a="1"/>
  <c r="B666" i="3" s="1"/>
  <c r="B667" i="3" a="1"/>
  <c r="B667" i="3" s="1"/>
  <c r="B668" i="3" a="1"/>
  <c r="B668" i="3" s="1"/>
  <c r="B669" i="3" a="1"/>
  <c r="B669" i="3" s="1"/>
  <c r="B670" i="3" a="1"/>
  <c r="B670" i="3" s="1"/>
  <c r="B671" i="3" a="1"/>
  <c r="B671" i="3" s="1"/>
  <c r="B672" i="3" a="1"/>
  <c r="B672" i="3" s="1"/>
  <c r="B673" i="3" a="1"/>
  <c r="B673" i="3" s="1"/>
  <c r="B674" i="3" a="1"/>
  <c r="B674" i="3" s="1"/>
  <c r="B675" i="3" a="1"/>
  <c r="B675" i="3" s="1"/>
  <c r="B676" i="3" a="1"/>
  <c r="B676" i="3" s="1"/>
  <c r="B677" i="3" a="1"/>
  <c r="B677" i="3" s="1"/>
  <c r="B678" i="3" a="1"/>
  <c r="B678" i="3" s="1"/>
  <c r="B679" i="3" a="1"/>
  <c r="B679" i="3" s="1"/>
  <c r="B680" i="3" a="1"/>
  <c r="B680" i="3" s="1"/>
  <c r="B681" i="3" a="1"/>
  <c r="B681" i="3" s="1"/>
  <c r="B682" i="3" a="1"/>
  <c r="B682" i="3" s="1"/>
  <c r="B683" i="3" a="1"/>
  <c r="B683" i="3" s="1"/>
  <c r="B684" i="3" a="1"/>
  <c r="B684" i="3"/>
  <c r="B685" i="3" a="1"/>
  <c r="B685" i="3" s="1"/>
  <c r="B686" i="3" a="1"/>
  <c r="B686" i="3" s="1"/>
  <c r="B687" i="3" a="1"/>
  <c r="B687" i="3" s="1"/>
  <c r="B688" i="3" a="1"/>
  <c r="B688" i="3" s="1"/>
  <c r="B689" i="3" a="1"/>
  <c r="B689" i="3" s="1"/>
  <c r="B690" i="3" a="1"/>
  <c r="B690" i="3" s="1"/>
  <c r="B691" i="3" a="1"/>
  <c r="B691" i="3" s="1"/>
  <c r="B692" i="3" a="1"/>
  <c r="B692" i="3" s="1"/>
  <c r="B693" i="3" a="1"/>
  <c r="B693" i="3" s="1"/>
  <c r="B694" i="3" a="1"/>
  <c r="B694" i="3" s="1"/>
  <c r="B695" i="3" a="1"/>
  <c r="B695" i="3" s="1"/>
  <c r="B696" i="3" a="1"/>
  <c r="B696" i="3" s="1"/>
  <c r="B697" i="3" a="1"/>
  <c r="B697" i="3" s="1"/>
  <c r="B698" i="3" a="1"/>
  <c r="B698" i="3" s="1"/>
  <c r="B699" i="3" a="1"/>
  <c r="B699" i="3" s="1"/>
  <c r="B700" i="3" a="1"/>
  <c r="B700" i="3" s="1"/>
  <c r="B701" i="3" a="1"/>
  <c r="B701" i="3" s="1"/>
  <c r="B702" i="3" a="1"/>
  <c r="B702" i="3" s="1"/>
  <c r="B703" i="3" a="1"/>
  <c r="B703" i="3" s="1"/>
  <c r="B704" i="3" a="1"/>
  <c r="B704" i="3" s="1"/>
  <c r="B705" i="3" a="1"/>
  <c r="B705" i="3"/>
  <c r="B706" i="3" a="1"/>
  <c r="B706" i="3" s="1"/>
  <c r="B707" i="3" a="1"/>
  <c r="B707" i="3" s="1"/>
  <c r="B708" i="3" a="1"/>
  <c r="B708" i="3" s="1"/>
  <c r="B709" i="3" a="1"/>
  <c r="B709" i="3" s="1"/>
  <c r="B710" i="3" a="1"/>
  <c r="B710" i="3" s="1"/>
  <c r="B711" i="3" a="1"/>
  <c r="B711" i="3" s="1"/>
  <c r="B712" i="3" a="1"/>
  <c r="B712" i="3" s="1"/>
  <c r="B713" i="3" a="1"/>
  <c r="B713" i="3" s="1"/>
  <c r="B714" i="3" a="1"/>
  <c r="B714" i="3" s="1"/>
  <c r="B715" i="3" a="1"/>
  <c r="B715" i="3" s="1"/>
  <c r="B716" i="3" a="1"/>
  <c r="B716" i="3" s="1"/>
  <c r="B717" i="3" a="1"/>
  <c r="B717" i="3" s="1"/>
  <c r="B718" i="3" a="1"/>
  <c r="B718" i="3" s="1"/>
  <c r="B719" i="3" a="1"/>
  <c r="B719" i="3" s="1"/>
  <c r="B720" i="3" a="1"/>
  <c r="B720" i="3" s="1"/>
  <c r="B721" i="3" a="1"/>
  <c r="B721" i="3" s="1"/>
  <c r="B722" i="3" a="1"/>
  <c r="B722" i="3" s="1"/>
  <c r="B723" i="3" a="1"/>
  <c r="B723" i="3" s="1"/>
  <c r="B724" i="3" a="1"/>
  <c r="B724" i="3" s="1"/>
  <c r="B725" i="3" a="1"/>
  <c r="B725" i="3" s="1"/>
  <c r="B726" i="3" a="1"/>
  <c r="B726" i="3" s="1"/>
  <c r="B727" i="3" a="1"/>
  <c r="B727" i="3"/>
  <c r="B728" i="3" a="1"/>
  <c r="B728" i="3" s="1"/>
  <c r="B729" i="3" a="1"/>
  <c r="B729" i="3" s="1"/>
  <c r="B730" i="3" a="1"/>
  <c r="B730" i="3" s="1"/>
  <c r="B731" i="3" a="1"/>
  <c r="B731" i="3" s="1"/>
  <c r="B732" i="3" a="1"/>
  <c r="B732" i="3" s="1"/>
  <c r="B733" i="3" a="1"/>
  <c r="B733" i="3" s="1"/>
  <c r="B734" i="3" a="1"/>
  <c r="B734" i="3" s="1"/>
  <c r="B735" i="3" a="1"/>
  <c r="B735" i="3" s="1"/>
  <c r="B736" i="3" a="1"/>
  <c r="B736" i="3" s="1"/>
  <c r="B737" i="3" a="1"/>
  <c r="B737" i="3"/>
  <c r="B738" i="3" a="1"/>
  <c r="B738" i="3" s="1"/>
  <c r="B739" i="3" a="1"/>
  <c r="B739" i="3" s="1"/>
  <c r="B740" i="3" a="1"/>
  <c r="B740" i="3" s="1"/>
  <c r="B741" i="3" a="1"/>
  <c r="B741" i="3" s="1"/>
  <c r="B742" i="3" a="1"/>
  <c r="B742" i="3" s="1"/>
  <c r="B743" i="3" a="1"/>
  <c r="B743" i="3" s="1"/>
  <c r="B744" i="3" a="1"/>
  <c r="B744" i="3" s="1"/>
  <c r="B745" i="3" a="1"/>
  <c r="B745" i="3" s="1"/>
  <c r="B746" i="3" a="1"/>
  <c r="B746" i="3" s="1"/>
  <c r="B747" i="3" a="1"/>
  <c r="B747" i="3" s="1"/>
  <c r="B748" i="3" a="1"/>
  <c r="B748" i="3" s="1"/>
  <c r="B749" i="3" a="1"/>
  <c r="B749" i="3" s="1"/>
  <c r="B750" i="3" a="1"/>
  <c r="B750" i="3" s="1"/>
  <c r="B751" i="3" a="1"/>
  <c r="B751" i="3" s="1"/>
  <c r="B752" i="3" a="1"/>
  <c r="B752" i="3" s="1"/>
  <c r="B753" i="3" a="1"/>
  <c r="B753" i="3" s="1"/>
  <c r="B754" i="3" a="1"/>
  <c r="B754" i="3" s="1"/>
  <c r="B755" i="3" a="1"/>
  <c r="B755" i="3" s="1"/>
  <c r="B756" i="3" a="1"/>
  <c r="B756" i="3" s="1"/>
  <c r="B757" i="3" a="1"/>
  <c r="B757" i="3" s="1"/>
  <c r="B758" i="3" a="1"/>
  <c r="B758" i="3" s="1"/>
  <c r="B759" i="3" a="1"/>
  <c r="B759" i="3" s="1"/>
  <c r="B760" i="3" a="1"/>
  <c r="B760" i="3" s="1"/>
  <c r="B761" i="3" a="1"/>
  <c r="B761" i="3" s="1"/>
  <c r="B762" i="3" a="1"/>
  <c r="B762" i="3" s="1"/>
  <c r="B763" i="3" a="1"/>
  <c r="B763" i="3" s="1"/>
  <c r="B764" i="3" a="1"/>
  <c r="B764" i="3" s="1"/>
  <c r="B765" i="3" a="1"/>
  <c r="B765" i="3" s="1"/>
  <c r="B766" i="3" a="1"/>
  <c r="B766" i="3" s="1"/>
  <c r="B767" i="3" a="1"/>
  <c r="B767" i="3" s="1"/>
  <c r="B768" i="3" a="1"/>
  <c r="B768" i="3"/>
  <c r="B769" i="3" a="1"/>
  <c r="B769" i="3" s="1"/>
  <c r="B770" i="3" a="1"/>
  <c r="B770" i="3" s="1"/>
  <c r="B771" i="3" a="1"/>
  <c r="B771" i="3" s="1"/>
  <c r="B772" i="3" a="1"/>
  <c r="B772" i="3" s="1"/>
  <c r="B773" i="3" a="1"/>
  <c r="B773" i="3" s="1"/>
  <c r="B774" i="3" a="1"/>
  <c r="B774" i="3" s="1"/>
  <c r="B775" i="3" a="1"/>
  <c r="B775" i="3" s="1"/>
  <c r="B776" i="3" a="1"/>
  <c r="B776" i="3" s="1"/>
  <c r="B777" i="3" a="1"/>
  <c r="B777" i="3" s="1"/>
  <c r="B778" i="3" a="1"/>
  <c r="B778" i="3" s="1"/>
  <c r="B779" i="3" a="1"/>
  <c r="B779" i="3" s="1"/>
  <c r="B780" i="3" a="1"/>
  <c r="B780" i="3" s="1"/>
  <c r="B781" i="3" a="1"/>
  <c r="B781" i="3" s="1"/>
  <c r="B782" i="3" a="1"/>
  <c r="B782" i="3" s="1"/>
  <c r="B783" i="3" a="1"/>
  <c r="B783" i="3" s="1"/>
  <c r="B784" i="3" a="1"/>
  <c r="B784" i="3" s="1"/>
  <c r="B785" i="3" a="1"/>
  <c r="B785" i="3" s="1"/>
  <c r="B786" i="3" a="1"/>
  <c r="B786" i="3" s="1"/>
  <c r="B787" i="3" a="1"/>
  <c r="B787" i="3"/>
  <c r="B788" i="3" a="1"/>
  <c r="B788" i="3" s="1"/>
  <c r="B789" i="3" a="1"/>
  <c r="B789" i="3" s="1"/>
  <c r="B790" i="3" a="1"/>
  <c r="B790" i="3" s="1"/>
  <c r="B791" i="3" a="1"/>
  <c r="B791" i="3" s="1"/>
  <c r="B792" i="3" a="1"/>
  <c r="B792" i="3" s="1"/>
  <c r="B793" i="3" a="1"/>
  <c r="B793" i="3"/>
  <c r="B794" i="3" a="1"/>
  <c r="B794" i="3" s="1"/>
  <c r="B795" i="3" a="1"/>
  <c r="B795" i="3" s="1"/>
  <c r="B796" i="3" a="1"/>
  <c r="B796" i="3" s="1"/>
  <c r="B797" i="3" a="1"/>
  <c r="B797" i="3" s="1"/>
  <c r="B798" i="3" a="1"/>
  <c r="B798" i="3" s="1"/>
  <c r="B799" i="3" a="1"/>
  <c r="B799" i="3" s="1"/>
  <c r="B800" i="3" a="1"/>
  <c r="B800" i="3" s="1"/>
  <c r="B801" i="3" a="1"/>
  <c r="B801" i="3" s="1"/>
  <c r="B802" i="3" a="1"/>
  <c r="B802" i="3" s="1"/>
  <c r="B803" i="3" a="1"/>
  <c r="B803" i="3" s="1"/>
  <c r="B804" i="3" a="1"/>
  <c r="B804" i="3" s="1"/>
  <c r="B805" i="3" a="1"/>
  <c r="B805" i="3" s="1"/>
  <c r="B806" i="3" a="1"/>
  <c r="B806" i="3" s="1"/>
  <c r="B807" i="3" a="1"/>
  <c r="B807" i="3" s="1"/>
  <c r="B808" i="3" a="1"/>
  <c r="B808" i="3" s="1"/>
  <c r="B809" i="3" a="1"/>
  <c r="B809" i="3" s="1"/>
  <c r="B810" i="3" a="1"/>
  <c r="B810" i="3" s="1"/>
  <c r="B811" i="3" a="1"/>
  <c r="B811" i="3" s="1"/>
  <c r="B812" i="3" a="1"/>
  <c r="B812" i="3" s="1"/>
  <c r="B813" i="3" a="1"/>
  <c r="B813" i="3" s="1"/>
  <c r="B814" i="3" a="1"/>
  <c r="B814" i="3" s="1"/>
  <c r="B815" i="3" a="1"/>
  <c r="B815" i="3" s="1"/>
  <c r="B816" i="3" a="1"/>
  <c r="B816" i="3" s="1"/>
  <c r="B817" i="3" a="1"/>
  <c r="B817" i="3" s="1"/>
  <c r="B818" i="3" a="1"/>
  <c r="B818" i="3" s="1"/>
  <c r="B819" i="3" a="1"/>
  <c r="B819" i="3" s="1"/>
  <c r="B820" i="3" a="1"/>
  <c r="B820" i="3" s="1"/>
  <c r="B821" i="3" a="1"/>
  <c r="B821" i="3" s="1"/>
  <c r="B822" i="3" a="1"/>
  <c r="B822" i="3" s="1"/>
  <c r="B823" i="3" a="1"/>
  <c r="B823" i="3" s="1"/>
  <c r="B824" i="3" a="1"/>
  <c r="B824" i="3" s="1"/>
  <c r="B825" i="3" a="1"/>
  <c r="B825" i="3"/>
  <c r="B826" i="3" a="1"/>
  <c r="B826" i="3" s="1"/>
  <c r="B827" i="3" a="1"/>
  <c r="B827" i="3" s="1"/>
  <c r="B828" i="3" a="1"/>
  <c r="B828" i="3" s="1"/>
  <c r="B829" i="3" a="1"/>
  <c r="B829" i="3" s="1"/>
  <c r="B830" i="3" a="1"/>
  <c r="B830" i="3" s="1"/>
  <c r="B831" i="3" a="1"/>
  <c r="B831" i="3" s="1"/>
  <c r="B832" i="3" a="1"/>
  <c r="B832" i="3" s="1"/>
  <c r="B833" i="3" a="1"/>
  <c r="B833" i="3" s="1"/>
  <c r="B834" i="3" a="1"/>
  <c r="B834" i="3"/>
  <c r="B835" i="3" a="1"/>
  <c r="B835" i="3" s="1"/>
  <c r="B836" i="3" a="1"/>
  <c r="B836" i="3" s="1"/>
  <c r="B837" i="3" a="1"/>
  <c r="B837" i="3" s="1"/>
  <c r="B838" i="3" a="1"/>
  <c r="B838" i="3" s="1"/>
  <c r="B839" i="3" a="1"/>
  <c r="B839" i="3" s="1"/>
  <c r="B840" i="3" a="1"/>
  <c r="B840" i="3" s="1"/>
  <c r="B841" i="3" a="1"/>
  <c r="B841" i="3" s="1"/>
  <c r="B842" i="3" a="1"/>
  <c r="B842" i="3" s="1"/>
  <c r="B843" i="3" a="1"/>
  <c r="B843" i="3"/>
  <c r="B844" i="3" a="1"/>
  <c r="B844" i="3" s="1"/>
  <c r="B845" i="3" a="1"/>
  <c r="B845" i="3" s="1"/>
  <c r="B846" i="3" a="1"/>
  <c r="B846" i="3" s="1"/>
  <c r="B847" i="3" a="1"/>
  <c r="B847" i="3" s="1"/>
  <c r="B848" i="3" a="1"/>
  <c r="B848" i="3" s="1"/>
  <c r="B849" i="3" a="1"/>
  <c r="B849" i="3" s="1"/>
  <c r="B850" i="3" a="1"/>
  <c r="B850" i="3" s="1"/>
  <c r="B851" i="3" a="1"/>
  <c r="B851" i="3" s="1"/>
  <c r="B852" i="3" a="1"/>
  <c r="B852" i="3" s="1"/>
  <c r="B853" i="3" a="1"/>
  <c r="B853" i="3"/>
  <c r="B854" i="3" a="1"/>
  <c r="B854" i="3" s="1"/>
  <c r="B855" i="3" a="1"/>
  <c r="B855" i="3" s="1"/>
  <c r="B856" i="3" a="1"/>
  <c r="B856" i="3" s="1"/>
  <c r="B857" i="3" a="1"/>
  <c r="B857" i="3" s="1"/>
  <c r="B858" i="3" a="1"/>
  <c r="B858" i="3"/>
  <c r="B859" i="3" a="1"/>
  <c r="B859" i="3" s="1"/>
  <c r="B860" i="3" a="1"/>
  <c r="B860" i="3" s="1"/>
  <c r="B861" i="3" a="1"/>
  <c r="B861" i="3" s="1"/>
  <c r="B862" i="3" a="1"/>
  <c r="B862" i="3" s="1"/>
  <c r="B863" i="3" a="1"/>
  <c r="B863" i="3" s="1"/>
  <c r="B864" i="3" a="1"/>
  <c r="B864" i="3" s="1"/>
  <c r="B865" i="3" a="1"/>
  <c r="B865" i="3" s="1"/>
  <c r="B866" i="3" a="1"/>
  <c r="B866" i="3"/>
  <c r="B867" i="3" a="1"/>
  <c r="B867" i="3" s="1"/>
  <c r="B868" i="3" a="1"/>
  <c r="B868" i="3" s="1"/>
  <c r="B869" i="3" a="1"/>
  <c r="B869" i="3" s="1"/>
  <c r="B870" i="3" a="1"/>
  <c r="B870" i="3" s="1"/>
  <c r="B871" i="3" a="1"/>
  <c r="B871" i="3"/>
  <c r="B872" i="3" a="1"/>
  <c r="B872" i="3" s="1"/>
  <c r="B873" i="3" a="1"/>
  <c r="B873" i="3"/>
  <c r="B874" i="3" a="1"/>
  <c r="B874" i="3" s="1"/>
  <c r="B875" i="3" a="1"/>
  <c r="B875" i="3" s="1"/>
  <c r="B876" i="3" a="1"/>
  <c r="B876" i="3"/>
  <c r="B877" i="3" a="1"/>
  <c r="B877" i="3" s="1"/>
  <c r="B878" i="3" a="1"/>
  <c r="B878" i="3" s="1"/>
  <c r="B879" i="3" a="1"/>
  <c r="B879" i="3" s="1"/>
  <c r="B880" i="3" a="1"/>
  <c r="B880" i="3" s="1"/>
  <c r="B881" i="3" a="1"/>
  <c r="B881" i="3" s="1"/>
  <c r="B882" i="3" a="1"/>
  <c r="B882" i="3" s="1"/>
  <c r="B883" i="3" a="1"/>
  <c r="B883" i="3" s="1"/>
  <c r="B884" i="3" a="1"/>
  <c r="B884" i="3" s="1"/>
  <c r="B885" i="3" a="1"/>
  <c r="B885" i="3" s="1"/>
  <c r="B886" i="3" a="1"/>
  <c r="B886" i="3" s="1"/>
  <c r="B887" i="3" a="1"/>
  <c r="B887" i="3" s="1"/>
  <c r="B888" i="3" a="1"/>
  <c r="B888" i="3" s="1"/>
  <c r="B889" i="3" a="1"/>
  <c r="B889" i="3" s="1"/>
  <c r="B890" i="3" a="1"/>
  <c r="B890" i="3" s="1"/>
  <c r="B891" i="3" a="1"/>
  <c r="B891" i="3" s="1"/>
  <c r="B892" i="3" a="1"/>
  <c r="B892" i="3" s="1"/>
  <c r="B893" i="3" a="1"/>
  <c r="B893" i="3" s="1"/>
  <c r="B894" i="3" a="1"/>
  <c r="B894" i="3" s="1"/>
  <c r="B895" i="3" a="1"/>
  <c r="B895" i="3"/>
  <c r="B896" i="3" a="1"/>
  <c r="B896" i="3"/>
  <c r="B897" i="3" a="1"/>
  <c r="B897" i="3" s="1"/>
  <c r="B898" i="3" a="1"/>
  <c r="B898" i="3" s="1"/>
  <c r="B899" i="3" a="1"/>
  <c r="B899" i="3" s="1"/>
  <c r="B900" i="3" a="1"/>
  <c r="B900" i="3" s="1"/>
  <c r="B901" i="3" a="1"/>
  <c r="B901" i="3" s="1"/>
  <c r="B902" i="3" a="1"/>
  <c r="B902" i="3" s="1"/>
  <c r="B903" i="3" a="1"/>
  <c r="B903" i="3" s="1"/>
  <c r="B904" i="3" a="1"/>
  <c r="B904" i="3" s="1"/>
  <c r="B905" i="3" a="1"/>
  <c r="B905" i="3"/>
  <c r="B906" i="3" a="1"/>
  <c r="B906" i="3"/>
  <c r="B907" i="3" a="1"/>
  <c r="B907" i="3" s="1"/>
  <c r="B908" i="3" a="1"/>
  <c r="B908" i="3" s="1"/>
  <c r="B909" i="3" a="1"/>
  <c r="B909" i="3" s="1"/>
  <c r="B910" i="3" a="1"/>
  <c r="B910" i="3" s="1"/>
  <c r="B911" i="3" a="1"/>
  <c r="B911" i="3" s="1"/>
  <c r="B912" i="3" a="1"/>
  <c r="B912" i="3" s="1"/>
  <c r="B913" i="3" a="1"/>
  <c r="B913" i="3" s="1"/>
  <c r="B914" i="3" a="1"/>
  <c r="B914" i="3" s="1"/>
  <c r="B915" i="3" a="1"/>
  <c r="B915" i="3" s="1"/>
  <c r="B916" i="3" a="1"/>
  <c r="B916" i="3" s="1"/>
  <c r="B917" i="3" a="1"/>
  <c r="B917" i="3" s="1"/>
  <c r="B918" i="3" a="1"/>
  <c r="B918" i="3" s="1"/>
  <c r="B919" i="3" a="1"/>
  <c r="B919" i="3" s="1"/>
  <c r="B920" i="3" a="1"/>
  <c r="B920" i="3" s="1"/>
  <c r="B921" i="3" a="1"/>
  <c r="B921" i="3" s="1"/>
  <c r="B922" i="3" a="1"/>
  <c r="B922" i="3" s="1"/>
  <c r="B923" i="3" a="1"/>
  <c r="B923" i="3" s="1"/>
  <c r="B924" i="3" a="1"/>
  <c r="B924" i="3" s="1"/>
  <c r="B925" i="3" a="1"/>
  <c r="B925" i="3" s="1"/>
  <c r="B926" i="3" a="1"/>
  <c r="B926" i="3" s="1"/>
  <c r="B927" i="3" a="1"/>
  <c r="B927" i="3" s="1"/>
  <c r="B928" i="3" a="1"/>
  <c r="B928" i="3" s="1"/>
  <c r="B929" i="3" a="1"/>
  <c r="B929" i="3"/>
  <c r="B930" i="3" a="1"/>
  <c r="B930" i="3" s="1"/>
  <c r="B931" i="3" a="1"/>
  <c r="B931" i="3" s="1"/>
  <c r="B932" i="3" a="1"/>
  <c r="B932" i="3" s="1"/>
  <c r="B933" i="3" a="1"/>
  <c r="B933" i="3" s="1"/>
  <c r="B934" i="3" a="1"/>
  <c r="B934" i="3" s="1"/>
  <c r="B935" i="3" a="1"/>
  <c r="B935" i="3"/>
  <c r="B936" i="3" a="1"/>
  <c r="B936" i="3" s="1"/>
  <c r="B937" i="3" a="1"/>
  <c r="B937" i="3" s="1"/>
  <c r="B938" i="3" a="1"/>
  <c r="B938" i="3" s="1"/>
  <c r="B939" i="3" a="1"/>
  <c r="B939" i="3" s="1"/>
  <c r="B940" i="3" a="1"/>
  <c r="B940" i="3" s="1"/>
  <c r="B941" i="3" a="1"/>
  <c r="B941" i="3" s="1"/>
  <c r="B942" i="3" a="1"/>
  <c r="B942" i="3" s="1"/>
  <c r="B943" i="3" a="1"/>
  <c r="B943" i="3" s="1"/>
  <c r="B944" i="3" a="1"/>
  <c r="B944" i="3" s="1"/>
  <c r="B945" i="3" a="1"/>
  <c r="B945" i="3" s="1"/>
  <c r="B946" i="3" a="1"/>
  <c r="B946" i="3" s="1"/>
  <c r="B947" i="3" a="1"/>
  <c r="B947" i="3" s="1"/>
  <c r="B948" i="3" a="1"/>
  <c r="B948" i="3" s="1"/>
  <c r="B949" i="3" a="1"/>
  <c r="B949" i="3" s="1"/>
  <c r="B950" i="3" a="1"/>
  <c r="B950" i="3" s="1"/>
  <c r="B951" i="3" a="1"/>
  <c r="B951" i="3" s="1"/>
  <c r="B952" i="3" a="1"/>
  <c r="B952" i="3" s="1"/>
  <c r="B953" i="3" a="1"/>
  <c r="B953" i="3"/>
  <c r="B954" i="3" a="1"/>
  <c r="B954" i="3"/>
  <c r="B955" i="3" a="1"/>
  <c r="B955" i="3" s="1"/>
  <c r="B956" i="3" a="1"/>
  <c r="B956" i="3" s="1"/>
  <c r="B957" i="3" a="1"/>
  <c r="B957" i="3" s="1"/>
  <c r="B958" i="3" a="1"/>
  <c r="B958" i="3" s="1"/>
  <c r="B959" i="3" a="1"/>
  <c r="B959" i="3" s="1"/>
  <c r="B960" i="3" a="1"/>
  <c r="B960" i="3" s="1"/>
  <c r="B961" i="3" a="1"/>
  <c r="B961" i="3" s="1"/>
  <c r="B962" i="3" a="1"/>
  <c r="B962" i="3" s="1"/>
  <c r="B963" i="3" a="1"/>
  <c r="B963" i="3" s="1"/>
  <c r="B964" i="3" a="1"/>
  <c r="B964" i="3" s="1"/>
  <c r="B965" i="3" a="1"/>
  <c r="B965" i="3" s="1"/>
  <c r="B966" i="3" a="1"/>
  <c r="B966" i="3"/>
  <c r="B967" i="3" a="1"/>
  <c r="B967" i="3" s="1"/>
  <c r="B968" i="3" a="1"/>
  <c r="B968" i="3"/>
  <c r="B969" i="3" a="1"/>
  <c r="B969" i="3"/>
  <c r="B970" i="3" a="1"/>
  <c r="B970" i="3" s="1"/>
  <c r="B971" i="3" a="1"/>
  <c r="B971" i="3"/>
  <c r="B972" i="3" a="1"/>
  <c r="B972" i="3" s="1"/>
  <c r="B973" i="3" a="1"/>
  <c r="B973" i="3" s="1"/>
  <c r="B974" i="3" a="1"/>
  <c r="B974" i="3"/>
  <c r="B975" i="3" a="1"/>
  <c r="B975" i="3" s="1"/>
  <c r="B976" i="3" a="1"/>
  <c r="B976" i="3" s="1"/>
  <c r="B977" i="3" a="1"/>
  <c r="B977" i="3" s="1"/>
  <c r="B978" i="3" a="1"/>
  <c r="B978" i="3" s="1"/>
  <c r="B979" i="3" a="1"/>
  <c r="B979" i="3" s="1"/>
  <c r="B980" i="3" a="1"/>
  <c r="B980" i="3" s="1"/>
  <c r="B981" i="3" a="1"/>
  <c r="B981" i="3" s="1"/>
  <c r="B982" i="3" a="1"/>
  <c r="B982" i="3" s="1"/>
  <c r="B983" i="3" a="1"/>
  <c r="B983" i="3" s="1"/>
  <c r="B984" i="3" a="1"/>
  <c r="B984" i="3" s="1"/>
  <c r="B985" i="3" a="1"/>
  <c r="B985" i="3" s="1"/>
  <c r="B986" i="3" a="1"/>
  <c r="B986" i="3" s="1"/>
  <c r="B987" i="3" a="1"/>
  <c r="B987" i="3"/>
  <c r="B988" i="3" a="1"/>
  <c r="B988" i="3" s="1"/>
  <c r="B989" i="3" a="1"/>
  <c r="B989" i="3" s="1"/>
  <c r="B990" i="3" a="1"/>
  <c r="B990" i="3" s="1"/>
  <c r="B991" i="3" a="1"/>
  <c r="B991" i="3"/>
  <c r="B992" i="3" a="1"/>
  <c r="B992" i="3" s="1"/>
  <c r="B993" i="3" a="1"/>
  <c r="B993" i="3" s="1"/>
  <c r="B994" i="3" a="1"/>
  <c r="B994" i="3" s="1"/>
  <c r="B995" i="3" a="1"/>
  <c r="B995" i="3" s="1"/>
  <c r="B996" i="3" a="1"/>
  <c r="B996" i="3" s="1"/>
  <c r="B997" i="3" a="1"/>
  <c r="B997" i="3"/>
  <c r="B998" i="3" a="1"/>
  <c r="B998" i="3" s="1"/>
  <c r="B999" i="3" a="1"/>
  <c r="B999" i="3" s="1"/>
  <c r="B1000" i="3" a="1"/>
  <c r="B1000" i="3" s="1"/>
  <c r="B1001" i="3" a="1"/>
  <c r="B1001" i="3" s="1"/>
  <c r="B1002" i="3" a="1"/>
  <c r="B1002" i="3" s="1"/>
  <c r="B1003" i="3" a="1"/>
  <c r="B1003" i="3" s="1"/>
  <c r="B1004" i="3" a="1"/>
  <c r="B1004" i="3"/>
  <c r="B1005" i="3" a="1"/>
  <c r="B1005" i="3" s="1"/>
  <c r="B1006" i="3" a="1"/>
  <c r="B1006" i="3" s="1"/>
  <c r="B1007" i="3" a="1"/>
  <c r="B1007" i="3" s="1"/>
  <c r="B1008" i="3" a="1"/>
  <c r="B1008" i="3" s="1"/>
  <c r="B1009" i="3" a="1"/>
  <c r="B1009" i="3" s="1"/>
  <c r="B1010" i="3" a="1"/>
  <c r="B1010" i="3" s="1"/>
  <c r="B1011" i="3" a="1"/>
  <c r="B1011" i="3" s="1"/>
  <c r="B1012" i="3" a="1"/>
  <c r="B1012" i="3" s="1"/>
  <c r="B1013" i="3" a="1"/>
  <c r="B1013" i="3" s="1"/>
  <c r="B1014" i="3" a="1"/>
  <c r="B1014" i="3" s="1"/>
  <c r="B1015" i="3" a="1"/>
  <c r="B1015" i="3" s="1"/>
  <c r="B1016" i="3" a="1"/>
  <c r="B1016" i="3" s="1"/>
  <c r="B1017" i="3" a="1"/>
  <c r="B1017" i="3" s="1"/>
  <c r="B1018" i="3" a="1"/>
  <c r="B1018" i="3" s="1"/>
  <c r="B1019" i="3" a="1"/>
  <c r="B1019" i="3" s="1"/>
  <c r="B1020" i="3" a="1"/>
  <c r="B1020" i="3"/>
  <c r="B1021" i="3" a="1"/>
  <c r="B1021" i="3" s="1"/>
  <c r="B1022" i="3" a="1"/>
  <c r="B1022" i="3" s="1"/>
  <c r="B1023" i="3" a="1"/>
  <c r="B1023" i="3"/>
  <c r="B1024" i="3" a="1"/>
  <c r="B1024" i="3" s="1"/>
  <c r="B1025" i="3" a="1"/>
  <c r="B1025" i="3" s="1"/>
  <c r="B1026" i="3" a="1"/>
  <c r="B1026" i="3" s="1"/>
  <c r="B1027" i="3" a="1"/>
  <c r="B1027" i="3" s="1"/>
  <c r="B1028" i="3" a="1"/>
  <c r="B1028" i="3" s="1"/>
  <c r="B1029" i="3" a="1"/>
  <c r="B1029" i="3" s="1"/>
  <c r="B1030" i="3" a="1"/>
  <c r="B1030" i="3" s="1"/>
  <c r="B1031" i="3" a="1"/>
  <c r="B1031" i="3" s="1"/>
  <c r="B1032" i="3" a="1"/>
  <c r="B1032" i="3" s="1"/>
  <c r="B1033" i="3" a="1"/>
  <c r="B1033" i="3"/>
  <c r="B1034" i="3" a="1"/>
  <c r="B1034" i="3" s="1"/>
  <c r="B1035" i="3" a="1"/>
  <c r="B1035" i="3" s="1"/>
  <c r="B1036" i="3" a="1"/>
  <c r="B1036" i="3" s="1"/>
  <c r="B1037" i="3" a="1"/>
  <c r="B1037" i="3" s="1"/>
  <c r="B1038" i="3" a="1"/>
  <c r="B1038" i="3" s="1"/>
  <c r="B1039" i="3" a="1"/>
  <c r="B1039" i="3"/>
  <c r="B1040" i="3" a="1"/>
  <c r="B1040" i="3" s="1"/>
  <c r="B1041" i="3" a="1"/>
  <c r="B1041" i="3" s="1"/>
  <c r="B1042" i="3" a="1"/>
  <c r="B1042" i="3" s="1"/>
  <c r="B1043" i="3" a="1"/>
  <c r="B1043" i="3" s="1"/>
  <c r="B1044" i="3" a="1"/>
  <c r="B1044" i="3" s="1"/>
  <c r="B1045" i="3" a="1"/>
  <c r="B1045" i="3" s="1"/>
  <c r="B1046" i="3" a="1"/>
  <c r="B1046" i="3" s="1"/>
  <c r="B1047" i="3" a="1"/>
  <c r="B1047" i="3" s="1"/>
  <c r="B1048" i="3" a="1"/>
  <c r="B1048" i="3" s="1"/>
  <c r="B1049" i="3" a="1"/>
  <c r="B1049" i="3" s="1"/>
  <c r="B1050" i="3" a="1"/>
  <c r="B1050" i="3" s="1"/>
  <c r="B1051" i="3" a="1"/>
  <c r="B1051" i="3" s="1"/>
  <c r="B1052" i="3" a="1"/>
  <c r="B1052" i="3" s="1"/>
  <c r="B1053" i="3" a="1"/>
  <c r="B1053" i="3" s="1"/>
  <c r="B1054" i="3" a="1"/>
  <c r="B1054" i="3" s="1"/>
  <c r="B1055" i="3" a="1"/>
  <c r="B1055" i="3" s="1"/>
  <c r="B1056" i="3" a="1"/>
  <c r="B1056" i="3" s="1"/>
  <c r="B1057" i="3" a="1"/>
  <c r="B1057" i="3" s="1"/>
  <c r="B1058" i="3" a="1"/>
  <c r="B1058" i="3" s="1"/>
  <c r="B1059" i="3" a="1"/>
  <c r="B1059" i="3" s="1"/>
  <c r="B1060" i="3" a="1"/>
  <c r="B1060" i="3" s="1"/>
  <c r="B1061" i="3" a="1"/>
  <c r="B1061" i="3" s="1"/>
  <c r="B1062" i="3" a="1"/>
  <c r="B1062" i="3" s="1"/>
  <c r="B1063" i="3" a="1"/>
  <c r="B1063" i="3" s="1"/>
  <c r="B1064" i="3" a="1"/>
  <c r="B1064" i="3" s="1"/>
  <c r="B1065" i="3" a="1"/>
  <c r="B1065" i="3" s="1"/>
  <c r="B1066" i="3" a="1"/>
  <c r="B1066" i="3" s="1"/>
  <c r="B1067" i="3" a="1"/>
  <c r="B1067" i="3" s="1"/>
  <c r="B1068" i="3" a="1"/>
  <c r="B1068" i="3" s="1"/>
  <c r="B1069" i="3" a="1"/>
  <c r="B1069" i="3"/>
  <c r="B1070" i="3" a="1"/>
  <c r="B1070" i="3" s="1"/>
  <c r="B1071" i="3" a="1"/>
  <c r="B1071" i="3" s="1"/>
  <c r="B1072" i="3" a="1"/>
  <c r="B1072" i="3" s="1"/>
  <c r="B1073" i="3" a="1"/>
  <c r="B1073" i="3" s="1"/>
  <c r="B1074" i="3" a="1"/>
  <c r="B1074" i="3" s="1"/>
  <c r="B1075" i="3" a="1"/>
  <c r="B1075" i="3" s="1"/>
  <c r="B1076" i="3" a="1"/>
  <c r="B1076" i="3"/>
  <c r="B1077" i="3" a="1"/>
  <c r="B1077" i="3" s="1"/>
  <c r="B1078" i="3" a="1"/>
  <c r="B1078" i="3" s="1"/>
  <c r="B1079" i="3" a="1"/>
  <c r="B1079" i="3" s="1"/>
  <c r="B1080" i="3" a="1"/>
  <c r="B1080" i="3" s="1"/>
  <c r="B1081" i="3" a="1"/>
  <c r="B1081" i="3" s="1"/>
  <c r="B1082" i="3" a="1"/>
  <c r="B1082" i="3" s="1"/>
  <c r="B1083" i="3" a="1"/>
  <c r="B1083" i="3" s="1"/>
  <c r="B1084" i="3" a="1"/>
  <c r="B1084" i="3" s="1"/>
  <c r="B1085" i="3" a="1"/>
  <c r="B1085" i="3" s="1"/>
  <c r="B1086" i="3" a="1"/>
  <c r="B1086" i="3" s="1"/>
  <c r="B1087" i="3" a="1"/>
  <c r="B1087" i="3" s="1"/>
  <c r="B1088" i="3" a="1"/>
  <c r="B1088" i="3" s="1"/>
  <c r="B1089" i="3" a="1"/>
  <c r="B1089" i="3" s="1"/>
  <c r="B1090" i="3" a="1"/>
  <c r="B1090" i="3" s="1"/>
  <c r="B1091" i="3" a="1"/>
  <c r="B1091" i="3" s="1"/>
  <c r="B1092" i="3" a="1"/>
  <c r="B1092" i="3" s="1"/>
  <c r="B1093" i="3" a="1"/>
  <c r="B1093" i="3" s="1"/>
  <c r="B1094" i="3" a="1"/>
  <c r="B1094" i="3" s="1"/>
  <c r="B1095" i="3" a="1"/>
  <c r="B1095" i="3"/>
  <c r="B1096" i="3" a="1"/>
  <c r="B1096" i="3" s="1"/>
  <c r="B1097" i="3" a="1"/>
  <c r="B1097" i="3" s="1"/>
  <c r="B1098" i="3" a="1"/>
  <c r="B1098" i="3" s="1"/>
  <c r="B1099" i="3" a="1"/>
  <c r="B1099" i="3" s="1"/>
  <c r="B1100" i="3" a="1"/>
  <c r="B1100" i="3" s="1"/>
  <c r="B1101" i="3" a="1"/>
  <c r="B1101" i="3" s="1"/>
  <c r="B1102" i="3" a="1"/>
  <c r="B1102" i="3" s="1"/>
  <c r="B1103" i="3" a="1"/>
  <c r="B1103" i="3" s="1"/>
  <c r="B1104" i="3" a="1"/>
  <c r="B1104" i="3" s="1"/>
  <c r="B1105" i="3" a="1"/>
  <c r="B1105" i="3" s="1"/>
  <c r="B1106" i="3" a="1"/>
  <c r="B1106" i="3" s="1"/>
  <c r="B1107" i="3" a="1"/>
  <c r="B1107" i="3" s="1"/>
  <c r="B1108" i="3" a="1"/>
  <c r="B1108" i="3" s="1"/>
  <c r="B1109" i="3" a="1"/>
  <c r="B1109" i="3"/>
  <c r="B1110" i="3" a="1"/>
  <c r="B1110" i="3" s="1"/>
  <c r="B1111" i="3" a="1"/>
  <c r="B1111" i="3" s="1"/>
  <c r="B1112" i="3" a="1"/>
  <c r="B1112" i="3"/>
  <c r="B1113" i="3" a="1"/>
  <c r="B1113" i="3" s="1"/>
  <c r="B1114" i="3" a="1"/>
  <c r="B1114" i="3" s="1"/>
  <c r="B1115" i="3" a="1"/>
  <c r="B1115" i="3" s="1"/>
  <c r="B1116" i="3" a="1"/>
  <c r="B1116" i="3" s="1"/>
  <c r="B1117" i="3" a="1"/>
  <c r="B1117" i="3" s="1"/>
  <c r="B1118" i="3" a="1"/>
  <c r="B1118" i="3" s="1"/>
  <c r="B1119" i="3" a="1"/>
  <c r="B1119" i="3" s="1"/>
  <c r="B1120" i="3" a="1"/>
  <c r="B1120" i="3" s="1"/>
  <c r="B1121" i="3" a="1"/>
  <c r="B1121" i="3"/>
  <c r="B1122" i="3" a="1"/>
  <c r="B1122" i="3" s="1"/>
  <c r="B1123" i="3" a="1"/>
  <c r="B1123" i="3" s="1"/>
  <c r="B1124" i="3" a="1"/>
  <c r="B1124" i="3" s="1"/>
  <c r="B1125" i="3" a="1"/>
  <c r="B1125" i="3" s="1"/>
  <c r="B1126" i="3" a="1"/>
  <c r="B1126" i="3" s="1"/>
  <c r="B1127" i="3" a="1"/>
  <c r="B1127" i="3" s="1"/>
  <c r="B1128" i="3" a="1"/>
  <c r="B1128" i="3" s="1"/>
  <c r="B1129" i="3" a="1"/>
  <c r="B1129" i="3" s="1"/>
  <c r="B1130" i="3" a="1"/>
  <c r="B1130" i="3" s="1"/>
  <c r="B1131" i="3" a="1"/>
  <c r="B1131" i="3" s="1"/>
  <c r="B1132" i="3" a="1"/>
  <c r="B1132" i="3" s="1"/>
  <c r="B1133" i="3" a="1"/>
  <c r="B1133" i="3" s="1"/>
  <c r="B1134" i="3" a="1"/>
  <c r="B1134" i="3" s="1"/>
  <c r="B1135" i="3" a="1"/>
  <c r="B1135" i="3"/>
  <c r="B1136" i="3" a="1"/>
  <c r="B1136" i="3" s="1"/>
  <c r="B1137" i="3" a="1"/>
  <c r="B1137" i="3" s="1"/>
  <c r="B1138" i="3" a="1"/>
  <c r="B1138" i="3" s="1"/>
  <c r="B1139" i="3" a="1"/>
  <c r="B1139" i="3" s="1"/>
  <c r="B1140" i="3" a="1"/>
  <c r="B1140" i="3" s="1"/>
  <c r="B1141" i="3" a="1"/>
  <c r="B1141" i="3" s="1"/>
  <c r="B1142" i="3" a="1"/>
  <c r="B1142" i="3" s="1"/>
  <c r="B1143" i="3" a="1"/>
  <c r="B1143" i="3" s="1"/>
  <c r="B1144" i="3" a="1"/>
  <c r="B1144" i="3" s="1"/>
  <c r="B1145" i="3" a="1"/>
  <c r="B1145" i="3"/>
  <c r="B1146" i="3" a="1"/>
  <c r="B1146" i="3" s="1"/>
  <c r="B1147" i="3" a="1"/>
  <c r="B1147" i="3" s="1"/>
  <c r="B1148" i="3" a="1"/>
  <c r="B1148" i="3" s="1"/>
  <c r="B1149" i="3" a="1"/>
  <c r="B1149" i="3" s="1"/>
  <c r="B1150" i="3" a="1"/>
  <c r="B1150" i="3" s="1"/>
  <c r="B1151" i="3" a="1"/>
  <c r="B1151" i="3" s="1"/>
  <c r="B1152" i="3" a="1"/>
  <c r="B1152" i="3" s="1"/>
  <c r="B1153" i="3" a="1"/>
  <c r="B1153" i="3"/>
  <c r="B1154" i="3" a="1"/>
  <c r="B1154" i="3"/>
  <c r="B1155" i="3" a="1"/>
  <c r="B1155" i="3" s="1"/>
  <c r="B1156" i="3" a="1"/>
  <c r="B1156" i="3" s="1"/>
  <c r="B1157" i="3" a="1"/>
  <c r="B1157" i="3" s="1"/>
  <c r="B1158" i="3" a="1"/>
  <c r="B1158" i="3" s="1"/>
  <c r="B1159" i="3" a="1"/>
  <c r="B1159" i="3" s="1"/>
  <c r="B1160" i="3" a="1"/>
  <c r="B1160" i="3" s="1"/>
  <c r="B1161" i="3" a="1"/>
  <c r="B1161" i="3" s="1"/>
  <c r="B1162" i="3" a="1"/>
  <c r="B1162" i="3" s="1"/>
  <c r="B1163" i="3" a="1"/>
  <c r="B1163" i="3" s="1"/>
  <c r="B1164" i="3" a="1"/>
  <c r="B1164" i="3" s="1"/>
  <c r="B1165" i="3" a="1"/>
  <c r="B1165" i="3"/>
  <c r="B1166" i="3" a="1"/>
  <c r="B1166" i="3" s="1"/>
  <c r="B1167" i="3" a="1"/>
  <c r="B1167" i="3" s="1"/>
  <c r="B1168" i="3" a="1"/>
  <c r="B1168" i="3" s="1"/>
  <c r="B1169" i="3" a="1"/>
  <c r="B1169" i="3" s="1"/>
  <c r="B1170" i="3" a="1"/>
  <c r="B1170" i="3" s="1"/>
  <c r="B1171" i="3" a="1"/>
  <c r="B1171" i="3" s="1"/>
  <c r="B1172" i="3" a="1"/>
  <c r="B1172" i="3"/>
  <c r="B1173" i="3" a="1"/>
  <c r="B1173" i="3" s="1"/>
  <c r="B1174" i="3" a="1"/>
  <c r="B1174" i="3" s="1"/>
  <c r="B1175" i="3" a="1"/>
  <c r="B1175" i="3" s="1"/>
  <c r="B1176" i="3" a="1"/>
  <c r="B1176" i="3" s="1"/>
  <c r="B1177" i="3" a="1"/>
  <c r="B1177" i="3" s="1"/>
  <c r="B1178" i="3" a="1"/>
  <c r="B1178" i="3" s="1"/>
  <c r="B1179" i="3" a="1"/>
  <c r="B1179" i="3" s="1"/>
  <c r="B1180" i="3" a="1"/>
  <c r="B1180" i="3" s="1"/>
  <c r="B1181" i="3" a="1"/>
  <c r="B1181" i="3"/>
  <c r="B1182" i="3" a="1"/>
  <c r="B1182" i="3" s="1"/>
  <c r="B1183" i="3" a="1"/>
  <c r="B1183" i="3" s="1"/>
  <c r="B1184" i="3" a="1"/>
  <c r="B1184" i="3" s="1"/>
  <c r="B1185" i="3" a="1"/>
  <c r="B1185" i="3"/>
  <c r="B1186" i="3" a="1"/>
  <c r="B1186" i="3" s="1"/>
  <c r="B1187" i="3" a="1"/>
  <c r="B1187" i="3" s="1"/>
  <c r="B1188" i="3" a="1"/>
  <c r="B1188" i="3" s="1"/>
  <c r="B1189" i="3" a="1"/>
  <c r="B1189" i="3" s="1"/>
  <c r="B1190" i="3" a="1"/>
  <c r="B1190" i="3" s="1"/>
  <c r="B1191" i="3" a="1"/>
  <c r="B1191" i="3" s="1"/>
  <c r="B1192" i="3" a="1"/>
  <c r="B1192" i="3" s="1"/>
  <c r="B1193" i="3" a="1"/>
  <c r="B1193" i="3" s="1"/>
  <c r="B1194" i="3" a="1"/>
  <c r="B1194" i="3" s="1"/>
  <c r="B1195" i="3" a="1"/>
  <c r="B1195" i="3" s="1"/>
  <c r="B1196" i="3" a="1"/>
  <c r="B1196" i="3" s="1"/>
  <c r="B1197" i="3" a="1"/>
  <c r="B1197" i="3" s="1"/>
  <c r="B1198" i="3" a="1"/>
  <c r="B1198" i="3" s="1"/>
  <c r="B1199" i="3" a="1"/>
  <c r="B1199" i="3" s="1"/>
  <c r="B1200" i="3" a="1"/>
  <c r="B1200" i="3" s="1"/>
  <c r="B1201" i="3" a="1"/>
  <c r="B1201" i="3" s="1"/>
  <c r="B1202" i="3" a="1"/>
  <c r="B1202" i="3"/>
  <c r="B1203" i="3" a="1"/>
  <c r="B1203" i="3"/>
  <c r="B1204" i="3" a="1"/>
  <c r="B1204" i="3" s="1"/>
  <c r="B1205" i="3" a="1"/>
  <c r="B1205" i="3" s="1"/>
  <c r="B1206" i="3" a="1"/>
  <c r="B1206" i="3" s="1"/>
  <c r="B1207" i="3" a="1"/>
  <c r="B1207" i="3" s="1"/>
  <c r="B1208" i="3" a="1"/>
  <c r="B1208" i="3" s="1"/>
  <c r="B1209" i="3" a="1"/>
  <c r="B1209" i="3" s="1"/>
  <c r="B1210" i="3" a="1"/>
  <c r="B1210" i="3" s="1"/>
  <c r="B1211" i="3" a="1"/>
  <c r="B1211" i="3" s="1"/>
  <c r="B1212" i="3" a="1"/>
  <c r="B1212" i="3" s="1"/>
  <c r="B1213" i="3" a="1"/>
  <c r="B1213" i="3" s="1"/>
  <c r="B1214" i="3" a="1"/>
  <c r="B1214" i="3" s="1"/>
  <c r="B1215" i="3" a="1"/>
  <c r="B1215" i="3" s="1"/>
  <c r="B1216" i="3" a="1"/>
  <c r="B1216" i="3" s="1"/>
  <c r="B1217" i="3" a="1"/>
  <c r="B1217" i="3" s="1"/>
  <c r="B1218" i="3" a="1"/>
  <c r="B1218" i="3" s="1"/>
  <c r="B1219" i="3" a="1"/>
  <c r="B1219" i="3" s="1"/>
  <c r="B1220" i="3" a="1"/>
  <c r="B1220" i="3" s="1"/>
  <c r="B1221" i="3" a="1"/>
  <c r="B1221" i="3" s="1"/>
  <c r="B1222" i="3" a="1"/>
  <c r="B1222" i="3" s="1"/>
  <c r="B1223" i="3" a="1"/>
  <c r="B1223" i="3" s="1"/>
  <c r="B1224" i="3" a="1"/>
  <c r="B1224" i="3" s="1"/>
  <c r="B1225" i="3" a="1"/>
  <c r="B1225" i="3"/>
  <c r="B1226" i="3" a="1"/>
  <c r="B1226" i="3" s="1"/>
  <c r="B1227" i="3" a="1"/>
  <c r="B1227" i="3" s="1"/>
  <c r="B1228" i="3" a="1"/>
  <c r="B1228" i="3" s="1"/>
  <c r="B1229" i="3" a="1"/>
  <c r="B1229" i="3" s="1"/>
  <c r="B1230" i="3" a="1"/>
  <c r="B1230" i="3" s="1"/>
  <c r="B1231" i="3" a="1"/>
  <c r="B1231" i="3" s="1"/>
  <c r="B1232" i="3" a="1"/>
  <c r="B1232" i="3"/>
  <c r="B1233" i="3" a="1"/>
  <c r="B1233" i="3"/>
  <c r="B1234" i="3" a="1"/>
  <c r="B1234" i="3" s="1"/>
  <c r="B1235" i="3" a="1"/>
  <c r="B1235" i="3" s="1"/>
  <c r="B1236" i="3" a="1"/>
  <c r="B1236" i="3" s="1"/>
  <c r="B1237" i="3" a="1"/>
  <c r="B1237" i="3" s="1"/>
  <c r="B1238" i="3" a="1"/>
  <c r="B1238" i="3" s="1"/>
  <c r="B1239" i="3" a="1"/>
  <c r="B1239" i="3"/>
  <c r="B1240" i="3" a="1"/>
  <c r="B1240" i="3" s="1"/>
  <c r="B1241" i="3" a="1"/>
  <c r="B1241" i="3" s="1"/>
  <c r="B1242" i="3" a="1"/>
  <c r="B1242" i="3" s="1"/>
  <c r="B1243" i="3" a="1"/>
  <c r="B1243" i="3" s="1"/>
  <c r="B1244" i="3" a="1"/>
  <c r="B1244" i="3" s="1"/>
  <c r="B1245" i="3" a="1"/>
  <c r="B1245" i="3"/>
  <c r="B1246" i="3" a="1"/>
  <c r="B1246" i="3" s="1"/>
  <c r="B1247" i="3" a="1"/>
  <c r="B1247" i="3" s="1"/>
  <c r="B1248" i="3" a="1"/>
  <c r="B1248" i="3" s="1"/>
  <c r="B1249" i="3" a="1"/>
  <c r="B1249" i="3" s="1"/>
  <c r="B1250" i="3" a="1"/>
  <c r="B1250" i="3" s="1"/>
  <c r="B1251" i="3" a="1"/>
  <c r="B1251" i="3" s="1"/>
  <c r="B1252" i="3" a="1"/>
  <c r="B1252" i="3" s="1"/>
  <c r="B1253" i="3" a="1"/>
  <c r="B1253" i="3" s="1"/>
  <c r="B1254" i="3" a="1"/>
  <c r="B1254" i="3" s="1"/>
  <c r="B1255" i="3" a="1"/>
  <c r="B1255" i="3" s="1"/>
  <c r="B1256" i="3" a="1"/>
  <c r="B1256" i="3" s="1"/>
  <c r="B1257" i="3" a="1"/>
  <c r="B1257" i="3" s="1"/>
  <c r="B1258" i="3" a="1"/>
  <c r="B1258" i="3" s="1"/>
  <c r="B1259" i="3" a="1"/>
  <c r="B1259" i="3" s="1"/>
  <c r="B1260" i="3" a="1"/>
  <c r="B1260" i="3" s="1"/>
  <c r="B1261" i="3" a="1"/>
  <c r="B1261" i="3"/>
  <c r="B1262" i="3" a="1"/>
  <c r="B1262" i="3"/>
  <c r="B1263" i="3" a="1"/>
  <c r="B1263" i="3" s="1"/>
  <c r="B1264" i="3" a="1"/>
  <c r="B1264" i="3" s="1"/>
  <c r="B1265" i="3" a="1"/>
  <c r="B1265" i="3" s="1"/>
  <c r="B1266" i="3" a="1"/>
  <c r="B1266" i="3" s="1"/>
  <c r="B1267" i="3" a="1"/>
  <c r="B1267" i="3"/>
  <c r="B1268" i="3" a="1"/>
  <c r="B1268" i="3" s="1"/>
  <c r="B1269" i="3" a="1"/>
  <c r="B1269" i="3"/>
  <c r="B1270" i="3" a="1"/>
  <c r="B1270" i="3" s="1"/>
  <c r="B1271" i="3" a="1"/>
  <c r="B1271" i="3" s="1"/>
  <c r="B1272" i="3" a="1"/>
  <c r="B1272" i="3" s="1"/>
  <c r="B1273" i="3" a="1"/>
  <c r="B1273" i="3" s="1"/>
  <c r="B1274" i="3" a="1"/>
  <c r="B1274" i="3"/>
  <c r="B1275" i="3" a="1"/>
  <c r="B1275" i="3" s="1"/>
  <c r="B1276" i="3" a="1"/>
  <c r="B1276" i="3" s="1"/>
  <c r="B1277" i="3" a="1"/>
  <c r="B1277" i="3" s="1"/>
  <c r="B1278" i="3" a="1"/>
  <c r="B1278" i="3" s="1"/>
  <c r="B1279" i="3" a="1"/>
  <c r="B1279" i="3" s="1"/>
  <c r="B1280" i="3" a="1"/>
  <c r="B1280" i="3" s="1"/>
  <c r="B1281" i="3" a="1"/>
  <c r="B1281" i="3" s="1"/>
  <c r="B1282" i="3" a="1"/>
  <c r="B1282" i="3" s="1"/>
  <c r="B1283" i="3" a="1"/>
  <c r="B1283" i="3" s="1"/>
  <c r="B1284" i="3" a="1"/>
  <c r="B1284" i="3" s="1"/>
  <c r="B1285" i="3" a="1"/>
  <c r="B1285" i="3" s="1"/>
  <c r="B1286" i="3" a="1"/>
  <c r="B1286" i="3" s="1"/>
  <c r="B1287" i="3" a="1"/>
  <c r="B1287" i="3" s="1"/>
  <c r="B1288" i="3" a="1"/>
  <c r="B1288" i="3" s="1"/>
  <c r="B1289" i="3" a="1"/>
  <c r="B1289" i="3"/>
  <c r="B1290" i="3" a="1"/>
  <c r="B1290" i="3" s="1"/>
  <c r="B1291" i="3" a="1"/>
  <c r="B1291" i="3"/>
  <c r="B1292" i="3" a="1"/>
  <c r="B1292" i="3" s="1"/>
  <c r="B1293" i="3" a="1"/>
  <c r="B1293" i="3"/>
  <c r="B1294" i="3" a="1"/>
  <c r="B1294" i="3" s="1"/>
  <c r="B1295" i="3" a="1"/>
  <c r="B1295" i="3" s="1"/>
  <c r="B1296" i="3" a="1"/>
  <c r="B1296" i="3" s="1"/>
  <c r="B1297" i="3" a="1"/>
  <c r="B1297" i="3" s="1"/>
  <c r="B1298" i="3" a="1"/>
  <c r="B1298" i="3" s="1"/>
  <c r="B1299" i="3" a="1"/>
  <c r="B1299" i="3" s="1"/>
  <c r="B1300" i="3" a="1"/>
  <c r="B1300" i="3" s="1"/>
  <c r="B1301" i="3" a="1"/>
  <c r="B1301" i="3" s="1"/>
  <c r="B1302" i="3" a="1"/>
  <c r="B1302" i="3" s="1"/>
  <c r="B1303" i="3" a="1"/>
  <c r="B1303" i="3" s="1"/>
  <c r="B1304" i="3" a="1"/>
  <c r="B1304" i="3" s="1"/>
  <c r="B1305" i="3" a="1"/>
  <c r="B1305" i="3"/>
  <c r="B1306" i="3" a="1"/>
  <c r="B1306" i="3" s="1"/>
  <c r="B1307" i="3" a="1"/>
  <c r="B1307" i="3" s="1"/>
  <c r="B1308" i="3" a="1"/>
  <c r="B1308" i="3" s="1"/>
  <c r="B1309" i="3" a="1"/>
  <c r="B1309" i="3" s="1"/>
  <c r="B1310" i="3" a="1"/>
  <c r="B1310" i="3" s="1"/>
  <c r="B1311" i="3" a="1"/>
  <c r="B1311" i="3" s="1"/>
  <c r="B1312" i="3" a="1"/>
  <c r="B1312" i="3" s="1"/>
  <c r="B1313" i="3" a="1"/>
  <c r="B1313" i="3" s="1"/>
  <c r="B1314" i="3" a="1"/>
  <c r="B1314" i="3" s="1"/>
  <c r="B1315" i="3" a="1"/>
  <c r="B1315" i="3" s="1"/>
  <c r="B1316" i="3" a="1"/>
  <c r="B1316" i="3" s="1"/>
  <c r="B1317" i="3" a="1"/>
  <c r="B1317" i="3" s="1"/>
  <c r="B1318" i="3" a="1"/>
  <c r="B1318" i="3" s="1"/>
  <c r="B1319" i="3" a="1"/>
  <c r="B1319" i="3" s="1"/>
  <c r="B1320" i="3" a="1"/>
  <c r="B1320" i="3" s="1"/>
  <c r="B1321" i="3" a="1"/>
  <c r="B1321" i="3" s="1"/>
  <c r="B1322" i="3" a="1"/>
  <c r="B1322" i="3"/>
  <c r="B1323" i="3" a="1"/>
  <c r="B1323" i="3" s="1"/>
  <c r="B1324" i="3" a="1"/>
  <c r="B1324" i="3" s="1"/>
  <c r="B1325" i="3" a="1"/>
  <c r="B1325" i="3" s="1"/>
  <c r="B1326" i="3" a="1"/>
  <c r="B1326" i="3" s="1"/>
  <c r="B1327" i="3" a="1"/>
  <c r="B1327" i="3" s="1"/>
  <c r="B1328" i="3" a="1"/>
  <c r="B1328" i="3" s="1"/>
  <c r="B1329" i="3" a="1"/>
  <c r="B1329" i="3" s="1"/>
  <c r="B1330" i="3" a="1"/>
  <c r="B1330" i="3" s="1"/>
  <c r="B1331" i="3" a="1"/>
  <c r="B1331" i="3" s="1"/>
  <c r="B1332" i="3" a="1"/>
  <c r="B1332" i="3" s="1"/>
  <c r="B1333" i="3" a="1"/>
  <c r="B1333" i="3"/>
  <c r="B1334" i="3" a="1"/>
  <c r="B1334" i="3" s="1"/>
  <c r="B1335" i="3" a="1"/>
  <c r="B1335" i="3" s="1"/>
  <c r="B1336" i="3" a="1"/>
  <c r="B1336" i="3" s="1"/>
  <c r="B1337" i="3" a="1"/>
  <c r="B1337" i="3" s="1"/>
  <c r="B1338" i="3" a="1"/>
  <c r="B1338" i="3" s="1"/>
  <c r="B1339" i="3" a="1"/>
  <c r="B1339" i="3" s="1"/>
  <c r="B1340" i="3" a="1"/>
  <c r="B1340" i="3"/>
  <c r="B1341" i="3" a="1"/>
  <c r="B1341" i="3" s="1"/>
  <c r="B1342" i="3" a="1"/>
  <c r="B1342" i="3" s="1"/>
  <c r="B1343" i="3" a="1"/>
  <c r="B1343" i="3" s="1"/>
  <c r="B1344" i="3" a="1"/>
  <c r="B1344" i="3" s="1"/>
  <c r="B1345" i="3" a="1"/>
  <c r="B1345" i="3"/>
  <c r="B1346" i="3" a="1"/>
  <c r="B1346" i="3" s="1"/>
  <c r="B1347" i="3" a="1"/>
  <c r="B1347" i="3" s="1"/>
  <c r="B1348" i="3" a="1"/>
  <c r="B1348" i="3" s="1"/>
  <c r="B1349" i="3" a="1"/>
  <c r="B1349" i="3" s="1"/>
  <c r="B1350" i="3" a="1"/>
  <c r="B1350" i="3" s="1"/>
  <c r="B1351" i="3" a="1"/>
  <c r="B1351" i="3" s="1"/>
  <c r="B1352" i="3" a="1"/>
  <c r="B1352" i="3" s="1"/>
  <c r="B1353" i="3" a="1"/>
  <c r="B1353" i="3"/>
  <c r="B1354" i="3" a="1"/>
  <c r="B1354" i="3" s="1"/>
  <c r="B1355" i="3" a="1"/>
  <c r="B1355" i="3" s="1"/>
  <c r="B1356" i="3" a="1"/>
  <c r="B1356" i="3" s="1"/>
  <c r="B1357" i="3" a="1"/>
  <c r="B1357" i="3" s="1"/>
  <c r="B1358" i="3" a="1"/>
  <c r="B1358" i="3" s="1"/>
  <c r="B1359" i="3" a="1"/>
  <c r="B1359" i="3" s="1"/>
  <c r="B1360" i="3" a="1"/>
  <c r="B1360" i="3" s="1"/>
  <c r="B1361" i="3" a="1"/>
  <c r="B1361" i="3" s="1"/>
  <c r="B1362" i="3" a="1"/>
  <c r="B1362" i="3" s="1"/>
  <c r="B1363" i="3" a="1"/>
  <c r="B1363" i="3"/>
  <c r="B1364" i="3" a="1"/>
  <c r="B1364" i="3" s="1"/>
  <c r="B1365" i="3" a="1"/>
  <c r="B1365" i="3" s="1"/>
  <c r="B1366" i="3" a="1"/>
  <c r="B1366" i="3" s="1"/>
  <c r="B1367" i="3" a="1"/>
  <c r="B1367" i="3" s="1"/>
  <c r="B1368" i="3" a="1"/>
  <c r="B1368" i="3" s="1"/>
  <c r="B1369" i="3" a="1"/>
  <c r="B1369" i="3" s="1"/>
  <c r="B1370" i="3" a="1"/>
  <c r="B1370" i="3" s="1"/>
  <c r="B1371" i="3" a="1"/>
  <c r="B1371" i="3" s="1"/>
  <c r="B1372" i="3" a="1"/>
  <c r="B1372" i="3" s="1"/>
  <c r="B1373" i="3" a="1"/>
  <c r="B1373" i="3" s="1"/>
  <c r="B1374" i="3" a="1"/>
  <c r="B1374" i="3" s="1"/>
  <c r="B1375" i="3" a="1"/>
  <c r="B1375" i="3"/>
  <c r="B1376" i="3" a="1"/>
  <c r="B1376" i="3"/>
  <c r="B1377" i="3" a="1"/>
  <c r="B1377" i="3"/>
  <c r="B1378" i="3" a="1"/>
  <c r="B1378" i="3" s="1"/>
  <c r="B1379" i="3" a="1"/>
  <c r="B1379" i="3"/>
  <c r="B1380" i="3" a="1"/>
  <c r="B1380" i="3" s="1"/>
  <c r="B1381" i="3" a="1"/>
  <c r="B1381" i="3"/>
  <c r="B1382" i="3" a="1"/>
  <c r="B1382" i="3"/>
  <c r="B1383" i="3" a="1"/>
  <c r="B1383" i="3"/>
  <c r="B1384" i="3" a="1"/>
  <c r="B1384" i="3" s="1"/>
  <c r="B1385" i="3" a="1"/>
  <c r="B1385" i="3" s="1"/>
  <c r="B1386" i="3" a="1"/>
  <c r="B1386" i="3" s="1"/>
  <c r="B1387" i="3" a="1"/>
  <c r="B1387" i="3"/>
  <c r="B1388" i="3" a="1"/>
  <c r="B1388" i="3" s="1"/>
  <c r="B1389" i="3" a="1"/>
  <c r="B1389" i="3" s="1"/>
  <c r="B1390" i="3" a="1"/>
  <c r="B1390" i="3" s="1"/>
  <c r="B1391" i="3" a="1"/>
  <c r="B1391" i="3" s="1"/>
  <c r="B1392" i="3" a="1"/>
  <c r="B1392" i="3" s="1"/>
  <c r="B1393" i="3" a="1"/>
  <c r="B1393" i="3" s="1"/>
  <c r="B1394" i="3" a="1"/>
  <c r="B1394" i="3" s="1"/>
  <c r="B1395" i="3" a="1"/>
  <c r="B1395" i="3" s="1"/>
  <c r="B1396" i="3" a="1"/>
  <c r="B1396" i="3" s="1"/>
  <c r="B1397" i="3" a="1"/>
  <c r="B1397" i="3" s="1"/>
  <c r="B1398" i="3" a="1"/>
  <c r="B1398" i="3" s="1"/>
  <c r="B1399" i="3" a="1"/>
  <c r="B1399" i="3" s="1"/>
  <c r="B1400" i="3" a="1"/>
  <c r="B1400" i="3" s="1"/>
  <c r="B1401" i="3" a="1"/>
  <c r="B1401" i="3" s="1"/>
  <c r="B1402" i="3" a="1"/>
  <c r="B1402" i="3" s="1"/>
  <c r="B1403" i="3" a="1"/>
  <c r="B1403" i="3"/>
  <c r="B1404" i="3" a="1"/>
  <c r="B1404" i="3" s="1"/>
  <c r="B1405" i="3" a="1"/>
  <c r="B1405" i="3"/>
  <c r="B1406" i="3" a="1"/>
  <c r="B1406" i="3" s="1"/>
  <c r="B1407" i="3" a="1"/>
  <c r="B1407" i="3" s="1"/>
  <c r="B1408" i="3" a="1"/>
  <c r="B1408" i="3" s="1"/>
  <c r="B1409" i="3" a="1"/>
  <c r="B1409" i="3" s="1"/>
  <c r="B1410" i="3" a="1"/>
  <c r="B1410" i="3" s="1"/>
  <c r="B1411" i="3" a="1"/>
  <c r="B1411" i="3" s="1"/>
  <c r="B1412" i="3" a="1"/>
  <c r="B1412" i="3"/>
  <c r="B1413" i="3" a="1"/>
  <c r="B1413" i="3" s="1"/>
  <c r="B1414" i="3" a="1"/>
  <c r="B1414" i="3" s="1"/>
  <c r="B1415" i="3" a="1"/>
  <c r="B1415" i="3" s="1"/>
  <c r="B1416" i="3" a="1"/>
  <c r="B1416" i="3" s="1"/>
  <c r="B1417" i="3" a="1"/>
  <c r="B1417" i="3" s="1"/>
  <c r="B1418" i="3" a="1"/>
  <c r="B1418" i="3"/>
  <c r="B1419" i="3" a="1"/>
  <c r="B1419" i="3" s="1"/>
  <c r="B1420" i="3" a="1"/>
  <c r="B1420" i="3" s="1"/>
  <c r="B1421" i="3" a="1"/>
  <c r="B1421" i="3" s="1"/>
  <c r="B1422" i="3" a="1"/>
  <c r="B1422" i="3" s="1"/>
  <c r="B1423" i="3" a="1"/>
  <c r="B1423" i="3" s="1"/>
  <c r="B1424" i="3" a="1"/>
  <c r="B1424" i="3" s="1"/>
  <c r="B1425" i="3" a="1"/>
  <c r="B1425" i="3"/>
  <c r="B1426" i="3" a="1"/>
  <c r="B1426" i="3" s="1"/>
  <c r="B1427" i="3" a="1"/>
  <c r="B1427" i="3" s="1"/>
  <c r="B1428" i="3" a="1"/>
  <c r="B1428" i="3" s="1"/>
  <c r="B1429" i="3" a="1"/>
  <c r="B1429" i="3" s="1"/>
  <c r="B1430" i="3" a="1"/>
  <c r="B1430" i="3"/>
  <c r="B1431" i="3" a="1"/>
  <c r="B1431" i="3" s="1"/>
  <c r="B1432" i="3" a="1"/>
  <c r="B1432" i="3" s="1"/>
  <c r="B1433" i="3" a="1"/>
  <c r="B1433" i="3" s="1"/>
  <c r="B1434" i="3" a="1"/>
  <c r="B1434" i="3" s="1"/>
  <c r="B1435" i="3" a="1"/>
  <c r="B1435" i="3"/>
  <c r="B1436" i="3" a="1"/>
  <c r="B1436" i="3" s="1"/>
  <c r="B1437" i="3" a="1"/>
  <c r="B1437" i="3"/>
  <c r="B1438" i="3" a="1"/>
  <c r="B1438" i="3" s="1"/>
  <c r="B1439" i="3" a="1"/>
  <c r="B1439" i="3" s="1"/>
  <c r="B1440" i="3" a="1"/>
  <c r="B1440" i="3" s="1"/>
  <c r="B1441" i="3" a="1"/>
  <c r="B1441" i="3" s="1"/>
  <c r="B1442" i="3" a="1"/>
  <c r="B1442" i="3"/>
  <c r="B1443" i="3" a="1"/>
  <c r="B1443" i="3" s="1"/>
  <c r="B1444" i="3" a="1"/>
  <c r="B1444" i="3" s="1"/>
  <c r="B1445" i="3" a="1"/>
  <c r="B1445" i="3" s="1"/>
  <c r="B1446" i="3" a="1"/>
  <c r="B1446" i="3" s="1"/>
  <c r="B1447" i="3" a="1"/>
  <c r="B1447" i="3"/>
  <c r="B1448" i="3" a="1"/>
  <c r="B1448" i="3" s="1"/>
  <c r="B1449" i="3" a="1"/>
  <c r="B1449" i="3"/>
  <c r="B1450" i="3" a="1"/>
  <c r="B1450" i="3" s="1"/>
  <c r="B1451" i="3" a="1"/>
  <c r="B1451" i="3"/>
  <c r="B1452" i="3" a="1"/>
  <c r="B1452" i="3" s="1"/>
  <c r="B1453" i="3" a="1"/>
  <c r="B1453" i="3" s="1"/>
  <c r="B1454" i="3" a="1"/>
  <c r="B1454" i="3" s="1"/>
  <c r="B1455" i="3" a="1"/>
  <c r="B1455" i="3" s="1"/>
  <c r="B1456" i="3" a="1"/>
  <c r="B1456" i="3" s="1"/>
  <c r="B1457" i="3" a="1"/>
  <c r="B1457" i="3" s="1"/>
  <c r="B1458" i="3" a="1"/>
  <c r="B1458" i="3" s="1"/>
  <c r="B1459" i="3" a="1"/>
  <c r="B1459" i="3"/>
  <c r="B1460" i="3" a="1"/>
  <c r="B1460" i="3" s="1"/>
  <c r="B1461" i="3" a="1"/>
  <c r="B1461" i="3" s="1"/>
  <c r="B1462" i="3" a="1"/>
  <c r="B1462" i="3" s="1"/>
  <c r="B1463" i="3" a="1"/>
  <c r="B1463" i="3" s="1"/>
  <c r="B1464" i="3" a="1"/>
  <c r="B1464" i="3" s="1"/>
  <c r="B1465" i="3" a="1"/>
  <c r="B1465" i="3" s="1"/>
  <c r="B1466" i="3" a="1"/>
  <c r="B1466" i="3" s="1"/>
  <c r="B1467" i="3" a="1"/>
  <c r="B1467" i="3" s="1"/>
  <c r="B1468" i="3" a="1"/>
  <c r="B1468" i="3" s="1"/>
  <c r="B1469" i="3" a="1"/>
  <c r="B1469" i="3" s="1"/>
  <c r="B1470" i="3" a="1"/>
  <c r="B1470" i="3" s="1"/>
  <c r="B1471" i="3" a="1"/>
  <c r="B1471" i="3" s="1"/>
  <c r="B1472" i="3" a="1"/>
  <c r="B1472" i="3" s="1"/>
  <c r="B1473" i="3" a="1"/>
  <c r="B1473" i="3" s="1"/>
  <c r="B1474" i="3" a="1"/>
  <c r="B1474" i="3" s="1"/>
  <c r="B5" i="3" a="1"/>
  <c r="B5" i="3" s="1"/>
  <c r="O12" i="2"/>
  <c r="O11" i="2"/>
  <c r="O10" i="2"/>
  <c r="K12" i="2"/>
  <c r="K13" i="2"/>
  <c r="K11" i="2"/>
  <c r="E6" i="2"/>
  <c r="F6" i="2"/>
  <c r="C6" i="2"/>
  <c r="A6" i="2"/>
  <c r="M8" i="6" l="1"/>
  <c r="M9" i="6"/>
  <c r="M7" i="6"/>
  <c r="M6" i="6"/>
  <c r="H10" i="7"/>
  <c r="H9" i="7"/>
  <c r="H8" i="7"/>
  <c r="F10" i="6"/>
  <c r="F9" i="6"/>
  <c r="F8" i="6"/>
  <c r="F7" i="6"/>
  <c r="E8" i="3"/>
  <c r="K7" i="3"/>
  <c r="K8" i="3"/>
  <c r="K6" i="3"/>
  <c r="E9" i="3"/>
  <c r="E10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<sst xmlns="http://schemas.openxmlformats.org/spreadsheetml/2006/main" count="13326" uniqueCount="109">
  <si>
    <t>Age</t>
  </si>
  <si>
    <t>Attrition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</si>
  <si>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</si>
  <si>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</si>
  <si>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</si>
  <si>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</si>
  <si>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</si>
  <si>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</si>
  <si>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</si>
  <si>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</si>
  <si>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</si>
  <si>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</si>
  <si>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</si>
  <si>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</si>
  <si>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</si>
  <si>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</si>
  <si>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</si>
  <si>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</si>
  <si>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</si>
  <si>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</si>
  <si>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</si>
  <si>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</si>
  <si>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</si>
  <si>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</si>
  <si>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</si>
  <si>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</si>
  <si>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</si>
  <si>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</si>
  <si>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</si>
  <si>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</si>
  <si>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</si>
  <si>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</si>
  <si>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</si>
  <si>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</si>
  <si>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</si>
  <si>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</si>
  <si>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</si>
  <si>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</si>
  <si>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</si>
  <si>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</si>
  <si>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</si>
  <si>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</si>
  <si>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</si>
  <si>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</si>
  <si>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</si>
  <si>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</si>
  <si>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</si>
  <si>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</si>
  <si>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</si>
  <si>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</si>
  <si>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</si>
  <si>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</si>
  <si>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</si>
  <si>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</si>
  <si>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</si>
  <si>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</si>
  <si>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</si>
  <si>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</si>
  <si>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</si>
  <si>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Daily_Rate</t>
  </si>
  <si>
    <t>Business_Travel</t>
  </si>
  <si>
    <t>total employees</t>
  </si>
  <si>
    <t>total employees left</t>
  </si>
  <si>
    <t xml:space="preserve"> overall Attrition Rate</t>
  </si>
  <si>
    <t xml:space="preserve">Department                 </t>
  </si>
  <si>
    <t>Attrition Count</t>
  </si>
  <si>
    <t>Over time</t>
  </si>
  <si>
    <t>AttritionCount</t>
  </si>
  <si>
    <t>low</t>
  </si>
  <si>
    <t>medium</t>
  </si>
  <si>
    <t>high</t>
  </si>
  <si>
    <t>helper column</t>
  </si>
  <si>
    <t>IncomeGroup</t>
  </si>
  <si>
    <t>years of exp</t>
  </si>
  <si>
    <t>junior</t>
  </si>
  <si>
    <t>mid level</t>
  </si>
  <si>
    <t>lead</t>
  </si>
  <si>
    <t>Demographic Insights</t>
  </si>
  <si>
    <t>&lt;30</t>
  </si>
  <si>
    <t>40+</t>
  </si>
  <si>
    <t>MALE</t>
  </si>
  <si>
    <t>FEMALE</t>
  </si>
  <si>
    <t>30-40</t>
  </si>
  <si>
    <t>Low</t>
  </si>
  <si>
    <t>Medium</t>
  </si>
  <si>
    <t>Balanced</t>
  </si>
  <si>
    <t>Good</t>
  </si>
  <si>
    <t xml:space="preserve">Data understanding using formulas </t>
  </si>
  <si>
    <t xml:space="preserve"> Attrition Analysis</t>
  </si>
  <si>
    <t>Helper column</t>
  </si>
  <si>
    <t>Age group</t>
  </si>
  <si>
    <t>Attrition count</t>
  </si>
  <si>
    <t>Job Satisfaction &amp; Work-Life Balance</t>
  </si>
  <si>
    <t xml:space="preserve"> Salary &amp; Experience Impact</t>
  </si>
  <si>
    <t>Exp by group</t>
  </si>
  <si>
    <t>Work life levels</t>
  </si>
  <si>
    <t>High</t>
  </si>
  <si>
    <t>Very High</t>
  </si>
  <si>
    <t>Satisfaction Level</t>
  </si>
  <si>
    <t>The organization has an overall attrition rate of approximately 16%</t>
  </si>
  <si>
    <t>Research &amp; Development shows the highest attrition, suggesting potential challenges related to workload, role expectations, or career growth within technical teams.</t>
  </si>
  <si>
    <t>Attrition is highest among employees under 30, indicating early career employees are more likely to leave, while attrition decreases with age and experience.</t>
  </si>
  <si>
    <t>Attrition is not limited to low satisfaction levels, as employees with high and very high job satisfaction also show notable attrition, indicating external factors beyond satisfaction may influence turnover.</t>
  </si>
  <si>
    <t>Attrition is heavily concentrated among low income and junior level employees, highlighting compensation and early career support as key areas for retention improvement.</t>
  </si>
  <si>
    <t>Male employees exhibit a higher attrition rate compared to female employees</t>
  </si>
  <si>
    <t>Total Employees</t>
  </si>
  <si>
    <t>KPIs for Dashboard</t>
  </si>
  <si>
    <t>Employees Left</t>
  </si>
  <si>
    <t>Attrition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</si>
</sst>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3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6"/>
      <name val="Aptos Narrow"/>
      <family val="2"/>
      <scheme val="minor"/>
    </font>
    <font>
      <b/>
      <sz val="14"/>
      <name val="Aptos Narrow"/>
      <family val="2"/>
      <scheme val="minor"/>
    </font>
    <font>
      <b/>
      <sz val="12"/>
      <name val="Aptos Narrow"/>
      <family val="2"/>
      <scheme val="minor"/>
    </font>
    <font>
      <b/>
      <sz val="16"/>
      <color theme="0"/>
      <name val="Aptos ExtraBold"/>
      <family val="2"/>
    </font>
    <font>
      <b/>
      <i/>
      <sz val="20"/>
      <color theme="1"/>
      <name val="Aptos Narrow"/>
      <family val="2"/>
      <scheme val="minor"/>
    </font>
    <font>
      <sz val="26"/>
      <color theme="1"/>
      <name val="Angsana New"/>
      <family val="1"/>
      <charset val="222"/>
    </font>
    <font>
      <b/>
      <sz val="22"/>
      <color theme="0"/>
      <name val="Aptos Narrow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8">
    <xf numFmtId="0" fontId="0" fillId="0" borderId="0" xfId="0"/>
    <xf numFmtId="0" fontId="0" fillId="33" borderId="10" xfId="0" applyFill="1" applyBorder="1"/>
    <xf numFmtId="0" fontId="0" fillId="34" borderId="10" xfId="0" applyFill="1" applyBorder="1"/>
    <xf numFmtId="0" fontId="0" fillId="34" borderId="11" xfId="0" applyFill="1" applyBorder="1"/>
    <xf numFmtId="0" fontId="0" fillId="0" borderId="0" xfId="0" applyAlignment="1">
      <alignment vertical="center"/>
    </xf>
    <xf numFmtId="0" fontId="0" fillId="35" borderId="0" xfId="0" applyFill="1"/>
    <xf numFmtId="0" fontId="0" fillId="0" borderId="0" xfId="1" applyNumberFormat="1" applyFont="1"/>
    <xf numFmtId="0" fontId="0" fillId="33" borderId="10" xfId="1" applyNumberFormat="1" applyFont="1" applyFill="1" applyBorder="1"/>
    <xf numFmtId="0" fontId="0" fillId="34" borderId="10" xfId="1" applyNumberFormat="1" applyFont="1" applyFill="1" applyBorder="1"/>
    <xf numFmtId="0" fontId="0" fillId="34" borderId="11" xfId="1" applyNumberFormat="1" applyFont="1" applyFill="1" applyBorder="1"/>
    <xf numFmtId="0" fontId="0" fillId="0" borderId="0" xfId="0" applyAlignment="1">
      <alignment vertical="center" wrapText="1"/>
    </xf>
    <xf numFmtId="0" fontId="16" fillId="35" borderId="0" xfId="0" applyFont="1" applyFill="1" applyAlignment="1">
      <alignment horizontal="left" vertical="top" wrapText="1" indent="1"/>
    </xf>
    <xf numFmtId="0" fontId="16" fillId="35" borderId="0" xfId="0" applyFont="1" applyFill="1" applyAlignment="1">
      <alignment horizontal="center" vertical="top" wrapText="1"/>
    </xf>
    <xf numFmtId="0" fontId="0" fillId="34" borderId="10" xfId="0" applyFont="1" applyFill="1" applyBorder="1"/>
    <xf numFmtId="0" fontId="0" fillId="33" borderId="10" xfId="0" applyFont="1" applyFill="1" applyBorder="1"/>
    <xf numFmtId="0" fontId="0" fillId="34" borderId="11" xfId="0" applyFont="1" applyFill="1" applyBorder="1"/>
    <xf numFmtId="0" fontId="0" fillId="0" borderId="0" xfId="0" applyFill="1"/>
    <xf numFmtId="2" fontId="0" fillId="0" borderId="0" xfId="0" applyNumberFormat="1"/>
    <xf numFmtId="0" fontId="18" fillId="35" borderId="0" xfId="0" applyFont="1" applyFill="1"/>
    <xf numFmtId="0" fontId="19" fillId="35" borderId="0" xfId="0" applyFont="1" applyFill="1"/>
    <xf numFmtId="0" fontId="20" fillId="35" borderId="0" xfId="0" applyFont="1" applyFill="1"/>
    <xf numFmtId="0" fontId="24" fillId="37" borderId="0" xfId="0" applyFont="1" applyFill="1" applyAlignment="1">
      <alignment horizontal="center"/>
    </xf>
    <xf numFmtId="0" fontId="22" fillId="0" borderId="0" xfId="0" applyFont="1"/>
    <xf numFmtId="0" fontId="23" fillId="0" borderId="0" xfId="0" applyFont="1"/>
    <xf numFmtId="0" fontId="21" fillId="36" borderId="0" xfId="0" applyFont="1" applyFill="1"/>
    <xf numFmtId="0" fontId="21" fillId="35" borderId="0" xfId="0" applyFont="1" applyFill="1"/>
    <xf numFmtId="9" fontId="19" fillId="0" borderId="0" xfId="2" applyFont="1" applyAlignment="1">
      <alignment horizont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top"/>
    </xf>
    <xf numFmtId="0" fontId="18" fillId="36" borderId="0" xfId="0" applyFont="1" applyFill="1"/>
    <xf numFmtId="0" fontId="18" fillId="0" borderId="0" xfId="0" applyFont="1" applyAlignment="1">
      <alignment horizontal="center"/>
    </xf>
    <xf numFmtId="0" fontId="22" fillId="36" borderId="0" xfId="0" applyFont="1" applyFill="1"/>
    <xf numFmtId="0" fontId="22" fillId="38" borderId="0" xfId="0" applyFont="1" applyFill="1"/>
    <xf numFmtId="0" fontId="19" fillId="0" borderId="0" xfId="0" applyFont="1"/>
    <xf numFmtId="0" fontId="19" fillId="38" borderId="0" xfId="0" applyFont="1" applyFill="1"/>
    <xf numFmtId="0" fontId="25" fillId="39" borderId="0" xfId="0" applyFont="1" applyFill="1" applyAlignment="1">
      <alignment horizontal="center"/>
    </xf>
    <xf numFmtId="0" fontId="0" fillId="39" borderId="0" xfId="0" applyFill="1"/>
    <xf numFmtId="0" fontId="26" fillId="39" borderId="0" xfId="0" applyFont="1" applyFill="1" applyAlignment="1">
      <alignment horizontal="center"/>
    </xf>
    <xf numFmtId="0" fontId="0" fillId="40" borderId="0" xfId="0" applyFill="1"/>
    <xf numFmtId="0" fontId="27" fillId="39" borderId="0" xfId="0" applyFont="1" applyFill="1" applyAlignment="1">
      <alignment horizontal="center"/>
    </xf>
    <xf numFmtId="0" fontId="18" fillId="0" borderId="0" xfId="0" applyFont="1"/>
    <xf numFmtId="0" fontId="26" fillId="39" borderId="0" xfId="0" applyFont="1" applyFill="1"/>
    <xf numFmtId="0" fontId="19" fillId="0" borderId="0" xfId="0" applyFont="1" applyAlignment="1">
      <alignment horizontal="right"/>
    </xf>
    <xf numFmtId="0" fontId="0" fillId="0" borderId="0" xfId="0" applyAlignment="1"/>
    <xf numFmtId="0" fontId="28" fillId="41" borderId="0" xfId="0" applyFont="1" applyFill="1" applyAlignment="1">
      <alignment horizontal="center" vertical="center" wrapText="1"/>
    </xf>
    <xf numFmtId="0" fontId="29" fillId="41" borderId="0" xfId="0" applyFont="1" applyFill="1" applyAlignment="1">
      <alignment horizontal="center"/>
    </xf>
    <xf numFmtId="0" fontId="30" fillId="41" borderId="0" xfId="0" applyFont="1" applyFill="1" applyAlignment="1">
      <alignment horizontal="center" vertical="center" wrapText="1"/>
    </xf>
    <xf numFmtId="0" fontId="29" fillId="41" borderId="0" xfId="0" applyFont="1" applyFill="1" applyAlignment="1">
      <alignment horizontal="center" vertical="center" wrapText="1"/>
    </xf>
    <xf numFmtId="0" fontId="18" fillId="0" borderId="0" xfId="0" applyFont="1" applyFill="1"/>
    <xf numFmtId="0" fontId="33" fillId="44" borderId="0" xfId="0" applyFont="1" applyFill="1" applyAlignment="1">
      <alignment horizontal="center" vertical="center"/>
    </xf>
    <xf numFmtId="0" fontId="25" fillId="42" borderId="0" xfId="0" applyFont="1" applyFill="1" applyAlignment="1">
      <alignment horizontal="center" vertical="center"/>
    </xf>
    <xf numFmtId="0" fontId="31" fillId="42" borderId="0" xfId="0" applyFont="1" applyFill="1" applyAlignment="1">
      <alignment horizontal="center" vertical="center"/>
    </xf>
    <xf numFmtId="0" fontId="34" fillId="39" borderId="0" xfId="0" applyFont="1" applyFill="1" applyAlignment="1">
      <alignment horizontal="center" vertical="top"/>
    </xf>
    <xf numFmtId="0" fontId="0" fillId="39" borderId="0" xfId="0" applyFill="1" applyAlignment="1">
      <alignment horizontal="center"/>
    </xf>
    <xf numFmtId="0" fontId="25" fillId="0" borderId="0" xfId="0" applyFont="1" applyFill="1" applyAlignment="1">
      <alignment horizontal="center" vertical="center"/>
    </xf>
    <xf numFmtId="0" fontId="25" fillId="45" borderId="0" xfId="0" applyFont="1" applyFill="1" applyAlignment="1">
      <alignment horizontal="center"/>
    </xf>
    <xf numFmtId="9" fontId="34" fillId="39" borderId="0" xfId="2" applyFont="1" applyFill="1" applyAlignment="1">
      <alignment horizontal="center" vertical="top"/>
    </xf>
    <xf numFmtId="0" fontId="32" fillId="43" borderId="0" xfId="0" applyFont="1" applyFill="1" applyAlignment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urrency" xfId="1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2">
    <dxf>
      <numFmt numFmtId="2" formatCode="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1.610305958132045E-2"/>
          <c:y val="0"/>
          <c:w val="0.98389694041867959"/>
          <c:h val="1"/>
        </c:manualLayout>
      </c:layout>
      <c:barChart>
        <c:barDir val="bar"/>
        <c:grouping val="clustered"/>
        <c:varyColors val="0"/>
        <c:ser>
          <c:idx val="0"/>
          <c:order val="0"/>
          <c:tx>
            <c:v>Series1</c:v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cat>
            <c:numLit>
              <c:formatCode>General</c:formatCode>
              <c:ptCount val="2"/>
              <c:pt idx="0">
                <c:v>1</c:v>
              </c:pt>
              <c:pt idx="1">
                <c:v>2</c:v>
              </c:pt>
            </c:numLit>
          </c:cat>
          <c:val>
            <c:numLit>
              <c:formatCode>General</c:formatCode>
              <c:ptCount val="2"/>
              <c:pt idx="0">
                <c:v>1233</c:v>
              </c:pt>
              <c:pt idx="1">
                <c:v>237</c:v>
              </c:pt>
            </c:numLit>
          </c:val>
          <c:extLst>
            <c:ext xmlns:c16="http://schemas.microsoft.com/office/drawing/2014/chart" uri="{C3380CC4-5D6E-409C-BE32-E72D297353CC}">
              <c16:uniqueId val="{00000000-6A28-439D-9E7B-77BDE86B43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94907168"/>
        <c:axId val="1494906688"/>
      </c:barChart>
      <c:catAx>
        <c:axId val="14949071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94906688"/>
        <c:crosses val="autoZero"/>
        <c:auto val="1"/>
        <c:lblAlgn val="ctr"/>
        <c:lblOffset val="100"/>
        <c:noMultiLvlLbl val="0"/>
      </c:catAx>
      <c:valAx>
        <c:axId val="1494906688"/>
        <c:scaling>
          <c:orientation val="minMax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494907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>
      <a:outerShdw blurRad="50800" dist="50800" dir="5400000" algn="ctr" rotWithShape="0">
        <a:schemeClr val="bg1"/>
      </a:outerShdw>
    </a:effectLst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plotArea>
      <cx:plotAreaRegion>
        <cx:plotSurface>
          <cx:spPr>
            <a:ln>
              <a:noFill/>
            </a:ln>
          </cx:spPr>
        </cx:plotSurface>
        <cx:series layoutId="clusteredColumn" uniqueId="{DD57DE00-6DDE-432D-B93B-63FCDE78E35A}">
          <cx:spPr>
            <a:solidFill>
              <a:schemeClr val="tx2">
                <a:lumMod val="50000"/>
                <a:lumOff val="50000"/>
              </a:schemeClr>
            </a:solidFill>
          </cx:spPr>
          <cx:dataId val="0"/>
          <cx:layoutPr>
            <cx:binning intervalClosed="r"/>
          </cx:layoutPr>
        </cx:series>
      </cx:plotAreaRegion>
      <cx:axis id="0" hidden="1">
        <cx:catScaling gapWidth="0"/>
        <cx:tickLabels/>
      </cx:axis>
      <cx:axis id="1" hidden="1">
        <cx:valScaling/>
        <cx:tickLabels/>
      </cx:axis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533400</xdr:colOff>
      <xdr:row>5</xdr:row>
      <xdr:rowOff>175261</xdr:rowOff>
    </xdr:from>
    <xdr:to>
      <xdr:col>3</xdr:col>
      <xdr:colOff>83820</xdr:colOff>
      <xdr:row>11</xdr:row>
      <xdr:rowOff>83821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FED8E4AA-F629-46D9-8DE5-17EAC864D52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3400" y="1318261"/>
              <a:ext cx="1958340" cy="10058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22860</xdr:colOff>
      <xdr:row>10</xdr:row>
      <xdr:rowOff>68580</xdr:rowOff>
    </xdr:from>
    <xdr:to>
      <xdr:col>6</xdr:col>
      <xdr:colOff>160020</xdr:colOff>
      <xdr:row>13</xdr:row>
      <xdr:rowOff>45720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39AF4B6-58E1-4809-B1B3-D99D756105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4169EC-0927-4E86-90F5-73BE840C9920}" name="Table1" displayName="Table1" ref="A1:AI1471" totalsRowShown="0">
  <autoFilter ref="A1:AI1471" xr:uid="{714169EC-0927-4E86-90F5-73BE840C9920}"/>
  <sortState xmlns:xlrd2="http://schemas.microsoft.com/office/spreadsheetml/2017/richdata2" ref="A2:AI1471">
    <sortCondition ref="S1:S1471"/>
  </sortState>
  <tableColumns count="35">
    <tableColumn id="1" xr3:uid="{B7B72ACB-EA31-4C04-9BE9-3710D337C92F}" name="Age"/>
    <tableColumn id="2" xr3:uid="{02C2C63C-FC32-486D-B62D-535B6851380A}" name="Attrition"/>
    <tableColumn id="3" xr3:uid="{D095DDB4-1960-4BB6-BA98-C9D123D5D261}" name="Business_Travel"/>
    <tableColumn id="4" xr3:uid="{E6AEC80F-C642-4127-9A65-11DC7A22EE9F}" name="Daily_Rate"/>
    <tableColumn id="5" xr3:uid="{B6C32735-A74D-4E33-8E5A-244FB2AE45F1}" name="Department"/>
    <tableColumn id="6" xr3:uid="{CFFEE3EA-A823-498A-9F9C-4B2D234AA707}" name="DistanceFromHome"/>
    <tableColumn id="7" xr3:uid="{8CCD1EF7-6D1E-4E70-B1E0-6392FA6CD8E9}" name="Education"/>
    <tableColumn id="8" xr3:uid="{130F582A-2868-42A7-9154-361A28A71137}" name="EducationField"/>
    <tableColumn id="9" xr3:uid="{FB65D9FE-ADE5-4740-A21B-0C2508DBF834}" name="EmployeeCount"/>
    <tableColumn id="10" xr3:uid="{833D752D-80EF-46D4-B8AD-DDD287162934}" name="EmployeeNumber"/>
    <tableColumn id="11" xr3:uid="{CEEDA4DC-DB9C-4E35-B7B9-A969C17B7008}" name="EnvironmentSatisfaction"/>
    <tableColumn id="12" xr3:uid="{61B00854-FE48-4BB9-A4F6-88036E600012}" name="Demographic Insights" dataDxfId="0"/>
    <tableColumn id="13" xr3:uid="{F34AEE27-7DD4-4094-9AED-A235D0DDAA1A}" name="HourlyRate"/>
    <tableColumn id="14" xr3:uid="{5A3DC60F-6701-4E98-BBD5-B5E78A930E21}" name="JobInvolvement"/>
    <tableColumn id="15" xr3:uid="{6CE1EC86-54DA-4347-9FE0-8045C7B1CD0A}" name="JobLevel"/>
    <tableColumn id="16" xr3:uid="{94CA31E7-70E5-43A7-95DB-82D0412BFA35}" name="JobRole"/>
    <tableColumn id="17" xr3:uid="{6FE0033B-D0A4-4203-B1EA-D0A7D66A0912}" name="JobSatisfaction"/>
    <tableColumn id="18" xr3:uid="{CCFB320D-4C4E-4D63-A525-0EFDF8F4D407}" name="MaritalStatus"/>
    <tableColumn id="19" xr3:uid="{3A7386ED-A88B-4C18-8E2D-4FB5AE945A6C}" name="MonthlyIncome" dataDxfId="1" dataCellStyle="Currency"/>
    <tableColumn id="20" xr3:uid="{14BFAD62-932D-469D-A081-B8DB2507DBF7}" name="MonthlyRate"/>
    <tableColumn id="21" xr3:uid="{DC097DA2-2ED8-44F5-866E-4F6D2B0F7B24}" name="NumCompaniesWorked"/>
    <tableColumn id="22" xr3:uid="{82AF251B-4A48-4C32-B761-DDD427E9AFFF}" name="Over18"/>
    <tableColumn id="23" xr3:uid="{FAD9D4E3-091C-4056-9BF0-D6B68C307959}" name="OverTime"/>
    <tableColumn id="24" xr3:uid="{3899E897-531B-4F3E-94F2-87D8951E965E}" name="PercentSalaryHike"/>
    <tableColumn id="25" xr3:uid="{13C179A7-B380-48B8-A1E8-DF1634F0AE51}" name="PerformanceRating"/>
    <tableColumn id="26" xr3:uid="{83B51ED1-670B-4D3F-B4B7-5BE2FCE0629F}" name="RelationshipSatisfaction"/>
    <tableColumn id="27" xr3:uid="{33A53538-E90D-40FC-AB35-3C6962202415}" name="StandardHours"/>
    <tableColumn id="28" xr3:uid="{1160CBB5-7AF4-4101-82DC-1C4983C0542D}" name="StockOptionLevel"/>
    <tableColumn id="29" xr3:uid="{ED09A53C-63BB-4F1A-9D82-A62405DAC09D}" name="TotalWorkingYears"/>
    <tableColumn id="30" xr3:uid="{F3E524BE-F54C-4278-9E64-B676DAD470E9}" name="TrainingTimesLastYear"/>
    <tableColumn id="31" xr3:uid="{A2D782AC-FD27-43D3-B70B-F69E8C283D1F}" name="WorkLifeBalance"/>
    <tableColumn id="32" xr3:uid="{6D012AA7-40F2-49CF-95A7-A4A08C681536}" name="YearsAtCompany"/>
    <tableColumn id="33" xr3:uid="{D88443CD-7C5B-4C86-ABA4-0F25D267156C}" name="YearsInCurrentRole"/>
    <tableColumn id="34" xr3:uid="{38C2F9CB-E28B-4ECC-97D7-E91643724171}" name="YearsSinceLastPromotion"/>
    <tableColumn id="35" xr3:uid="{8C92C2F2-0F7B-4E29-9D64-94986FDF94C1}" name="YearsWithCurrManager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6BBF5-36E8-4C24-89DE-DD34C3FC2055}">
  <dimension ref="A1:AI1473"/>
  <sheetViews>
    <sheetView tabSelected="1" topLeftCell="A1438" zoomScale="81" zoomScaleNormal="81" workbookViewId="0">
      <selection activeCell="B2" sqref="B2:B1471"/>
    </sheetView>
  </sheetViews>
  <sheetFormatPr defaultRowHeight="14.4" x14ac:dyDescent="0.3"/>
  <cols>
    <col min="1" max="1" width="5.88671875" customWidth="1"/>
    <col min="2" max="2" width="9.77734375" customWidth="1"/>
    <col min="3" max="3" width="16" customWidth="1"/>
    <col min="4" max="4" width="11.6640625" customWidth="1"/>
    <col min="5" max="5" width="21.44140625" bestFit="1" customWidth="1"/>
    <col min="6" max="6" width="19.5546875" customWidth="1"/>
    <col min="7" max="7" width="11.21875" customWidth="1"/>
    <col min="8" max="8" width="15.88671875" bestFit="1" customWidth="1"/>
    <col min="9" max="9" width="16" customWidth="1"/>
    <col min="10" max="10" width="17.88671875" customWidth="1"/>
    <col min="11" max="11" width="23.33203125" customWidth="1"/>
    <col min="12" max="12" width="9" customWidth="1"/>
    <col min="13" max="13" width="12.109375" customWidth="1"/>
    <col min="14" max="14" width="15.88671875" customWidth="1"/>
    <col min="15" max="15" width="10" customWidth="1"/>
    <col min="16" max="16" width="22.6640625" bestFit="1" customWidth="1"/>
    <col min="17" max="17" width="15.6640625" customWidth="1"/>
    <col min="18" max="18" width="14.109375" customWidth="1"/>
    <col min="19" max="19" width="15.6640625" customWidth="1"/>
    <col min="20" max="20" width="13.21875" customWidth="1"/>
    <col min="21" max="21" width="22.77734375" customWidth="1"/>
    <col min="22" max="22" width="8.77734375" customWidth="1"/>
    <col min="23" max="23" width="10.88671875" customWidth="1"/>
    <col min="24" max="24" width="18.44140625" customWidth="1"/>
    <col min="25" max="25" width="18.77734375" customWidth="1"/>
    <col min="26" max="26" width="23.33203125" customWidth="1"/>
    <col min="27" max="27" width="15.44140625" customWidth="1"/>
    <col min="28" max="28" width="17.6640625" customWidth="1"/>
    <col min="29" max="29" width="18.33203125" customWidth="1"/>
    <col min="30" max="30" width="21.5546875" customWidth="1"/>
    <col min="31" max="31" width="16.88671875" customWidth="1"/>
    <col min="32" max="32" width="17.109375" customWidth="1"/>
    <col min="33" max="33" width="18.88671875" customWidth="1"/>
    <col min="34" max="34" width="24.21875" customWidth="1"/>
    <col min="35" max="35" width="21.88671875" customWidth="1"/>
  </cols>
  <sheetData>
    <row r="1" spans="1:35" x14ac:dyDescent="0.3">
      <c r="A1" t="s">
        <v>0</v>
      </c>
      <c r="B1" t="s">
        <v>1</v>
      </c>
      <c r="C1" t="s">
        <v>60</v>
      </c>
      <c r="D1" t="s">
        <v>59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77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</row>
    <row r="2" spans="1:35" x14ac:dyDescent="0.3">
      <c r="A2">
        <v>20</v>
      </c>
      <c r="B2" t="s">
        <v>32</v>
      </c>
      <c r="C2" t="s">
        <v>33</v>
      </c>
      <c r="D2">
        <v>1362</v>
      </c>
      <c r="E2" t="s">
        <v>42</v>
      </c>
      <c r="F2">
        <v>10</v>
      </c>
      <c r="G2">
        <v>1</v>
      </c>
      <c r="H2" t="s">
        <v>48</v>
      </c>
      <c r="I2">
        <v>1</v>
      </c>
      <c r="J2">
        <v>701</v>
      </c>
      <c r="K2">
        <v>4</v>
      </c>
      <c r="L2" s="17" t="s">
        <v>43</v>
      </c>
      <c r="M2">
        <v>32</v>
      </c>
      <c r="N2">
        <v>3</v>
      </c>
      <c r="O2">
        <v>1</v>
      </c>
      <c r="P2" t="s">
        <v>44</v>
      </c>
      <c r="Q2">
        <v>3</v>
      </c>
      <c r="R2" t="s">
        <v>38</v>
      </c>
      <c r="S2" s="6">
        <v>1009</v>
      </c>
      <c r="T2">
        <v>26999</v>
      </c>
      <c r="U2">
        <v>1</v>
      </c>
      <c r="V2" t="s">
        <v>39</v>
      </c>
      <c r="W2" t="s">
        <v>32</v>
      </c>
      <c r="X2">
        <v>11</v>
      </c>
      <c r="Y2">
        <v>3</v>
      </c>
      <c r="Z2">
        <v>4</v>
      </c>
      <c r="AA2">
        <v>80</v>
      </c>
      <c r="AB2">
        <v>0</v>
      </c>
      <c r="AC2">
        <v>1</v>
      </c>
      <c r="AD2">
        <v>5</v>
      </c>
      <c r="AE2">
        <v>3</v>
      </c>
      <c r="AF2">
        <v>1</v>
      </c>
      <c r="AG2">
        <v>0</v>
      </c>
      <c r="AH2">
        <v>1</v>
      </c>
      <c r="AI2">
        <v>1</v>
      </c>
    </row>
    <row r="3" spans="1:35" x14ac:dyDescent="0.3">
      <c r="A3">
        <v>18</v>
      </c>
      <c r="B3" t="s">
        <v>40</v>
      </c>
      <c r="C3" t="s">
        <v>52</v>
      </c>
      <c r="D3">
        <v>287</v>
      </c>
      <c r="E3" t="s">
        <v>42</v>
      </c>
      <c r="F3">
        <v>5</v>
      </c>
      <c r="G3">
        <v>2</v>
      </c>
      <c r="H3" t="s">
        <v>35</v>
      </c>
      <c r="I3">
        <v>1</v>
      </c>
      <c r="J3">
        <v>1012</v>
      </c>
      <c r="K3">
        <v>2</v>
      </c>
      <c r="L3" s="17" t="s">
        <v>43</v>
      </c>
      <c r="M3">
        <v>73</v>
      </c>
      <c r="N3">
        <v>3</v>
      </c>
      <c r="O3">
        <v>1</v>
      </c>
      <c r="P3" t="s">
        <v>44</v>
      </c>
      <c r="Q3">
        <v>4</v>
      </c>
      <c r="R3" t="s">
        <v>38</v>
      </c>
      <c r="S3" s="6">
        <v>1051</v>
      </c>
      <c r="T3">
        <v>13493</v>
      </c>
      <c r="U3">
        <v>1</v>
      </c>
      <c r="V3" t="s">
        <v>39</v>
      </c>
      <c r="W3" t="s">
        <v>40</v>
      </c>
      <c r="X3">
        <v>15</v>
      </c>
      <c r="Y3">
        <v>3</v>
      </c>
      <c r="Z3">
        <v>4</v>
      </c>
      <c r="AA3">
        <v>80</v>
      </c>
      <c r="AB3">
        <v>0</v>
      </c>
      <c r="AC3">
        <v>0</v>
      </c>
      <c r="AD3">
        <v>2</v>
      </c>
      <c r="AE3">
        <v>3</v>
      </c>
      <c r="AF3">
        <v>0</v>
      </c>
      <c r="AG3">
        <v>0</v>
      </c>
      <c r="AH3">
        <v>0</v>
      </c>
      <c r="AI3">
        <v>0</v>
      </c>
    </row>
    <row r="4" spans="1:35" x14ac:dyDescent="0.3">
      <c r="A4">
        <v>28</v>
      </c>
      <c r="B4" t="s">
        <v>40</v>
      </c>
      <c r="C4" t="s">
        <v>33</v>
      </c>
      <c r="D4">
        <v>1144</v>
      </c>
      <c r="E4" t="s">
        <v>34</v>
      </c>
      <c r="F4">
        <v>10</v>
      </c>
      <c r="G4">
        <v>1</v>
      </c>
      <c r="H4" t="s">
        <v>48</v>
      </c>
      <c r="I4">
        <v>1</v>
      </c>
      <c r="J4">
        <v>1056</v>
      </c>
      <c r="K4">
        <v>4</v>
      </c>
      <c r="L4" s="17" t="s">
        <v>43</v>
      </c>
      <c r="M4">
        <v>74</v>
      </c>
      <c r="N4">
        <v>3</v>
      </c>
      <c r="O4">
        <v>1</v>
      </c>
      <c r="P4" t="s">
        <v>54</v>
      </c>
      <c r="Q4">
        <v>2</v>
      </c>
      <c r="R4" t="s">
        <v>45</v>
      </c>
      <c r="S4" s="6">
        <v>1052</v>
      </c>
      <c r="T4">
        <v>23384</v>
      </c>
      <c r="U4">
        <v>1</v>
      </c>
      <c r="V4" t="s">
        <v>39</v>
      </c>
      <c r="W4" t="s">
        <v>40</v>
      </c>
      <c r="X4">
        <v>22</v>
      </c>
      <c r="Y4">
        <v>4</v>
      </c>
      <c r="Z4">
        <v>2</v>
      </c>
      <c r="AA4">
        <v>80</v>
      </c>
      <c r="AB4">
        <v>0</v>
      </c>
      <c r="AC4">
        <v>1</v>
      </c>
      <c r="AD4">
        <v>5</v>
      </c>
      <c r="AE4">
        <v>3</v>
      </c>
      <c r="AF4">
        <v>1</v>
      </c>
      <c r="AG4">
        <v>0</v>
      </c>
      <c r="AH4">
        <v>0</v>
      </c>
      <c r="AI4">
        <v>0</v>
      </c>
    </row>
    <row r="5" spans="1:35" x14ac:dyDescent="0.3">
      <c r="A5">
        <v>30</v>
      </c>
      <c r="B5" t="s">
        <v>32</v>
      </c>
      <c r="C5" t="s">
        <v>33</v>
      </c>
      <c r="D5">
        <v>945</v>
      </c>
      <c r="E5" t="s">
        <v>34</v>
      </c>
      <c r="F5">
        <v>9</v>
      </c>
      <c r="G5">
        <v>3</v>
      </c>
      <c r="H5" t="s">
        <v>48</v>
      </c>
      <c r="I5">
        <v>1</v>
      </c>
      <c r="J5">
        <v>1876</v>
      </c>
      <c r="K5">
        <v>2</v>
      </c>
      <c r="L5" s="17" t="s">
        <v>43</v>
      </c>
      <c r="M5">
        <v>89</v>
      </c>
      <c r="N5">
        <v>3</v>
      </c>
      <c r="O5">
        <v>1</v>
      </c>
      <c r="P5" t="s">
        <v>54</v>
      </c>
      <c r="Q5">
        <v>4</v>
      </c>
      <c r="R5" t="s">
        <v>38</v>
      </c>
      <c r="S5" s="6">
        <v>1081</v>
      </c>
      <c r="T5">
        <v>16019</v>
      </c>
      <c r="U5">
        <v>1</v>
      </c>
      <c r="V5" t="s">
        <v>39</v>
      </c>
      <c r="W5" t="s">
        <v>40</v>
      </c>
      <c r="X5">
        <v>13</v>
      </c>
      <c r="Y5">
        <v>3</v>
      </c>
      <c r="Z5">
        <v>3</v>
      </c>
      <c r="AA5">
        <v>80</v>
      </c>
      <c r="AB5">
        <v>0</v>
      </c>
      <c r="AC5">
        <v>1</v>
      </c>
      <c r="AD5">
        <v>3</v>
      </c>
      <c r="AE5">
        <v>2</v>
      </c>
      <c r="AF5">
        <v>1</v>
      </c>
      <c r="AG5">
        <v>0</v>
      </c>
      <c r="AH5">
        <v>0</v>
      </c>
      <c r="AI5">
        <v>0</v>
      </c>
    </row>
    <row r="6" spans="1:35" x14ac:dyDescent="0.3">
      <c r="A6">
        <v>29</v>
      </c>
      <c r="B6" t="s">
        <v>32</v>
      </c>
      <c r="C6" t="s">
        <v>41</v>
      </c>
      <c r="D6">
        <v>746</v>
      </c>
      <c r="E6" t="s">
        <v>34</v>
      </c>
      <c r="F6">
        <v>24</v>
      </c>
      <c r="G6">
        <v>3</v>
      </c>
      <c r="H6" t="s">
        <v>57</v>
      </c>
      <c r="I6">
        <v>1</v>
      </c>
      <c r="J6">
        <v>1928</v>
      </c>
      <c r="K6">
        <v>3</v>
      </c>
      <c r="L6" s="17" t="s">
        <v>43</v>
      </c>
      <c r="M6">
        <v>45</v>
      </c>
      <c r="N6">
        <v>4</v>
      </c>
      <c r="O6">
        <v>1</v>
      </c>
      <c r="P6" t="s">
        <v>54</v>
      </c>
      <c r="Q6">
        <v>1</v>
      </c>
      <c r="R6" t="s">
        <v>38</v>
      </c>
      <c r="S6" s="6">
        <v>1091</v>
      </c>
      <c r="T6">
        <v>10642</v>
      </c>
      <c r="U6">
        <v>1</v>
      </c>
      <c r="V6" t="s">
        <v>39</v>
      </c>
      <c r="W6" t="s">
        <v>40</v>
      </c>
      <c r="X6">
        <v>17</v>
      </c>
      <c r="Y6">
        <v>3</v>
      </c>
      <c r="Z6">
        <v>4</v>
      </c>
      <c r="AA6">
        <v>80</v>
      </c>
      <c r="AB6">
        <v>0</v>
      </c>
      <c r="AC6">
        <v>1</v>
      </c>
      <c r="AD6">
        <v>3</v>
      </c>
      <c r="AE6">
        <v>3</v>
      </c>
      <c r="AF6">
        <v>1</v>
      </c>
      <c r="AG6">
        <v>0</v>
      </c>
      <c r="AH6">
        <v>0</v>
      </c>
      <c r="AI6">
        <v>0</v>
      </c>
    </row>
    <row r="7" spans="1:35" x14ac:dyDescent="0.3">
      <c r="A7">
        <v>19</v>
      </c>
      <c r="B7" t="s">
        <v>32</v>
      </c>
      <c r="C7" t="s">
        <v>33</v>
      </c>
      <c r="D7">
        <v>303</v>
      </c>
      <c r="E7" t="s">
        <v>42</v>
      </c>
      <c r="F7">
        <v>2</v>
      </c>
      <c r="G7">
        <v>3</v>
      </c>
      <c r="H7" t="s">
        <v>35</v>
      </c>
      <c r="I7">
        <v>1</v>
      </c>
      <c r="J7">
        <v>243</v>
      </c>
      <c r="K7">
        <v>2</v>
      </c>
      <c r="L7" s="17" t="s">
        <v>43</v>
      </c>
      <c r="M7">
        <v>47</v>
      </c>
      <c r="N7">
        <v>2</v>
      </c>
      <c r="O7">
        <v>1</v>
      </c>
      <c r="P7" t="s">
        <v>47</v>
      </c>
      <c r="Q7">
        <v>4</v>
      </c>
      <c r="R7" t="s">
        <v>38</v>
      </c>
      <c r="S7" s="6">
        <v>1102</v>
      </c>
      <c r="T7">
        <v>9241</v>
      </c>
      <c r="U7">
        <v>1</v>
      </c>
      <c r="V7" t="s">
        <v>39</v>
      </c>
      <c r="W7" t="s">
        <v>40</v>
      </c>
      <c r="X7">
        <v>22</v>
      </c>
      <c r="Y7">
        <v>4</v>
      </c>
      <c r="Z7">
        <v>3</v>
      </c>
      <c r="AA7">
        <v>80</v>
      </c>
      <c r="AB7">
        <v>0</v>
      </c>
      <c r="AC7">
        <v>1</v>
      </c>
      <c r="AD7">
        <v>3</v>
      </c>
      <c r="AE7">
        <v>2</v>
      </c>
      <c r="AF7">
        <v>1</v>
      </c>
      <c r="AG7">
        <v>0</v>
      </c>
      <c r="AH7">
        <v>1</v>
      </c>
      <c r="AI7">
        <v>0</v>
      </c>
    </row>
    <row r="8" spans="1:35" x14ac:dyDescent="0.3">
      <c r="A8">
        <v>25</v>
      </c>
      <c r="B8" t="s">
        <v>32</v>
      </c>
      <c r="C8" t="s">
        <v>41</v>
      </c>
      <c r="D8">
        <v>599</v>
      </c>
      <c r="E8" t="s">
        <v>34</v>
      </c>
      <c r="F8">
        <v>24</v>
      </c>
      <c r="G8">
        <v>1</v>
      </c>
      <c r="H8" t="s">
        <v>35</v>
      </c>
      <c r="I8">
        <v>1</v>
      </c>
      <c r="J8">
        <v>1273</v>
      </c>
      <c r="K8">
        <v>3</v>
      </c>
      <c r="L8" s="17" t="s">
        <v>43</v>
      </c>
      <c r="M8">
        <v>73</v>
      </c>
      <c r="N8">
        <v>1</v>
      </c>
      <c r="O8">
        <v>1</v>
      </c>
      <c r="P8" t="s">
        <v>54</v>
      </c>
      <c r="Q8">
        <v>4</v>
      </c>
      <c r="R8" t="s">
        <v>38</v>
      </c>
      <c r="S8" s="6">
        <v>1118</v>
      </c>
      <c r="T8">
        <v>8040</v>
      </c>
      <c r="U8">
        <v>1</v>
      </c>
      <c r="V8" t="s">
        <v>39</v>
      </c>
      <c r="W8" t="s">
        <v>32</v>
      </c>
      <c r="X8">
        <v>14</v>
      </c>
      <c r="Y8">
        <v>3</v>
      </c>
      <c r="Z8">
        <v>4</v>
      </c>
      <c r="AA8">
        <v>80</v>
      </c>
      <c r="AB8">
        <v>0</v>
      </c>
      <c r="AC8">
        <v>1</v>
      </c>
      <c r="AD8">
        <v>4</v>
      </c>
      <c r="AE8">
        <v>3</v>
      </c>
      <c r="AF8">
        <v>1</v>
      </c>
      <c r="AG8">
        <v>0</v>
      </c>
      <c r="AH8">
        <v>1</v>
      </c>
      <c r="AI8">
        <v>0</v>
      </c>
    </row>
    <row r="9" spans="1:35" x14ac:dyDescent="0.3">
      <c r="A9">
        <v>31</v>
      </c>
      <c r="B9" t="s">
        <v>40</v>
      </c>
      <c r="C9" t="s">
        <v>33</v>
      </c>
      <c r="D9">
        <v>1276</v>
      </c>
      <c r="E9" t="s">
        <v>42</v>
      </c>
      <c r="F9">
        <v>2</v>
      </c>
      <c r="G9">
        <v>1</v>
      </c>
      <c r="H9" t="s">
        <v>48</v>
      </c>
      <c r="I9">
        <v>1</v>
      </c>
      <c r="J9">
        <v>1974</v>
      </c>
      <c r="K9">
        <v>4</v>
      </c>
      <c r="L9" s="17" t="s">
        <v>36</v>
      </c>
      <c r="M9">
        <v>59</v>
      </c>
      <c r="N9">
        <v>1</v>
      </c>
      <c r="O9">
        <v>1</v>
      </c>
      <c r="P9" t="s">
        <v>47</v>
      </c>
      <c r="Q9">
        <v>4</v>
      </c>
      <c r="R9" t="s">
        <v>49</v>
      </c>
      <c r="S9" s="6">
        <v>1129</v>
      </c>
      <c r="T9">
        <v>17536</v>
      </c>
      <c r="U9">
        <v>1</v>
      </c>
      <c r="V9" t="s">
        <v>39</v>
      </c>
      <c r="W9" t="s">
        <v>32</v>
      </c>
      <c r="X9">
        <v>11</v>
      </c>
      <c r="Y9">
        <v>3</v>
      </c>
      <c r="Z9">
        <v>3</v>
      </c>
      <c r="AA9">
        <v>80</v>
      </c>
      <c r="AB9">
        <v>3</v>
      </c>
      <c r="AC9">
        <v>1</v>
      </c>
      <c r="AD9">
        <v>4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18</v>
      </c>
      <c r="B10" t="s">
        <v>40</v>
      </c>
      <c r="C10" t="s">
        <v>33</v>
      </c>
      <c r="D10">
        <v>812</v>
      </c>
      <c r="E10" t="s">
        <v>34</v>
      </c>
      <c r="F10">
        <v>10</v>
      </c>
      <c r="G10">
        <v>3</v>
      </c>
      <c r="H10" t="s">
        <v>48</v>
      </c>
      <c r="I10">
        <v>1</v>
      </c>
      <c r="J10">
        <v>411</v>
      </c>
      <c r="K10">
        <v>4</v>
      </c>
      <c r="L10" s="17" t="s">
        <v>36</v>
      </c>
      <c r="M10">
        <v>69</v>
      </c>
      <c r="N10">
        <v>2</v>
      </c>
      <c r="O10">
        <v>1</v>
      </c>
      <c r="P10" t="s">
        <v>54</v>
      </c>
      <c r="Q10">
        <v>3</v>
      </c>
      <c r="R10" t="s">
        <v>38</v>
      </c>
      <c r="S10" s="6">
        <v>1200</v>
      </c>
      <c r="T10">
        <v>9724</v>
      </c>
      <c r="U10">
        <v>1</v>
      </c>
      <c r="V10" t="s">
        <v>39</v>
      </c>
      <c r="W10" t="s">
        <v>40</v>
      </c>
      <c r="X10">
        <v>12</v>
      </c>
      <c r="Y10">
        <v>3</v>
      </c>
      <c r="Z10">
        <v>1</v>
      </c>
      <c r="AA10">
        <v>80</v>
      </c>
      <c r="AB10">
        <v>0</v>
      </c>
      <c r="AC10">
        <v>0</v>
      </c>
      <c r="AD10">
        <v>2</v>
      </c>
      <c r="AE10">
        <v>3</v>
      </c>
      <c r="AF10">
        <v>0</v>
      </c>
      <c r="AG10">
        <v>0</v>
      </c>
      <c r="AH10">
        <v>0</v>
      </c>
      <c r="AI10">
        <v>0</v>
      </c>
    </row>
    <row r="11" spans="1:35" x14ac:dyDescent="0.3">
      <c r="A11">
        <v>23</v>
      </c>
      <c r="B11" t="s">
        <v>40</v>
      </c>
      <c r="C11" t="s">
        <v>33</v>
      </c>
      <c r="D11">
        <v>373</v>
      </c>
      <c r="E11" t="s">
        <v>42</v>
      </c>
      <c r="F11">
        <v>1</v>
      </c>
      <c r="G11">
        <v>2</v>
      </c>
      <c r="H11" t="s">
        <v>35</v>
      </c>
      <c r="I11">
        <v>1</v>
      </c>
      <c r="J11">
        <v>1270</v>
      </c>
      <c r="K11">
        <v>4</v>
      </c>
      <c r="L11" s="17" t="s">
        <v>43</v>
      </c>
      <c r="M11">
        <v>47</v>
      </c>
      <c r="N11">
        <v>3</v>
      </c>
      <c r="O11">
        <v>1</v>
      </c>
      <c r="P11" t="s">
        <v>44</v>
      </c>
      <c r="Q11">
        <v>3</v>
      </c>
      <c r="R11" t="s">
        <v>45</v>
      </c>
      <c r="S11" s="6">
        <v>1223</v>
      </c>
      <c r="T11">
        <v>16901</v>
      </c>
      <c r="U11">
        <v>1</v>
      </c>
      <c r="V11" t="s">
        <v>39</v>
      </c>
      <c r="W11" t="s">
        <v>40</v>
      </c>
      <c r="X11">
        <v>22</v>
      </c>
      <c r="Y11">
        <v>4</v>
      </c>
      <c r="Z11">
        <v>4</v>
      </c>
      <c r="AA11">
        <v>80</v>
      </c>
      <c r="AB11">
        <v>1</v>
      </c>
      <c r="AC11">
        <v>1</v>
      </c>
      <c r="AD11">
        <v>2</v>
      </c>
      <c r="AE11">
        <v>3</v>
      </c>
      <c r="AF11">
        <v>1</v>
      </c>
      <c r="AG11">
        <v>0</v>
      </c>
      <c r="AH11">
        <v>0</v>
      </c>
      <c r="AI11">
        <v>1</v>
      </c>
    </row>
    <row r="12" spans="1:35" x14ac:dyDescent="0.3">
      <c r="A12">
        <v>21</v>
      </c>
      <c r="B12" t="s">
        <v>40</v>
      </c>
      <c r="C12" t="s">
        <v>33</v>
      </c>
      <c r="D12">
        <v>391</v>
      </c>
      <c r="E12" t="s">
        <v>42</v>
      </c>
      <c r="F12">
        <v>15</v>
      </c>
      <c r="G12">
        <v>2</v>
      </c>
      <c r="H12" t="s">
        <v>35</v>
      </c>
      <c r="I12">
        <v>1</v>
      </c>
      <c r="J12">
        <v>30</v>
      </c>
      <c r="K12">
        <v>3</v>
      </c>
      <c r="L12" s="17" t="s">
        <v>43</v>
      </c>
      <c r="M12">
        <v>96</v>
      </c>
      <c r="N12">
        <v>3</v>
      </c>
      <c r="O12">
        <v>1</v>
      </c>
      <c r="P12" t="s">
        <v>44</v>
      </c>
      <c r="Q12">
        <v>4</v>
      </c>
      <c r="R12" t="s">
        <v>38</v>
      </c>
      <c r="S12" s="6">
        <v>1232</v>
      </c>
      <c r="T12">
        <v>19281</v>
      </c>
      <c r="U12">
        <v>1</v>
      </c>
      <c r="V12" t="s">
        <v>39</v>
      </c>
      <c r="W12" t="s">
        <v>40</v>
      </c>
      <c r="X12">
        <v>14</v>
      </c>
      <c r="Y12">
        <v>3</v>
      </c>
      <c r="Z12">
        <v>4</v>
      </c>
      <c r="AA12">
        <v>80</v>
      </c>
      <c r="AB12">
        <v>0</v>
      </c>
      <c r="AC12">
        <v>0</v>
      </c>
      <c r="AD12">
        <v>6</v>
      </c>
      <c r="AE12">
        <v>3</v>
      </c>
      <c r="AF12">
        <v>0</v>
      </c>
      <c r="AG12">
        <v>0</v>
      </c>
      <c r="AH12">
        <v>0</v>
      </c>
      <c r="AI12">
        <v>0</v>
      </c>
    </row>
    <row r="13" spans="1:35" x14ac:dyDescent="0.3">
      <c r="A13">
        <v>31</v>
      </c>
      <c r="B13" t="s">
        <v>32</v>
      </c>
      <c r="C13" t="s">
        <v>33</v>
      </c>
      <c r="D13">
        <v>202</v>
      </c>
      <c r="E13" t="s">
        <v>42</v>
      </c>
      <c r="F13">
        <v>8</v>
      </c>
      <c r="G13">
        <v>3</v>
      </c>
      <c r="H13" t="s">
        <v>35</v>
      </c>
      <c r="I13">
        <v>1</v>
      </c>
      <c r="J13">
        <v>1433</v>
      </c>
      <c r="K13">
        <v>1</v>
      </c>
      <c r="L13" s="17" t="s">
        <v>36</v>
      </c>
      <c r="M13">
        <v>34</v>
      </c>
      <c r="N13">
        <v>2</v>
      </c>
      <c r="O13">
        <v>1</v>
      </c>
      <c r="P13" t="s">
        <v>44</v>
      </c>
      <c r="Q13">
        <v>2</v>
      </c>
      <c r="R13" t="s">
        <v>38</v>
      </c>
      <c r="S13" s="6">
        <v>1261</v>
      </c>
      <c r="T13">
        <v>22262</v>
      </c>
      <c r="U13">
        <v>1</v>
      </c>
      <c r="V13" t="s">
        <v>39</v>
      </c>
      <c r="W13" t="s">
        <v>40</v>
      </c>
      <c r="X13">
        <v>12</v>
      </c>
      <c r="Y13">
        <v>3</v>
      </c>
      <c r="Z13">
        <v>3</v>
      </c>
      <c r="AA13">
        <v>80</v>
      </c>
      <c r="AB13">
        <v>0</v>
      </c>
      <c r="AC13">
        <v>1</v>
      </c>
      <c r="AD13">
        <v>3</v>
      </c>
      <c r="AE13">
        <v>4</v>
      </c>
      <c r="AF13">
        <v>1</v>
      </c>
      <c r="AG13">
        <v>0</v>
      </c>
      <c r="AH13">
        <v>0</v>
      </c>
      <c r="AI13">
        <v>0</v>
      </c>
    </row>
    <row r="14" spans="1:35" x14ac:dyDescent="0.3">
      <c r="A14">
        <v>30</v>
      </c>
      <c r="B14" t="s">
        <v>40</v>
      </c>
      <c r="C14" t="s">
        <v>52</v>
      </c>
      <c r="D14">
        <v>990</v>
      </c>
      <c r="E14" t="s">
        <v>42</v>
      </c>
      <c r="F14">
        <v>7</v>
      </c>
      <c r="G14">
        <v>3</v>
      </c>
      <c r="H14" t="s">
        <v>57</v>
      </c>
      <c r="I14">
        <v>1</v>
      </c>
      <c r="J14">
        <v>1482</v>
      </c>
      <c r="K14">
        <v>3</v>
      </c>
      <c r="L14" s="17" t="s">
        <v>43</v>
      </c>
      <c r="M14">
        <v>64</v>
      </c>
      <c r="N14">
        <v>3</v>
      </c>
      <c r="O14">
        <v>1</v>
      </c>
      <c r="P14" t="s">
        <v>44</v>
      </c>
      <c r="Q14">
        <v>3</v>
      </c>
      <c r="R14" t="s">
        <v>49</v>
      </c>
      <c r="S14" s="6">
        <v>1274</v>
      </c>
      <c r="T14">
        <v>7152</v>
      </c>
      <c r="U14">
        <v>1</v>
      </c>
      <c r="V14" t="s">
        <v>39</v>
      </c>
      <c r="W14" t="s">
        <v>40</v>
      </c>
      <c r="X14">
        <v>13</v>
      </c>
      <c r="Y14">
        <v>3</v>
      </c>
      <c r="Z14">
        <v>2</v>
      </c>
      <c r="AA14">
        <v>80</v>
      </c>
      <c r="AB14">
        <v>2</v>
      </c>
      <c r="AC14">
        <v>1</v>
      </c>
      <c r="AD14">
        <v>2</v>
      </c>
      <c r="AE14">
        <v>2</v>
      </c>
      <c r="AF14">
        <v>1</v>
      </c>
      <c r="AG14">
        <v>0</v>
      </c>
      <c r="AH14">
        <v>0</v>
      </c>
      <c r="AI14">
        <v>0</v>
      </c>
    </row>
    <row r="15" spans="1:35" x14ac:dyDescent="0.3">
      <c r="A15">
        <v>35</v>
      </c>
      <c r="B15" t="s">
        <v>40</v>
      </c>
      <c r="C15" t="s">
        <v>52</v>
      </c>
      <c r="D15">
        <v>727</v>
      </c>
      <c r="E15" t="s">
        <v>42</v>
      </c>
      <c r="F15">
        <v>3</v>
      </c>
      <c r="G15">
        <v>3</v>
      </c>
      <c r="H15" t="s">
        <v>35</v>
      </c>
      <c r="I15">
        <v>1</v>
      </c>
      <c r="J15">
        <v>704</v>
      </c>
      <c r="K15">
        <v>3</v>
      </c>
      <c r="L15" s="17" t="s">
        <v>43</v>
      </c>
      <c r="M15">
        <v>41</v>
      </c>
      <c r="N15">
        <v>2</v>
      </c>
      <c r="O15">
        <v>1</v>
      </c>
      <c r="P15" t="s">
        <v>47</v>
      </c>
      <c r="Q15">
        <v>3</v>
      </c>
      <c r="R15" t="s">
        <v>45</v>
      </c>
      <c r="S15" s="6">
        <v>1281</v>
      </c>
      <c r="T15">
        <v>16900</v>
      </c>
      <c r="U15">
        <v>1</v>
      </c>
      <c r="V15" t="s">
        <v>39</v>
      </c>
      <c r="W15" t="s">
        <v>40</v>
      </c>
      <c r="X15">
        <v>18</v>
      </c>
      <c r="Y15">
        <v>3</v>
      </c>
      <c r="Z15">
        <v>3</v>
      </c>
      <c r="AA15">
        <v>80</v>
      </c>
      <c r="AB15">
        <v>2</v>
      </c>
      <c r="AC15">
        <v>1</v>
      </c>
      <c r="AD15">
        <v>3</v>
      </c>
      <c r="AE15">
        <v>3</v>
      </c>
      <c r="AF15">
        <v>1</v>
      </c>
      <c r="AG15">
        <v>0</v>
      </c>
      <c r="AH15">
        <v>0</v>
      </c>
      <c r="AI15">
        <v>0</v>
      </c>
    </row>
    <row r="16" spans="1:35" x14ac:dyDescent="0.3">
      <c r="A16">
        <v>31</v>
      </c>
      <c r="B16" t="s">
        <v>32</v>
      </c>
      <c r="C16" t="s">
        <v>41</v>
      </c>
      <c r="D16">
        <v>667</v>
      </c>
      <c r="E16" t="s">
        <v>34</v>
      </c>
      <c r="F16">
        <v>1</v>
      </c>
      <c r="G16">
        <v>4</v>
      </c>
      <c r="H16" t="s">
        <v>35</v>
      </c>
      <c r="I16">
        <v>1</v>
      </c>
      <c r="J16">
        <v>1427</v>
      </c>
      <c r="K16">
        <v>2</v>
      </c>
      <c r="L16" s="17" t="s">
        <v>36</v>
      </c>
      <c r="M16">
        <v>50</v>
      </c>
      <c r="N16">
        <v>1</v>
      </c>
      <c r="O16">
        <v>1</v>
      </c>
      <c r="P16" t="s">
        <v>54</v>
      </c>
      <c r="Q16">
        <v>3</v>
      </c>
      <c r="R16" t="s">
        <v>38</v>
      </c>
      <c r="S16" s="6">
        <v>1359</v>
      </c>
      <c r="T16">
        <v>16154</v>
      </c>
      <c r="U16">
        <v>1</v>
      </c>
      <c r="V16" t="s">
        <v>39</v>
      </c>
      <c r="W16" t="s">
        <v>40</v>
      </c>
      <c r="X16">
        <v>12</v>
      </c>
      <c r="Y16">
        <v>3</v>
      </c>
      <c r="Z16">
        <v>2</v>
      </c>
      <c r="AA16">
        <v>80</v>
      </c>
      <c r="AB16">
        <v>0</v>
      </c>
      <c r="AC16">
        <v>1</v>
      </c>
      <c r="AD16">
        <v>3</v>
      </c>
      <c r="AE16">
        <v>3</v>
      </c>
      <c r="AF16">
        <v>1</v>
      </c>
      <c r="AG16">
        <v>0</v>
      </c>
      <c r="AH16">
        <v>0</v>
      </c>
      <c r="AI16">
        <v>0</v>
      </c>
    </row>
    <row r="17" spans="1:35" x14ac:dyDescent="0.3">
      <c r="A17">
        <v>32</v>
      </c>
      <c r="B17" t="s">
        <v>32</v>
      </c>
      <c r="C17" t="s">
        <v>33</v>
      </c>
      <c r="D17">
        <v>1259</v>
      </c>
      <c r="E17" t="s">
        <v>42</v>
      </c>
      <c r="F17">
        <v>2</v>
      </c>
      <c r="G17">
        <v>4</v>
      </c>
      <c r="H17" t="s">
        <v>35</v>
      </c>
      <c r="I17">
        <v>1</v>
      </c>
      <c r="J17">
        <v>1692</v>
      </c>
      <c r="K17">
        <v>4</v>
      </c>
      <c r="L17" s="17" t="s">
        <v>43</v>
      </c>
      <c r="M17">
        <v>95</v>
      </c>
      <c r="N17">
        <v>3</v>
      </c>
      <c r="O17">
        <v>1</v>
      </c>
      <c r="P17" t="s">
        <v>47</v>
      </c>
      <c r="Q17">
        <v>2</v>
      </c>
      <c r="R17" t="s">
        <v>38</v>
      </c>
      <c r="S17" s="6">
        <v>1393</v>
      </c>
      <c r="T17">
        <v>24852</v>
      </c>
      <c r="U17">
        <v>1</v>
      </c>
      <c r="V17" t="s">
        <v>39</v>
      </c>
      <c r="W17" t="s">
        <v>40</v>
      </c>
      <c r="X17">
        <v>12</v>
      </c>
      <c r="Y17">
        <v>3</v>
      </c>
      <c r="Z17">
        <v>1</v>
      </c>
      <c r="AA17">
        <v>80</v>
      </c>
      <c r="AB17">
        <v>0</v>
      </c>
      <c r="AC17">
        <v>1</v>
      </c>
      <c r="AD17">
        <v>2</v>
      </c>
      <c r="AE17">
        <v>3</v>
      </c>
      <c r="AF17">
        <v>1</v>
      </c>
      <c r="AG17">
        <v>0</v>
      </c>
      <c r="AH17">
        <v>0</v>
      </c>
      <c r="AI17">
        <v>0</v>
      </c>
    </row>
    <row r="18" spans="1:35" x14ac:dyDescent="0.3">
      <c r="A18">
        <v>21</v>
      </c>
      <c r="B18" t="s">
        <v>32</v>
      </c>
      <c r="C18" t="s">
        <v>33</v>
      </c>
      <c r="D18">
        <v>1334</v>
      </c>
      <c r="E18" t="s">
        <v>42</v>
      </c>
      <c r="F18">
        <v>10</v>
      </c>
      <c r="G18">
        <v>3</v>
      </c>
      <c r="H18" t="s">
        <v>35</v>
      </c>
      <c r="I18">
        <v>1</v>
      </c>
      <c r="J18">
        <v>1079</v>
      </c>
      <c r="K18">
        <v>3</v>
      </c>
      <c r="L18" s="17" t="s">
        <v>36</v>
      </c>
      <c r="M18">
        <v>36</v>
      </c>
      <c r="N18">
        <v>2</v>
      </c>
      <c r="O18">
        <v>1</v>
      </c>
      <c r="P18" t="s">
        <v>47</v>
      </c>
      <c r="Q18">
        <v>1</v>
      </c>
      <c r="R18" t="s">
        <v>38</v>
      </c>
      <c r="S18" s="6">
        <v>1416</v>
      </c>
      <c r="T18">
        <v>17258</v>
      </c>
      <c r="U18">
        <v>1</v>
      </c>
      <c r="V18" t="s">
        <v>39</v>
      </c>
      <c r="W18" t="s">
        <v>40</v>
      </c>
      <c r="X18">
        <v>13</v>
      </c>
      <c r="Y18">
        <v>3</v>
      </c>
      <c r="Z18">
        <v>1</v>
      </c>
      <c r="AA18">
        <v>80</v>
      </c>
      <c r="AB18">
        <v>0</v>
      </c>
      <c r="AC18">
        <v>1</v>
      </c>
      <c r="AD18">
        <v>6</v>
      </c>
      <c r="AE18">
        <v>2</v>
      </c>
      <c r="AF18">
        <v>1</v>
      </c>
      <c r="AG18">
        <v>0</v>
      </c>
      <c r="AH18">
        <v>1</v>
      </c>
      <c r="AI18">
        <v>0</v>
      </c>
    </row>
    <row r="19" spans="1:35" x14ac:dyDescent="0.3">
      <c r="A19">
        <v>18</v>
      </c>
      <c r="B19" t="s">
        <v>32</v>
      </c>
      <c r="C19" t="s">
        <v>33</v>
      </c>
      <c r="D19">
        <v>230</v>
      </c>
      <c r="E19" t="s">
        <v>42</v>
      </c>
      <c r="F19">
        <v>3</v>
      </c>
      <c r="G19">
        <v>3</v>
      </c>
      <c r="H19" t="s">
        <v>35</v>
      </c>
      <c r="I19">
        <v>1</v>
      </c>
      <c r="J19">
        <v>405</v>
      </c>
      <c r="K19">
        <v>3</v>
      </c>
      <c r="L19" s="17" t="s">
        <v>43</v>
      </c>
      <c r="M19">
        <v>54</v>
      </c>
      <c r="N19">
        <v>3</v>
      </c>
      <c r="O19">
        <v>1</v>
      </c>
      <c r="P19" t="s">
        <v>47</v>
      </c>
      <c r="Q19">
        <v>3</v>
      </c>
      <c r="R19" t="s">
        <v>38</v>
      </c>
      <c r="S19" s="6">
        <v>1420</v>
      </c>
      <c r="T19">
        <v>25233</v>
      </c>
      <c r="U19">
        <v>1</v>
      </c>
      <c r="V19" t="s">
        <v>39</v>
      </c>
      <c r="W19" t="s">
        <v>40</v>
      </c>
      <c r="X19">
        <v>13</v>
      </c>
      <c r="Y19">
        <v>3</v>
      </c>
      <c r="Z19">
        <v>3</v>
      </c>
      <c r="AA19">
        <v>80</v>
      </c>
      <c r="AB19">
        <v>0</v>
      </c>
      <c r="AC19">
        <v>0</v>
      </c>
      <c r="AD19">
        <v>2</v>
      </c>
      <c r="AE19">
        <v>3</v>
      </c>
      <c r="AF19">
        <v>0</v>
      </c>
      <c r="AG19">
        <v>0</v>
      </c>
      <c r="AH19">
        <v>0</v>
      </c>
      <c r="AI19">
        <v>0</v>
      </c>
    </row>
    <row r="20" spans="1:35" x14ac:dyDescent="0.3">
      <c r="A20">
        <v>19</v>
      </c>
      <c r="B20" t="s">
        <v>40</v>
      </c>
      <c r="C20" t="s">
        <v>33</v>
      </c>
      <c r="D20">
        <v>1181</v>
      </c>
      <c r="E20" t="s">
        <v>42</v>
      </c>
      <c r="F20">
        <v>3</v>
      </c>
      <c r="G20">
        <v>1</v>
      </c>
      <c r="H20" t="s">
        <v>48</v>
      </c>
      <c r="I20">
        <v>1</v>
      </c>
      <c r="J20">
        <v>201</v>
      </c>
      <c r="K20">
        <v>2</v>
      </c>
      <c r="L20" s="17" t="s">
        <v>36</v>
      </c>
      <c r="M20">
        <v>79</v>
      </c>
      <c r="N20">
        <v>3</v>
      </c>
      <c r="O20">
        <v>1</v>
      </c>
      <c r="P20" t="s">
        <v>47</v>
      </c>
      <c r="Q20">
        <v>2</v>
      </c>
      <c r="R20" t="s">
        <v>38</v>
      </c>
      <c r="S20" s="6">
        <v>1483</v>
      </c>
      <c r="T20">
        <v>16102</v>
      </c>
      <c r="U20">
        <v>1</v>
      </c>
      <c r="V20" t="s">
        <v>39</v>
      </c>
      <c r="W20" t="s">
        <v>40</v>
      </c>
      <c r="X20">
        <v>14</v>
      </c>
      <c r="Y20">
        <v>3</v>
      </c>
      <c r="Z20">
        <v>4</v>
      </c>
      <c r="AA20">
        <v>80</v>
      </c>
      <c r="AB20">
        <v>0</v>
      </c>
      <c r="AC20">
        <v>1</v>
      </c>
      <c r="AD20">
        <v>3</v>
      </c>
      <c r="AE20">
        <v>3</v>
      </c>
      <c r="AF20">
        <v>1</v>
      </c>
      <c r="AG20">
        <v>0</v>
      </c>
      <c r="AH20">
        <v>0</v>
      </c>
      <c r="AI20">
        <v>0</v>
      </c>
    </row>
    <row r="21" spans="1:35" x14ac:dyDescent="0.3">
      <c r="A21">
        <v>18</v>
      </c>
      <c r="B21" t="s">
        <v>40</v>
      </c>
      <c r="C21" t="s">
        <v>52</v>
      </c>
      <c r="D21">
        <v>1431</v>
      </c>
      <c r="E21" t="s">
        <v>42</v>
      </c>
      <c r="F21">
        <v>14</v>
      </c>
      <c r="G21">
        <v>3</v>
      </c>
      <c r="H21" t="s">
        <v>48</v>
      </c>
      <c r="I21">
        <v>1</v>
      </c>
      <c r="J21">
        <v>1839</v>
      </c>
      <c r="K21">
        <v>2</v>
      </c>
      <c r="L21" s="17" t="s">
        <v>36</v>
      </c>
      <c r="M21">
        <v>33</v>
      </c>
      <c r="N21">
        <v>3</v>
      </c>
      <c r="O21">
        <v>1</v>
      </c>
      <c r="P21" t="s">
        <v>44</v>
      </c>
      <c r="Q21">
        <v>3</v>
      </c>
      <c r="R21" t="s">
        <v>38</v>
      </c>
      <c r="S21" s="6">
        <v>1514</v>
      </c>
      <c r="T21">
        <v>8018</v>
      </c>
      <c r="U21">
        <v>1</v>
      </c>
      <c r="V21" t="s">
        <v>39</v>
      </c>
      <c r="W21" t="s">
        <v>40</v>
      </c>
      <c r="X21">
        <v>16</v>
      </c>
      <c r="Y21">
        <v>3</v>
      </c>
      <c r="Z21">
        <v>3</v>
      </c>
      <c r="AA21">
        <v>80</v>
      </c>
      <c r="AB21">
        <v>0</v>
      </c>
      <c r="AC21">
        <v>0</v>
      </c>
      <c r="AD21">
        <v>4</v>
      </c>
      <c r="AE21">
        <v>1</v>
      </c>
      <c r="AF21">
        <v>0</v>
      </c>
      <c r="AG21">
        <v>0</v>
      </c>
      <c r="AH21">
        <v>0</v>
      </c>
      <c r="AI21">
        <v>0</v>
      </c>
    </row>
    <row r="22" spans="1:35" x14ac:dyDescent="0.3">
      <c r="A22">
        <v>24</v>
      </c>
      <c r="B22" t="s">
        <v>32</v>
      </c>
      <c r="C22" t="s">
        <v>33</v>
      </c>
      <c r="D22">
        <v>240</v>
      </c>
      <c r="E22" t="s">
        <v>58</v>
      </c>
      <c r="F22">
        <v>22</v>
      </c>
      <c r="G22">
        <v>1</v>
      </c>
      <c r="H22" t="s">
        <v>58</v>
      </c>
      <c r="I22">
        <v>1</v>
      </c>
      <c r="J22">
        <v>1714</v>
      </c>
      <c r="K22">
        <v>4</v>
      </c>
      <c r="L22" s="17" t="s">
        <v>43</v>
      </c>
      <c r="M22">
        <v>58</v>
      </c>
      <c r="N22">
        <v>1</v>
      </c>
      <c r="O22">
        <v>1</v>
      </c>
      <c r="P22" t="s">
        <v>58</v>
      </c>
      <c r="Q22">
        <v>3</v>
      </c>
      <c r="R22" t="s">
        <v>45</v>
      </c>
      <c r="S22" s="6">
        <v>1555</v>
      </c>
      <c r="T22">
        <v>11585</v>
      </c>
      <c r="U22">
        <v>1</v>
      </c>
      <c r="V22" t="s">
        <v>39</v>
      </c>
      <c r="W22" t="s">
        <v>40</v>
      </c>
      <c r="X22">
        <v>11</v>
      </c>
      <c r="Y22">
        <v>3</v>
      </c>
      <c r="Z22">
        <v>3</v>
      </c>
      <c r="AA22">
        <v>80</v>
      </c>
      <c r="AB22">
        <v>1</v>
      </c>
      <c r="AC22">
        <v>1</v>
      </c>
      <c r="AD22">
        <v>2</v>
      </c>
      <c r="AE22">
        <v>3</v>
      </c>
      <c r="AF22">
        <v>1</v>
      </c>
      <c r="AG22">
        <v>0</v>
      </c>
      <c r="AH22">
        <v>0</v>
      </c>
      <c r="AI22">
        <v>0</v>
      </c>
    </row>
    <row r="23" spans="1:35" x14ac:dyDescent="0.3">
      <c r="A23">
        <v>28</v>
      </c>
      <c r="B23" t="s">
        <v>40</v>
      </c>
      <c r="C23" t="s">
        <v>33</v>
      </c>
      <c r="D23">
        <v>1423</v>
      </c>
      <c r="E23" t="s">
        <v>42</v>
      </c>
      <c r="F23">
        <v>1</v>
      </c>
      <c r="G23">
        <v>3</v>
      </c>
      <c r="H23" t="s">
        <v>35</v>
      </c>
      <c r="I23">
        <v>1</v>
      </c>
      <c r="J23">
        <v>1506</v>
      </c>
      <c r="K23">
        <v>1</v>
      </c>
      <c r="L23" s="17" t="s">
        <v>43</v>
      </c>
      <c r="M23">
        <v>72</v>
      </c>
      <c r="N23">
        <v>2</v>
      </c>
      <c r="O23">
        <v>1</v>
      </c>
      <c r="P23" t="s">
        <v>44</v>
      </c>
      <c r="Q23">
        <v>3</v>
      </c>
      <c r="R23" t="s">
        <v>49</v>
      </c>
      <c r="S23" s="6">
        <v>1563</v>
      </c>
      <c r="T23">
        <v>12530</v>
      </c>
      <c r="U23">
        <v>1</v>
      </c>
      <c r="V23" t="s">
        <v>39</v>
      </c>
      <c r="W23" t="s">
        <v>40</v>
      </c>
      <c r="X23">
        <v>14</v>
      </c>
      <c r="Y23">
        <v>3</v>
      </c>
      <c r="Z23">
        <v>4</v>
      </c>
      <c r="AA23">
        <v>80</v>
      </c>
      <c r="AB23">
        <v>1</v>
      </c>
      <c r="AC23">
        <v>1</v>
      </c>
      <c r="AD23">
        <v>2</v>
      </c>
      <c r="AE23">
        <v>1</v>
      </c>
      <c r="AF23">
        <v>1</v>
      </c>
      <c r="AG23">
        <v>0</v>
      </c>
      <c r="AH23">
        <v>0</v>
      </c>
      <c r="AI23">
        <v>0</v>
      </c>
    </row>
    <row r="24" spans="1:35" x14ac:dyDescent="0.3">
      <c r="A24">
        <v>18</v>
      </c>
      <c r="B24" t="s">
        <v>32</v>
      </c>
      <c r="C24" t="s">
        <v>41</v>
      </c>
      <c r="D24">
        <v>544</v>
      </c>
      <c r="E24" t="s">
        <v>34</v>
      </c>
      <c r="F24">
        <v>3</v>
      </c>
      <c r="G24">
        <v>2</v>
      </c>
      <c r="H24" t="s">
        <v>48</v>
      </c>
      <c r="I24">
        <v>1</v>
      </c>
      <c r="J24">
        <v>1624</v>
      </c>
      <c r="K24">
        <v>2</v>
      </c>
      <c r="L24" s="17" t="s">
        <v>36</v>
      </c>
      <c r="M24">
        <v>70</v>
      </c>
      <c r="N24">
        <v>3</v>
      </c>
      <c r="O24">
        <v>1</v>
      </c>
      <c r="P24" t="s">
        <v>54</v>
      </c>
      <c r="Q24">
        <v>4</v>
      </c>
      <c r="R24" t="s">
        <v>38</v>
      </c>
      <c r="S24" s="6">
        <v>1569</v>
      </c>
      <c r="T24">
        <v>18420</v>
      </c>
      <c r="U24">
        <v>1</v>
      </c>
      <c r="V24" t="s">
        <v>39</v>
      </c>
      <c r="W24" t="s">
        <v>32</v>
      </c>
      <c r="X24">
        <v>12</v>
      </c>
      <c r="Y24">
        <v>3</v>
      </c>
      <c r="Z24">
        <v>3</v>
      </c>
      <c r="AA24">
        <v>80</v>
      </c>
      <c r="AB24">
        <v>0</v>
      </c>
      <c r="AC24">
        <v>0</v>
      </c>
      <c r="AD24">
        <v>2</v>
      </c>
      <c r="AE24">
        <v>4</v>
      </c>
      <c r="AF24">
        <v>0</v>
      </c>
      <c r="AG24">
        <v>0</v>
      </c>
      <c r="AH24">
        <v>0</v>
      </c>
      <c r="AI24">
        <v>0</v>
      </c>
    </row>
    <row r="25" spans="1:35" x14ac:dyDescent="0.3">
      <c r="A25">
        <v>23</v>
      </c>
      <c r="B25" t="s">
        <v>32</v>
      </c>
      <c r="C25" t="s">
        <v>33</v>
      </c>
      <c r="D25">
        <v>1243</v>
      </c>
      <c r="E25" t="s">
        <v>42</v>
      </c>
      <c r="F25">
        <v>6</v>
      </c>
      <c r="G25">
        <v>3</v>
      </c>
      <c r="H25" t="s">
        <v>35</v>
      </c>
      <c r="I25">
        <v>1</v>
      </c>
      <c r="J25">
        <v>811</v>
      </c>
      <c r="K25">
        <v>3</v>
      </c>
      <c r="L25" s="17" t="s">
        <v>43</v>
      </c>
      <c r="M25">
        <v>63</v>
      </c>
      <c r="N25">
        <v>4</v>
      </c>
      <c r="O25">
        <v>1</v>
      </c>
      <c r="P25" t="s">
        <v>47</v>
      </c>
      <c r="Q25">
        <v>1</v>
      </c>
      <c r="R25" t="s">
        <v>45</v>
      </c>
      <c r="S25" s="6">
        <v>1601</v>
      </c>
      <c r="T25">
        <v>3445</v>
      </c>
      <c r="U25">
        <v>1</v>
      </c>
      <c r="V25" t="s">
        <v>39</v>
      </c>
      <c r="W25" t="s">
        <v>32</v>
      </c>
      <c r="X25">
        <v>21</v>
      </c>
      <c r="Y25">
        <v>4</v>
      </c>
      <c r="Z25">
        <v>3</v>
      </c>
      <c r="AA25">
        <v>80</v>
      </c>
      <c r="AB25">
        <v>2</v>
      </c>
      <c r="AC25">
        <v>1</v>
      </c>
      <c r="AD25">
        <v>2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18</v>
      </c>
      <c r="B26" t="s">
        <v>40</v>
      </c>
      <c r="C26" t="s">
        <v>52</v>
      </c>
      <c r="D26">
        <v>1124</v>
      </c>
      <c r="E26" t="s">
        <v>42</v>
      </c>
      <c r="F26">
        <v>1</v>
      </c>
      <c r="G26">
        <v>3</v>
      </c>
      <c r="H26" t="s">
        <v>35</v>
      </c>
      <c r="I26">
        <v>1</v>
      </c>
      <c r="J26">
        <v>1368</v>
      </c>
      <c r="K26">
        <v>4</v>
      </c>
      <c r="L26" s="17" t="s">
        <v>36</v>
      </c>
      <c r="M26">
        <v>97</v>
      </c>
      <c r="N26">
        <v>3</v>
      </c>
      <c r="O26">
        <v>1</v>
      </c>
      <c r="P26" t="s">
        <v>47</v>
      </c>
      <c r="Q26">
        <v>4</v>
      </c>
      <c r="R26" t="s">
        <v>38</v>
      </c>
      <c r="S26" s="6">
        <v>1611</v>
      </c>
      <c r="T26">
        <v>19305</v>
      </c>
      <c r="U26">
        <v>1</v>
      </c>
      <c r="V26" t="s">
        <v>39</v>
      </c>
      <c r="W26" t="s">
        <v>40</v>
      </c>
      <c r="X26">
        <v>15</v>
      </c>
      <c r="Y26">
        <v>3</v>
      </c>
      <c r="Z26">
        <v>3</v>
      </c>
      <c r="AA26">
        <v>80</v>
      </c>
      <c r="AB26">
        <v>0</v>
      </c>
      <c r="AC26">
        <v>0</v>
      </c>
      <c r="AD26">
        <v>5</v>
      </c>
      <c r="AE26">
        <v>4</v>
      </c>
      <c r="AF26">
        <v>0</v>
      </c>
      <c r="AG26">
        <v>0</v>
      </c>
      <c r="AH26">
        <v>0</v>
      </c>
      <c r="AI26">
        <v>0</v>
      </c>
    </row>
    <row r="27" spans="1:35" x14ac:dyDescent="0.3">
      <c r="A27">
        <v>19</v>
      </c>
      <c r="B27" t="s">
        <v>32</v>
      </c>
      <c r="C27" t="s">
        <v>33</v>
      </c>
      <c r="D27">
        <v>528</v>
      </c>
      <c r="E27" t="s">
        <v>34</v>
      </c>
      <c r="F27">
        <v>22</v>
      </c>
      <c r="G27">
        <v>1</v>
      </c>
      <c r="H27" t="s">
        <v>56</v>
      </c>
      <c r="I27">
        <v>1</v>
      </c>
      <c r="J27">
        <v>167</v>
      </c>
      <c r="K27">
        <v>4</v>
      </c>
      <c r="L27" s="17" t="s">
        <v>43</v>
      </c>
      <c r="M27">
        <v>50</v>
      </c>
      <c r="N27">
        <v>3</v>
      </c>
      <c r="O27">
        <v>1</v>
      </c>
      <c r="P27" t="s">
        <v>54</v>
      </c>
      <c r="Q27">
        <v>3</v>
      </c>
      <c r="R27" t="s">
        <v>38</v>
      </c>
      <c r="S27" s="6">
        <v>1675</v>
      </c>
      <c r="T27">
        <v>26820</v>
      </c>
      <c r="U27">
        <v>1</v>
      </c>
      <c r="V27" t="s">
        <v>39</v>
      </c>
      <c r="W27" t="s">
        <v>32</v>
      </c>
      <c r="X27">
        <v>19</v>
      </c>
      <c r="Y27">
        <v>3</v>
      </c>
      <c r="Z27">
        <v>4</v>
      </c>
      <c r="AA27">
        <v>80</v>
      </c>
      <c r="AB27">
        <v>0</v>
      </c>
      <c r="AC27">
        <v>0</v>
      </c>
      <c r="AD27">
        <v>2</v>
      </c>
      <c r="AE27">
        <v>2</v>
      </c>
      <c r="AF27">
        <v>0</v>
      </c>
      <c r="AG27">
        <v>0</v>
      </c>
      <c r="AH27">
        <v>0</v>
      </c>
      <c r="AI27">
        <v>0</v>
      </c>
    </row>
    <row r="28" spans="1:35" x14ac:dyDescent="0.3">
      <c r="A28">
        <v>38</v>
      </c>
      <c r="B28" t="s">
        <v>40</v>
      </c>
      <c r="C28" t="s">
        <v>41</v>
      </c>
      <c r="D28">
        <v>1490</v>
      </c>
      <c r="E28" t="s">
        <v>42</v>
      </c>
      <c r="F28">
        <v>2</v>
      </c>
      <c r="G28">
        <v>2</v>
      </c>
      <c r="H28" t="s">
        <v>35</v>
      </c>
      <c r="I28">
        <v>1</v>
      </c>
      <c r="J28">
        <v>556</v>
      </c>
      <c r="K28">
        <v>4</v>
      </c>
      <c r="L28" s="17" t="s">
        <v>43</v>
      </c>
      <c r="M28">
        <v>42</v>
      </c>
      <c r="N28">
        <v>3</v>
      </c>
      <c r="O28">
        <v>1</v>
      </c>
      <c r="P28" t="s">
        <v>47</v>
      </c>
      <c r="Q28">
        <v>4</v>
      </c>
      <c r="R28" t="s">
        <v>45</v>
      </c>
      <c r="S28" s="6">
        <v>1702</v>
      </c>
      <c r="T28">
        <v>12106</v>
      </c>
      <c r="U28">
        <v>1</v>
      </c>
      <c r="V28" t="s">
        <v>39</v>
      </c>
      <c r="W28" t="s">
        <v>32</v>
      </c>
      <c r="X28">
        <v>23</v>
      </c>
      <c r="Y28">
        <v>4</v>
      </c>
      <c r="Z28">
        <v>3</v>
      </c>
      <c r="AA28">
        <v>80</v>
      </c>
      <c r="AB28">
        <v>1</v>
      </c>
      <c r="AC28">
        <v>1</v>
      </c>
      <c r="AD28">
        <v>3</v>
      </c>
      <c r="AE28">
        <v>3</v>
      </c>
      <c r="AF28">
        <v>1</v>
      </c>
      <c r="AG28">
        <v>0</v>
      </c>
      <c r="AH28">
        <v>0</v>
      </c>
      <c r="AI28">
        <v>0</v>
      </c>
    </row>
    <row r="29" spans="1:35" x14ac:dyDescent="0.3">
      <c r="A29">
        <v>27</v>
      </c>
      <c r="B29" t="s">
        <v>40</v>
      </c>
      <c r="C29" t="s">
        <v>52</v>
      </c>
      <c r="D29">
        <v>443</v>
      </c>
      <c r="E29" t="s">
        <v>42</v>
      </c>
      <c r="F29">
        <v>3</v>
      </c>
      <c r="G29">
        <v>3</v>
      </c>
      <c r="H29" t="s">
        <v>48</v>
      </c>
      <c r="I29">
        <v>1</v>
      </c>
      <c r="J29">
        <v>850</v>
      </c>
      <c r="K29">
        <v>4</v>
      </c>
      <c r="L29" s="17" t="s">
        <v>43</v>
      </c>
      <c r="M29">
        <v>50</v>
      </c>
      <c r="N29">
        <v>3</v>
      </c>
      <c r="O29">
        <v>1</v>
      </c>
      <c r="P29" t="s">
        <v>44</v>
      </c>
      <c r="Q29">
        <v>4</v>
      </c>
      <c r="R29" t="s">
        <v>45</v>
      </c>
      <c r="S29" s="6">
        <v>1706</v>
      </c>
      <c r="T29">
        <v>16571</v>
      </c>
      <c r="U29">
        <v>1</v>
      </c>
      <c r="V29" t="s">
        <v>39</v>
      </c>
      <c r="W29" t="s">
        <v>40</v>
      </c>
      <c r="X29">
        <v>11</v>
      </c>
      <c r="Y29">
        <v>3</v>
      </c>
      <c r="Z29">
        <v>3</v>
      </c>
      <c r="AA29">
        <v>80</v>
      </c>
      <c r="AB29">
        <v>3</v>
      </c>
      <c r="AC29">
        <v>0</v>
      </c>
      <c r="AD29">
        <v>6</v>
      </c>
      <c r="AE29">
        <v>2</v>
      </c>
      <c r="AF29">
        <v>0</v>
      </c>
      <c r="AG29">
        <v>0</v>
      </c>
      <c r="AH29">
        <v>0</v>
      </c>
      <c r="AI29">
        <v>0</v>
      </c>
    </row>
    <row r="30" spans="1:35" x14ac:dyDescent="0.3">
      <c r="A30">
        <v>23</v>
      </c>
      <c r="B30" t="s">
        <v>32</v>
      </c>
      <c r="C30" t="s">
        <v>41</v>
      </c>
      <c r="D30">
        <v>638</v>
      </c>
      <c r="E30" t="s">
        <v>34</v>
      </c>
      <c r="F30">
        <v>9</v>
      </c>
      <c r="G30">
        <v>3</v>
      </c>
      <c r="H30" t="s">
        <v>56</v>
      </c>
      <c r="I30">
        <v>1</v>
      </c>
      <c r="J30">
        <v>2023</v>
      </c>
      <c r="K30">
        <v>4</v>
      </c>
      <c r="L30" s="17" t="s">
        <v>43</v>
      </c>
      <c r="M30">
        <v>33</v>
      </c>
      <c r="N30">
        <v>3</v>
      </c>
      <c r="O30">
        <v>1</v>
      </c>
      <c r="P30" t="s">
        <v>54</v>
      </c>
      <c r="Q30">
        <v>1</v>
      </c>
      <c r="R30" t="s">
        <v>45</v>
      </c>
      <c r="S30" s="6">
        <v>1790</v>
      </c>
      <c r="T30">
        <v>26956</v>
      </c>
      <c r="U30">
        <v>1</v>
      </c>
      <c r="V30" t="s">
        <v>39</v>
      </c>
      <c r="W30" t="s">
        <v>40</v>
      </c>
      <c r="X30">
        <v>19</v>
      </c>
      <c r="Y30">
        <v>3</v>
      </c>
      <c r="Z30">
        <v>1</v>
      </c>
      <c r="AA30">
        <v>80</v>
      </c>
      <c r="AB30">
        <v>1</v>
      </c>
      <c r="AC30">
        <v>1</v>
      </c>
      <c r="AD30">
        <v>3</v>
      </c>
      <c r="AE30">
        <v>2</v>
      </c>
      <c r="AF30">
        <v>1</v>
      </c>
      <c r="AG30">
        <v>0</v>
      </c>
      <c r="AH30">
        <v>1</v>
      </c>
      <c r="AI30">
        <v>0</v>
      </c>
    </row>
    <row r="31" spans="1:35" x14ac:dyDescent="0.3">
      <c r="A31">
        <v>19</v>
      </c>
      <c r="B31" t="s">
        <v>32</v>
      </c>
      <c r="C31" t="s">
        <v>52</v>
      </c>
      <c r="D31">
        <v>504</v>
      </c>
      <c r="E31" t="s">
        <v>42</v>
      </c>
      <c r="F31">
        <v>10</v>
      </c>
      <c r="G31">
        <v>3</v>
      </c>
      <c r="H31" t="s">
        <v>48</v>
      </c>
      <c r="I31">
        <v>1</v>
      </c>
      <c r="J31">
        <v>1248</v>
      </c>
      <c r="K31">
        <v>1</v>
      </c>
      <c r="L31" s="17" t="s">
        <v>36</v>
      </c>
      <c r="M31">
        <v>96</v>
      </c>
      <c r="N31">
        <v>2</v>
      </c>
      <c r="O31">
        <v>1</v>
      </c>
      <c r="P31" t="s">
        <v>44</v>
      </c>
      <c r="Q31">
        <v>2</v>
      </c>
      <c r="R31" t="s">
        <v>38</v>
      </c>
      <c r="S31" s="6">
        <v>1859</v>
      </c>
      <c r="T31">
        <v>6148</v>
      </c>
      <c r="U31">
        <v>1</v>
      </c>
      <c r="V31" t="s">
        <v>39</v>
      </c>
      <c r="W31" t="s">
        <v>32</v>
      </c>
      <c r="X31">
        <v>25</v>
      </c>
      <c r="Y31">
        <v>4</v>
      </c>
      <c r="Z31">
        <v>2</v>
      </c>
      <c r="AA31">
        <v>80</v>
      </c>
      <c r="AB31">
        <v>0</v>
      </c>
      <c r="AC31">
        <v>1</v>
      </c>
      <c r="AD31">
        <v>2</v>
      </c>
      <c r="AE31">
        <v>4</v>
      </c>
      <c r="AF31">
        <v>1</v>
      </c>
      <c r="AG31">
        <v>1</v>
      </c>
      <c r="AH31">
        <v>0</v>
      </c>
      <c r="AI31">
        <v>0</v>
      </c>
    </row>
    <row r="32" spans="1:35" x14ac:dyDescent="0.3">
      <c r="A32">
        <v>18</v>
      </c>
      <c r="B32" t="s">
        <v>32</v>
      </c>
      <c r="C32" t="s">
        <v>41</v>
      </c>
      <c r="D32">
        <v>1306</v>
      </c>
      <c r="E32" t="s">
        <v>34</v>
      </c>
      <c r="F32">
        <v>5</v>
      </c>
      <c r="G32">
        <v>3</v>
      </c>
      <c r="H32" t="s">
        <v>56</v>
      </c>
      <c r="I32">
        <v>1</v>
      </c>
      <c r="J32">
        <v>614</v>
      </c>
      <c r="K32">
        <v>2</v>
      </c>
      <c r="L32" s="17" t="s">
        <v>43</v>
      </c>
      <c r="M32">
        <v>69</v>
      </c>
      <c r="N32">
        <v>3</v>
      </c>
      <c r="O32">
        <v>1</v>
      </c>
      <c r="P32" t="s">
        <v>54</v>
      </c>
      <c r="Q32">
        <v>2</v>
      </c>
      <c r="R32" t="s">
        <v>38</v>
      </c>
      <c r="S32" s="6">
        <v>1878</v>
      </c>
      <c r="T32">
        <v>8059</v>
      </c>
      <c r="U32">
        <v>1</v>
      </c>
      <c r="V32" t="s">
        <v>39</v>
      </c>
      <c r="W32" t="s">
        <v>32</v>
      </c>
      <c r="X32">
        <v>14</v>
      </c>
      <c r="Y32">
        <v>3</v>
      </c>
      <c r="Z32">
        <v>4</v>
      </c>
      <c r="AA32">
        <v>80</v>
      </c>
      <c r="AB32">
        <v>0</v>
      </c>
      <c r="AC32">
        <v>0</v>
      </c>
      <c r="AD32">
        <v>3</v>
      </c>
      <c r="AE32">
        <v>3</v>
      </c>
      <c r="AF32">
        <v>0</v>
      </c>
      <c r="AG32">
        <v>0</v>
      </c>
      <c r="AH32">
        <v>0</v>
      </c>
      <c r="AI32">
        <v>0</v>
      </c>
    </row>
    <row r="33" spans="1:35" x14ac:dyDescent="0.3">
      <c r="A33">
        <v>18</v>
      </c>
      <c r="B33" t="s">
        <v>32</v>
      </c>
      <c r="C33" t="s">
        <v>52</v>
      </c>
      <c r="D33">
        <v>247</v>
      </c>
      <c r="E33" t="s">
        <v>42</v>
      </c>
      <c r="F33">
        <v>8</v>
      </c>
      <c r="G33">
        <v>1</v>
      </c>
      <c r="H33" t="s">
        <v>48</v>
      </c>
      <c r="I33">
        <v>1</v>
      </c>
      <c r="J33">
        <v>1156</v>
      </c>
      <c r="K33">
        <v>3</v>
      </c>
      <c r="L33" s="17" t="s">
        <v>43</v>
      </c>
      <c r="M33">
        <v>80</v>
      </c>
      <c r="N33">
        <v>3</v>
      </c>
      <c r="O33">
        <v>1</v>
      </c>
      <c r="P33" t="s">
        <v>47</v>
      </c>
      <c r="Q33">
        <v>3</v>
      </c>
      <c r="R33" t="s">
        <v>38</v>
      </c>
      <c r="S33" s="6">
        <v>1904</v>
      </c>
      <c r="T33">
        <v>13556</v>
      </c>
      <c r="U33">
        <v>1</v>
      </c>
      <c r="V33" t="s">
        <v>39</v>
      </c>
      <c r="W33" t="s">
        <v>40</v>
      </c>
      <c r="X33">
        <v>12</v>
      </c>
      <c r="Y33">
        <v>3</v>
      </c>
      <c r="Z33">
        <v>4</v>
      </c>
      <c r="AA33">
        <v>80</v>
      </c>
      <c r="AB33">
        <v>0</v>
      </c>
      <c r="AC33">
        <v>0</v>
      </c>
      <c r="AD33">
        <v>0</v>
      </c>
      <c r="AE33">
        <v>3</v>
      </c>
      <c r="AF33">
        <v>0</v>
      </c>
      <c r="AG33">
        <v>0</v>
      </c>
      <c r="AH33">
        <v>0</v>
      </c>
      <c r="AI33">
        <v>0</v>
      </c>
    </row>
    <row r="34" spans="1:35" x14ac:dyDescent="0.3">
      <c r="A34">
        <v>35</v>
      </c>
      <c r="B34" t="s">
        <v>40</v>
      </c>
      <c r="C34" t="s">
        <v>33</v>
      </c>
      <c r="D34">
        <v>464</v>
      </c>
      <c r="E34" t="s">
        <v>42</v>
      </c>
      <c r="F34">
        <v>4</v>
      </c>
      <c r="G34">
        <v>2</v>
      </c>
      <c r="H34" t="s">
        <v>46</v>
      </c>
      <c r="I34">
        <v>1</v>
      </c>
      <c r="J34">
        <v>53</v>
      </c>
      <c r="K34">
        <v>3</v>
      </c>
      <c r="L34" s="17" t="s">
        <v>43</v>
      </c>
      <c r="M34">
        <v>75</v>
      </c>
      <c r="N34">
        <v>3</v>
      </c>
      <c r="O34">
        <v>1</v>
      </c>
      <c r="P34" t="s">
        <v>47</v>
      </c>
      <c r="Q34">
        <v>4</v>
      </c>
      <c r="R34" t="s">
        <v>49</v>
      </c>
      <c r="S34" s="6">
        <v>1951</v>
      </c>
      <c r="T34">
        <v>10910</v>
      </c>
      <c r="U34">
        <v>1</v>
      </c>
      <c r="V34" t="s">
        <v>39</v>
      </c>
      <c r="W34" t="s">
        <v>40</v>
      </c>
      <c r="X34">
        <v>12</v>
      </c>
      <c r="Y34">
        <v>3</v>
      </c>
      <c r="Z34">
        <v>3</v>
      </c>
      <c r="AA34">
        <v>80</v>
      </c>
      <c r="AB34">
        <v>1</v>
      </c>
      <c r="AC34">
        <v>1</v>
      </c>
      <c r="AD34">
        <v>3</v>
      </c>
      <c r="AE34">
        <v>3</v>
      </c>
      <c r="AF34">
        <v>1</v>
      </c>
      <c r="AG34">
        <v>0</v>
      </c>
      <c r="AH34">
        <v>0</v>
      </c>
      <c r="AI34">
        <v>0</v>
      </c>
    </row>
    <row r="35" spans="1:35" x14ac:dyDescent="0.3">
      <c r="A35">
        <v>40</v>
      </c>
      <c r="B35" t="s">
        <v>40</v>
      </c>
      <c r="C35" t="s">
        <v>33</v>
      </c>
      <c r="D35">
        <v>1194</v>
      </c>
      <c r="E35" t="s">
        <v>42</v>
      </c>
      <c r="F35">
        <v>2</v>
      </c>
      <c r="G35">
        <v>4</v>
      </c>
      <c r="H35" t="s">
        <v>48</v>
      </c>
      <c r="I35">
        <v>1</v>
      </c>
      <c r="J35">
        <v>2051</v>
      </c>
      <c r="K35">
        <v>3</v>
      </c>
      <c r="L35" s="17" t="s">
        <v>36</v>
      </c>
      <c r="M35">
        <v>98</v>
      </c>
      <c r="N35">
        <v>3</v>
      </c>
      <c r="O35">
        <v>1</v>
      </c>
      <c r="P35" t="s">
        <v>44</v>
      </c>
      <c r="Q35">
        <v>3</v>
      </c>
      <c r="R35" t="s">
        <v>45</v>
      </c>
      <c r="S35" s="6">
        <v>2001</v>
      </c>
      <c r="T35">
        <v>12549</v>
      </c>
      <c r="U35">
        <v>2</v>
      </c>
      <c r="V35" t="s">
        <v>39</v>
      </c>
      <c r="W35" t="s">
        <v>40</v>
      </c>
      <c r="X35">
        <v>14</v>
      </c>
      <c r="Y35">
        <v>3</v>
      </c>
      <c r="Z35">
        <v>2</v>
      </c>
      <c r="AA35">
        <v>80</v>
      </c>
      <c r="AB35">
        <v>3</v>
      </c>
      <c r="AC35">
        <v>20</v>
      </c>
      <c r="AD35">
        <v>2</v>
      </c>
      <c r="AE35">
        <v>3</v>
      </c>
      <c r="AF35">
        <v>5</v>
      </c>
      <c r="AG35">
        <v>3</v>
      </c>
      <c r="AH35">
        <v>0</v>
      </c>
      <c r="AI35">
        <v>2</v>
      </c>
    </row>
    <row r="36" spans="1:35" x14ac:dyDescent="0.3">
      <c r="A36">
        <v>26</v>
      </c>
      <c r="B36" t="s">
        <v>40</v>
      </c>
      <c r="C36" t="s">
        <v>41</v>
      </c>
      <c r="D36">
        <v>921</v>
      </c>
      <c r="E36" t="s">
        <v>42</v>
      </c>
      <c r="F36">
        <v>1</v>
      </c>
      <c r="G36">
        <v>1</v>
      </c>
      <c r="H36" t="s">
        <v>48</v>
      </c>
      <c r="I36">
        <v>1</v>
      </c>
      <c r="J36">
        <v>1068</v>
      </c>
      <c r="K36">
        <v>1</v>
      </c>
      <c r="L36" s="17" t="s">
        <v>36</v>
      </c>
      <c r="M36">
        <v>66</v>
      </c>
      <c r="N36">
        <v>2</v>
      </c>
      <c r="O36">
        <v>1</v>
      </c>
      <c r="P36" t="s">
        <v>44</v>
      </c>
      <c r="Q36">
        <v>3</v>
      </c>
      <c r="R36" t="s">
        <v>49</v>
      </c>
      <c r="S36" s="6">
        <v>2007</v>
      </c>
      <c r="T36">
        <v>25265</v>
      </c>
      <c r="U36">
        <v>1</v>
      </c>
      <c r="V36" t="s">
        <v>39</v>
      </c>
      <c r="W36" t="s">
        <v>40</v>
      </c>
      <c r="X36">
        <v>13</v>
      </c>
      <c r="Y36">
        <v>3</v>
      </c>
      <c r="Z36">
        <v>3</v>
      </c>
      <c r="AA36">
        <v>80</v>
      </c>
      <c r="AB36">
        <v>2</v>
      </c>
      <c r="AC36">
        <v>5</v>
      </c>
      <c r="AD36">
        <v>5</v>
      </c>
      <c r="AE36">
        <v>3</v>
      </c>
      <c r="AF36">
        <v>5</v>
      </c>
      <c r="AG36">
        <v>3</v>
      </c>
      <c r="AH36">
        <v>1</v>
      </c>
      <c r="AI36">
        <v>3</v>
      </c>
    </row>
    <row r="37" spans="1:35" x14ac:dyDescent="0.3">
      <c r="A37">
        <v>34</v>
      </c>
      <c r="B37" t="s">
        <v>40</v>
      </c>
      <c r="C37" t="s">
        <v>33</v>
      </c>
      <c r="D37">
        <v>546</v>
      </c>
      <c r="E37" t="s">
        <v>42</v>
      </c>
      <c r="F37">
        <v>10</v>
      </c>
      <c r="G37">
        <v>3</v>
      </c>
      <c r="H37" t="s">
        <v>35</v>
      </c>
      <c r="I37">
        <v>1</v>
      </c>
      <c r="J37">
        <v>934</v>
      </c>
      <c r="K37">
        <v>2</v>
      </c>
      <c r="L37" s="17" t="s">
        <v>43</v>
      </c>
      <c r="M37">
        <v>83</v>
      </c>
      <c r="N37">
        <v>3</v>
      </c>
      <c r="O37">
        <v>1</v>
      </c>
      <c r="P37" t="s">
        <v>47</v>
      </c>
      <c r="Q37">
        <v>2</v>
      </c>
      <c r="R37" t="s">
        <v>49</v>
      </c>
      <c r="S37" s="6">
        <v>2008</v>
      </c>
      <c r="T37">
        <v>6896</v>
      </c>
      <c r="U37">
        <v>1</v>
      </c>
      <c r="V37" t="s">
        <v>39</v>
      </c>
      <c r="W37" t="s">
        <v>40</v>
      </c>
      <c r="X37">
        <v>14</v>
      </c>
      <c r="Y37">
        <v>3</v>
      </c>
      <c r="Z37">
        <v>2</v>
      </c>
      <c r="AA37">
        <v>80</v>
      </c>
      <c r="AB37">
        <v>2</v>
      </c>
      <c r="AC37">
        <v>1</v>
      </c>
      <c r="AD37">
        <v>3</v>
      </c>
      <c r="AE37">
        <v>3</v>
      </c>
      <c r="AF37">
        <v>1</v>
      </c>
      <c r="AG37">
        <v>0</v>
      </c>
      <c r="AH37">
        <v>1</v>
      </c>
      <c r="AI37">
        <v>0</v>
      </c>
    </row>
    <row r="38" spans="1:35" x14ac:dyDescent="0.3">
      <c r="A38">
        <v>33</v>
      </c>
      <c r="B38" t="s">
        <v>40</v>
      </c>
      <c r="C38" t="s">
        <v>52</v>
      </c>
      <c r="D38">
        <v>1313</v>
      </c>
      <c r="E38" t="s">
        <v>42</v>
      </c>
      <c r="F38">
        <v>1</v>
      </c>
      <c r="G38">
        <v>2</v>
      </c>
      <c r="H38" t="s">
        <v>48</v>
      </c>
      <c r="I38">
        <v>1</v>
      </c>
      <c r="J38">
        <v>1994</v>
      </c>
      <c r="K38">
        <v>2</v>
      </c>
      <c r="L38" s="17" t="s">
        <v>43</v>
      </c>
      <c r="M38">
        <v>59</v>
      </c>
      <c r="N38">
        <v>2</v>
      </c>
      <c r="O38">
        <v>1</v>
      </c>
      <c r="P38" t="s">
        <v>47</v>
      </c>
      <c r="Q38">
        <v>3</v>
      </c>
      <c r="R38" t="s">
        <v>49</v>
      </c>
      <c r="S38" s="6">
        <v>2008</v>
      </c>
      <c r="T38">
        <v>20439</v>
      </c>
      <c r="U38">
        <v>1</v>
      </c>
      <c r="V38" t="s">
        <v>39</v>
      </c>
      <c r="W38" t="s">
        <v>40</v>
      </c>
      <c r="X38">
        <v>12</v>
      </c>
      <c r="Y38">
        <v>3</v>
      </c>
      <c r="Z38">
        <v>3</v>
      </c>
      <c r="AA38">
        <v>80</v>
      </c>
      <c r="AB38">
        <v>3</v>
      </c>
      <c r="AC38">
        <v>1</v>
      </c>
      <c r="AD38">
        <v>2</v>
      </c>
      <c r="AE38">
        <v>2</v>
      </c>
      <c r="AF38">
        <v>1</v>
      </c>
      <c r="AG38">
        <v>1</v>
      </c>
      <c r="AH38">
        <v>0</v>
      </c>
      <c r="AI38">
        <v>0</v>
      </c>
    </row>
    <row r="39" spans="1:35" x14ac:dyDescent="0.3">
      <c r="A39">
        <v>44</v>
      </c>
      <c r="B39" t="s">
        <v>40</v>
      </c>
      <c r="C39" t="s">
        <v>33</v>
      </c>
      <c r="D39">
        <v>1117</v>
      </c>
      <c r="E39" t="s">
        <v>42</v>
      </c>
      <c r="F39">
        <v>2</v>
      </c>
      <c r="G39">
        <v>1</v>
      </c>
      <c r="H39" t="s">
        <v>35</v>
      </c>
      <c r="I39">
        <v>1</v>
      </c>
      <c r="J39">
        <v>1246</v>
      </c>
      <c r="K39">
        <v>1</v>
      </c>
      <c r="L39" s="17" t="s">
        <v>36</v>
      </c>
      <c r="M39">
        <v>72</v>
      </c>
      <c r="N39">
        <v>4</v>
      </c>
      <c r="O39">
        <v>1</v>
      </c>
      <c r="P39" t="s">
        <v>44</v>
      </c>
      <c r="Q39">
        <v>4</v>
      </c>
      <c r="R39" t="s">
        <v>45</v>
      </c>
      <c r="S39" s="6">
        <v>2011</v>
      </c>
      <c r="T39">
        <v>19982</v>
      </c>
      <c r="U39">
        <v>1</v>
      </c>
      <c r="V39" t="s">
        <v>39</v>
      </c>
      <c r="W39" t="s">
        <v>40</v>
      </c>
      <c r="X39">
        <v>13</v>
      </c>
      <c r="Y39">
        <v>3</v>
      </c>
      <c r="Z39">
        <v>4</v>
      </c>
      <c r="AA39">
        <v>80</v>
      </c>
      <c r="AB39">
        <v>1</v>
      </c>
      <c r="AC39">
        <v>10</v>
      </c>
      <c r="AD39">
        <v>5</v>
      </c>
      <c r="AE39">
        <v>3</v>
      </c>
      <c r="AF39">
        <v>10</v>
      </c>
      <c r="AG39">
        <v>5</v>
      </c>
      <c r="AH39">
        <v>7</v>
      </c>
      <c r="AI39">
        <v>7</v>
      </c>
    </row>
    <row r="40" spans="1:35" x14ac:dyDescent="0.3">
      <c r="A40">
        <v>36</v>
      </c>
      <c r="B40" t="s">
        <v>40</v>
      </c>
      <c r="C40" t="s">
        <v>33</v>
      </c>
      <c r="D40">
        <v>311</v>
      </c>
      <c r="E40" t="s">
        <v>42</v>
      </c>
      <c r="F40">
        <v>7</v>
      </c>
      <c r="G40">
        <v>3</v>
      </c>
      <c r="H40" t="s">
        <v>35</v>
      </c>
      <c r="I40">
        <v>1</v>
      </c>
      <c r="J40">
        <v>1659</v>
      </c>
      <c r="K40">
        <v>1</v>
      </c>
      <c r="L40" s="17" t="s">
        <v>43</v>
      </c>
      <c r="M40">
        <v>77</v>
      </c>
      <c r="N40">
        <v>3</v>
      </c>
      <c r="O40">
        <v>1</v>
      </c>
      <c r="P40" t="s">
        <v>47</v>
      </c>
      <c r="Q40">
        <v>2</v>
      </c>
      <c r="R40" t="s">
        <v>38</v>
      </c>
      <c r="S40" s="6">
        <v>2013</v>
      </c>
      <c r="T40">
        <v>10950</v>
      </c>
      <c r="U40">
        <v>2</v>
      </c>
      <c r="V40" t="s">
        <v>39</v>
      </c>
      <c r="W40" t="s">
        <v>40</v>
      </c>
      <c r="X40">
        <v>11</v>
      </c>
      <c r="Y40">
        <v>3</v>
      </c>
      <c r="Z40">
        <v>3</v>
      </c>
      <c r="AA40">
        <v>80</v>
      </c>
      <c r="AB40">
        <v>0</v>
      </c>
      <c r="AC40">
        <v>15</v>
      </c>
      <c r="AD40">
        <v>4</v>
      </c>
      <c r="AE40">
        <v>3</v>
      </c>
      <c r="AF40">
        <v>4</v>
      </c>
      <c r="AG40">
        <v>3</v>
      </c>
      <c r="AH40">
        <v>1</v>
      </c>
      <c r="AI40">
        <v>3</v>
      </c>
    </row>
    <row r="41" spans="1:35" x14ac:dyDescent="0.3">
      <c r="A41">
        <v>35</v>
      </c>
      <c r="B41" t="s">
        <v>40</v>
      </c>
      <c r="C41" t="s">
        <v>33</v>
      </c>
      <c r="D41">
        <v>890</v>
      </c>
      <c r="E41" t="s">
        <v>34</v>
      </c>
      <c r="F41">
        <v>2</v>
      </c>
      <c r="G41">
        <v>3</v>
      </c>
      <c r="H41" t="s">
        <v>56</v>
      </c>
      <c r="I41">
        <v>1</v>
      </c>
      <c r="J41">
        <v>49</v>
      </c>
      <c r="K41">
        <v>4</v>
      </c>
      <c r="L41" s="17" t="s">
        <v>36</v>
      </c>
      <c r="M41">
        <v>97</v>
      </c>
      <c r="N41">
        <v>3</v>
      </c>
      <c r="O41">
        <v>1</v>
      </c>
      <c r="P41" t="s">
        <v>54</v>
      </c>
      <c r="Q41">
        <v>4</v>
      </c>
      <c r="R41" t="s">
        <v>45</v>
      </c>
      <c r="S41" s="6">
        <v>2014</v>
      </c>
      <c r="T41">
        <v>9687</v>
      </c>
      <c r="U41">
        <v>1</v>
      </c>
      <c r="V41" t="s">
        <v>39</v>
      </c>
      <c r="W41" t="s">
        <v>40</v>
      </c>
      <c r="X41">
        <v>13</v>
      </c>
      <c r="Y41">
        <v>3</v>
      </c>
      <c r="Z41">
        <v>1</v>
      </c>
      <c r="AA41">
        <v>80</v>
      </c>
      <c r="AB41">
        <v>0</v>
      </c>
      <c r="AC41">
        <v>2</v>
      </c>
      <c r="AD41">
        <v>3</v>
      </c>
      <c r="AE41">
        <v>3</v>
      </c>
      <c r="AF41">
        <v>2</v>
      </c>
      <c r="AG41">
        <v>2</v>
      </c>
      <c r="AH41">
        <v>2</v>
      </c>
      <c r="AI41">
        <v>2</v>
      </c>
    </row>
    <row r="42" spans="1:35" x14ac:dyDescent="0.3">
      <c r="A42">
        <v>40</v>
      </c>
      <c r="B42" t="s">
        <v>32</v>
      </c>
      <c r="C42" t="s">
        <v>33</v>
      </c>
      <c r="D42">
        <v>676</v>
      </c>
      <c r="E42" t="s">
        <v>42</v>
      </c>
      <c r="F42">
        <v>9</v>
      </c>
      <c r="G42">
        <v>4</v>
      </c>
      <c r="H42" t="s">
        <v>35</v>
      </c>
      <c r="I42">
        <v>1</v>
      </c>
      <c r="J42">
        <v>1534</v>
      </c>
      <c r="K42">
        <v>4</v>
      </c>
      <c r="L42" s="17" t="s">
        <v>43</v>
      </c>
      <c r="M42">
        <v>86</v>
      </c>
      <c r="N42">
        <v>3</v>
      </c>
      <c r="O42">
        <v>1</v>
      </c>
      <c r="P42" t="s">
        <v>47</v>
      </c>
      <c r="Q42">
        <v>1</v>
      </c>
      <c r="R42" t="s">
        <v>38</v>
      </c>
      <c r="S42" s="6">
        <v>2018</v>
      </c>
      <c r="T42">
        <v>21831</v>
      </c>
      <c r="U42">
        <v>3</v>
      </c>
      <c r="V42" t="s">
        <v>39</v>
      </c>
      <c r="W42" t="s">
        <v>40</v>
      </c>
      <c r="X42">
        <v>14</v>
      </c>
      <c r="Y42">
        <v>3</v>
      </c>
      <c r="Z42">
        <v>2</v>
      </c>
      <c r="AA42">
        <v>80</v>
      </c>
      <c r="AB42">
        <v>0</v>
      </c>
      <c r="AC42">
        <v>15</v>
      </c>
      <c r="AD42">
        <v>3</v>
      </c>
      <c r="AE42">
        <v>1</v>
      </c>
      <c r="AF42">
        <v>5</v>
      </c>
      <c r="AG42">
        <v>4</v>
      </c>
      <c r="AH42">
        <v>1</v>
      </c>
      <c r="AI42">
        <v>0</v>
      </c>
    </row>
    <row r="43" spans="1:35" x14ac:dyDescent="0.3">
      <c r="A43">
        <v>35</v>
      </c>
      <c r="B43" t="s">
        <v>32</v>
      </c>
      <c r="C43" t="s">
        <v>41</v>
      </c>
      <c r="D43">
        <v>130</v>
      </c>
      <c r="E43" t="s">
        <v>42</v>
      </c>
      <c r="F43">
        <v>25</v>
      </c>
      <c r="G43">
        <v>4</v>
      </c>
      <c r="H43" t="s">
        <v>35</v>
      </c>
      <c r="I43">
        <v>1</v>
      </c>
      <c r="J43">
        <v>881</v>
      </c>
      <c r="K43">
        <v>4</v>
      </c>
      <c r="L43" s="17" t="s">
        <v>36</v>
      </c>
      <c r="M43">
        <v>96</v>
      </c>
      <c r="N43">
        <v>3</v>
      </c>
      <c r="O43">
        <v>1</v>
      </c>
      <c r="P43" t="s">
        <v>44</v>
      </c>
      <c r="Q43">
        <v>2</v>
      </c>
      <c r="R43" t="s">
        <v>49</v>
      </c>
      <c r="S43" s="6">
        <v>2022</v>
      </c>
      <c r="T43">
        <v>16612</v>
      </c>
      <c r="U43">
        <v>1</v>
      </c>
      <c r="V43" t="s">
        <v>39</v>
      </c>
      <c r="W43" t="s">
        <v>32</v>
      </c>
      <c r="X43">
        <v>19</v>
      </c>
      <c r="Y43">
        <v>3</v>
      </c>
      <c r="Z43">
        <v>1</v>
      </c>
      <c r="AA43">
        <v>80</v>
      </c>
      <c r="AB43">
        <v>1</v>
      </c>
      <c r="AC43">
        <v>10</v>
      </c>
      <c r="AD43">
        <v>3</v>
      </c>
      <c r="AE43">
        <v>2</v>
      </c>
      <c r="AF43">
        <v>10</v>
      </c>
      <c r="AG43">
        <v>2</v>
      </c>
      <c r="AH43">
        <v>7</v>
      </c>
      <c r="AI43">
        <v>8</v>
      </c>
    </row>
    <row r="44" spans="1:35" x14ac:dyDescent="0.3">
      <c r="A44">
        <v>27</v>
      </c>
      <c r="B44" t="s">
        <v>40</v>
      </c>
      <c r="C44" t="s">
        <v>52</v>
      </c>
      <c r="D44">
        <v>691</v>
      </c>
      <c r="E44" t="s">
        <v>42</v>
      </c>
      <c r="F44">
        <v>9</v>
      </c>
      <c r="G44">
        <v>3</v>
      </c>
      <c r="H44" t="s">
        <v>48</v>
      </c>
      <c r="I44">
        <v>1</v>
      </c>
      <c r="J44">
        <v>218</v>
      </c>
      <c r="K44">
        <v>4</v>
      </c>
      <c r="L44" s="17" t="s">
        <v>43</v>
      </c>
      <c r="M44">
        <v>57</v>
      </c>
      <c r="N44">
        <v>3</v>
      </c>
      <c r="O44">
        <v>1</v>
      </c>
      <c r="P44" t="s">
        <v>44</v>
      </c>
      <c r="Q44">
        <v>2</v>
      </c>
      <c r="R44" t="s">
        <v>49</v>
      </c>
      <c r="S44" s="6">
        <v>2024</v>
      </c>
      <c r="T44">
        <v>5970</v>
      </c>
      <c r="U44">
        <v>6</v>
      </c>
      <c r="V44" t="s">
        <v>39</v>
      </c>
      <c r="W44" t="s">
        <v>40</v>
      </c>
      <c r="X44">
        <v>18</v>
      </c>
      <c r="Y44">
        <v>3</v>
      </c>
      <c r="Z44">
        <v>4</v>
      </c>
      <c r="AA44">
        <v>80</v>
      </c>
      <c r="AB44">
        <v>1</v>
      </c>
      <c r="AC44">
        <v>6</v>
      </c>
      <c r="AD44">
        <v>1</v>
      </c>
      <c r="AE44">
        <v>1</v>
      </c>
      <c r="AF44">
        <v>2</v>
      </c>
      <c r="AG44">
        <v>2</v>
      </c>
      <c r="AH44">
        <v>2</v>
      </c>
      <c r="AI44">
        <v>2</v>
      </c>
    </row>
    <row r="45" spans="1:35" x14ac:dyDescent="0.3">
      <c r="A45">
        <v>28</v>
      </c>
      <c r="B45" t="s">
        <v>32</v>
      </c>
      <c r="C45" t="s">
        <v>33</v>
      </c>
      <c r="D45">
        <v>103</v>
      </c>
      <c r="E45" t="s">
        <v>42</v>
      </c>
      <c r="F45">
        <v>24</v>
      </c>
      <c r="G45">
        <v>3</v>
      </c>
      <c r="H45" t="s">
        <v>35</v>
      </c>
      <c r="I45">
        <v>1</v>
      </c>
      <c r="J45">
        <v>19</v>
      </c>
      <c r="K45">
        <v>3</v>
      </c>
      <c r="L45" s="17" t="s">
        <v>43</v>
      </c>
      <c r="M45">
        <v>50</v>
      </c>
      <c r="N45">
        <v>2</v>
      </c>
      <c r="O45">
        <v>1</v>
      </c>
      <c r="P45" t="s">
        <v>47</v>
      </c>
      <c r="Q45">
        <v>3</v>
      </c>
      <c r="R45" t="s">
        <v>38</v>
      </c>
      <c r="S45" s="6">
        <v>2028</v>
      </c>
      <c r="T45">
        <v>12947</v>
      </c>
      <c r="U45">
        <v>5</v>
      </c>
      <c r="V45" t="s">
        <v>39</v>
      </c>
      <c r="W45" t="s">
        <v>32</v>
      </c>
      <c r="X45">
        <v>14</v>
      </c>
      <c r="Y45">
        <v>3</v>
      </c>
      <c r="Z45">
        <v>2</v>
      </c>
      <c r="AA45">
        <v>80</v>
      </c>
      <c r="AB45">
        <v>0</v>
      </c>
      <c r="AC45">
        <v>6</v>
      </c>
      <c r="AD45">
        <v>4</v>
      </c>
      <c r="AE45">
        <v>3</v>
      </c>
      <c r="AF45">
        <v>4</v>
      </c>
      <c r="AG45">
        <v>2</v>
      </c>
      <c r="AH45">
        <v>0</v>
      </c>
      <c r="AI45">
        <v>3</v>
      </c>
    </row>
    <row r="46" spans="1:35" x14ac:dyDescent="0.3">
      <c r="A46">
        <v>33</v>
      </c>
      <c r="B46" t="s">
        <v>40</v>
      </c>
      <c r="C46" t="s">
        <v>33</v>
      </c>
      <c r="D46">
        <v>267</v>
      </c>
      <c r="E46" t="s">
        <v>42</v>
      </c>
      <c r="F46">
        <v>21</v>
      </c>
      <c r="G46">
        <v>3</v>
      </c>
      <c r="H46" t="s">
        <v>48</v>
      </c>
      <c r="I46">
        <v>1</v>
      </c>
      <c r="J46">
        <v>1698</v>
      </c>
      <c r="K46">
        <v>2</v>
      </c>
      <c r="L46" s="17" t="s">
        <v>43</v>
      </c>
      <c r="M46">
        <v>79</v>
      </c>
      <c r="N46">
        <v>4</v>
      </c>
      <c r="O46">
        <v>1</v>
      </c>
      <c r="P46" t="s">
        <v>47</v>
      </c>
      <c r="Q46">
        <v>2</v>
      </c>
      <c r="R46" t="s">
        <v>45</v>
      </c>
      <c r="S46" s="6">
        <v>2028</v>
      </c>
      <c r="T46">
        <v>13637</v>
      </c>
      <c r="U46">
        <v>1</v>
      </c>
      <c r="V46" t="s">
        <v>39</v>
      </c>
      <c r="W46" t="s">
        <v>40</v>
      </c>
      <c r="X46">
        <v>18</v>
      </c>
      <c r="Y46">
        <v>3</v>
      </c>
      <c r="Z46">
        <v>4</v>
      </c>
      <c r="AA46">
        <v>80</v>
      </c>
      <c r="AB46">
        <v>3</v>
      </c>
      <c r="AC46">
        <v>14</v>
      </c>
      <c r="AD46">
        <v>6</v>
      </c>
      <c r="AE46">
        <v>3</v>
      </c>
      <c r="AF46">
        <v>14</v>
      </c>
      <c r="AG46">
        <v>11</v>
      </c>
      <c r="AH46">
        <v>2</v>
      </c>
      <c r="AI46">
        <v>13</v>
      </c>
    </row>
    <row r="47" spans="1:35" x14ac:dyDescent="0.3">
      <c r="A47">
        <v>34</v>
      </c>
      <c r="B47" t="s">
        <v>40</v>
      </c>
      <c r="C47" t="s">
        <v>52</v>
      </c>
      <c r="D47">
        <v>999</v>
      </c>
      <c r="E47" t="s">
        <v>42</v>
      </c>
      <c r="F47">
        <v>26</v>
      </c>
      <c r="G47">
        <v>1</v>
      </c>
      <c r="H47" t="s">
        <v>57</v>
      </c>
      <c r="I47">
        <v>1</v>
      </c>
      <c r="J47">
        <v>1374</v>
      </c>
      <c r="K47">
        <v>1</v>
      </c>
      <c r="L47" s="17" t="s">
        <v>36</v>
      </c>
      <c r="M47">
        <v>92</v>
      </c>
      <c r="N47">
        <v>2</v>
      </c>
      <c r="O47">
        <v>1</v>
      </c>
      <c r="P47" t="s">
        <v>44</v>
      </c>
      <c r="Q47">
        <v>3</v>
      </c>
      <c r="R47" t="s">
        <v>49</v>
      </c>
      <c r="S47" s="6">
        <v>2029</v>
      </c>
      <c r="T47">
        <v>15891</v>
      </c>
      <c r="U47">
        <v>1</v>
      </c>
      <c r="V47" t="s">
        <v>39</v>
      </c>
      <c r="W47" t="s">
        <v>40</v>
      </c>
      <c r="X47">
        <v>20</v>
      </c>
      <c r="Y47">
        <v>4</v>
      </c>
      <c r="Z47">
        <v>3</v>
      </c>
      <c r="AA47">
        <v>80</v>
      </c>
      <c r="AB47">
        <v>3</v>
      </c>
      <c r="AC47">
        <v>5</v>
      </c>
      <c r="AD47">
        <v>2</v>
      </c>
      <c r="AE47">
        <v>3</v>
      </c>
      <c r="AF47">
        <v>5</v>
      </c>
      <c r="AG47">
        <v>4</v>
      </c>
      <c r="AH47">
        <v>0</v>
      </c>
      <c r="AI47">
        <v>0</v>
      </c>
    </row>
    <row r="48" spans="1:35" x14ac:dyDescent="0.3">
      <c r="A48">
        <v>30</v>
      </c>
      <c r="B48" t="s">
        <v>32</v>
      </c>
      <c r="C48" t="s">
        <v>41</v>
      </c>
      <c r="D48">
        <v>448</v>
      </c>
      <c r="E48" t="s">
        <v>34</v>
      </c>
      <c r="F48">
        <v>12</v>
      </c>
      <c r="G48">
        <v>4</v>
      </c>
      <c r="H48" t="s">
        <v>35</v>
      </c>
      <c r="I48">
        <v>1</v>
      </c>
      <c r="J48">
        <v>648</v>
      </c>
      <c r="K48">
        <v>2</v>
      </c>
      <c r="L48" s="17" t="s">
        <v>43</v>
      </c>
      <c r="M48">
        <v>74</v>
      </c>
      <c r="N48">
        <v>2</v>
      </c>
      <c r="O48">
        <v>1</v>
      </c>
      <c r="P48" t="s">
        <v>54</v>
      </c>
      <c r="Q48">
        <v>1</v>
      </c>
      <c r="R48" t="s">
        <v>45</v>
      </c>
      <c r="S48" s="6">
        <v>2033</v>
      </c>
      <c r="T48">
        <v>14470</v>
      </c>
      <c r="U48">
        <v>1</v>
      </c>
      <c r="V48" t="s">
        <v>39</v>
      </c>
      <c r="W48" t="s">
        <v>40</v>
      </c>
      <c r="X48">
        <v>18</v>
      </c>
      <c r="Y48">
        <v>3</v>
      </c>
      <c r="Z48">
        <v>3</v>
      </c>
      <c r="AA48">
        <v>80</v>
      </c>
      <c r="AB48">
        <v>1</v>
      </c>
      <c r="AC48">
        <v>1</v>
      </c>
      <c r="AD48">
        <v>2</v>
      </c>
      <c r="AE48">
        <v>4</v>
      </c>
      <c r="AF48">
        <v>1</v>
      </c>
      <c r="AG48">
        <v>0</v>
      </c>
      <c r="AH48">
        <v>0</v>
      </c>
      <c r="AI48">
        <v>0</v>
      </c>
    </row>
    <row r="49" spans="1:35" x14ac:dyDescent="0.3">
      <c r="A49">
        <v>24</v>
      </c>
      <c r="B49" t="s">
        <v>40</v>
      </c>
      <c r="C49" t="s">
        <v>52</v>
      </c>
      <c r="D49">
        <v>830</v>
      </c>
      <c r="E49" t="s">
        <v>34</v>
      </c>
      <c r="F49">
        <v>13</v>
      </c>
      <c r="G49">
        <v>2</v>
      </c>
      <c r="H49" t="s">
        <v>35</v>
      </c>
      <c r="I49">
        <v>1</v>
      </c>
      <c r="J49">
        <v>1495</v>
      </c>
      <c r="K49">
        <v>4</v>
      </c>
      <c r="L49" s="17" t="s">
        <v>36</v>
      </c>
      <c r="M49">
        <v>78</v>
      </c>
      <c r="N49">
        <v>3</v>
      </c>
      <c r="O49">
        <v>1</v>
      </c>
      <c r="P49" t="s">
        <v>54</v>
      </c>
      <c r="Q49">
        <v>2</v>
      </c>
      <c r="R49" t="s">
        <v>45</v>
      </c>
      <c r="S49" s="6">
        <v>2033</v>
      </c>
      <c r="T49">
        <v>7103</v>
      </c>
      <c r="U49">
        <v>1</v>
      </c>
      <c r="V49" t="s">
        <v>39</v>
      </c>
      <c r="W49" t="s">
        <v>40</v>
      </c>
      <c r="X49">
        <v>13</v>
      </c>
      <c r="Y49">
        <v>3</v>
      </c>
      <c r="Z49">
        <v>3</v>
      </c>
      <c r="AA49">
        <v>80</v>
      </c>
      <c r="AB49">
        <v>1</v>
      </c>
      <c r="AC49">
        <v>1</v>
      </c>
      <c r="AD49">
        <v>2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44</v>
      </c>
      <c r="B50" t="s">
        <v>40</v>
      </c>
      <c r="C50" t="s">
        <v>52</v>
      </c>
      <c r="D50">
        <v>489</v>
      </c>
      <c r="E50" t="s">
        <v>42</v>
      </c>
      <c r="F50">
        <v>23</v>
      </c>
      <c r="G50">
        <v>3</v>
      </c>
      <c r="H50" t="s">
        <v>48</v>
      </c>
      <c r="I50">
        <v>1</v>
      </c>
      <c r="J50">
        <v>132</v>
      </c>
      <c r="K50">
        <v>2</v>
      </c>
      <c r="L50" s="17" t="s">
        <v>43</v>
      </c>
      <c r="M50">
        <v>67</v>
      </c>
      <c r="N50">
        <v>3</v>
      </c>
      <c r="O50">
        <v>2</v>
      </c>
      <c r="P50" t="s">
        <v>47</v>
      </c>
      <c r="Q50">
        <v>2</v>
      </c>
      <c r="R50" t="s">
        <v>45</v>
      </c>
      <c r="S50" s="6">
        <v>2042</v>
      </c>
      <c r="T50">
        <v>25043</v>
      </c>
      <c r="U50">
        <v>4</v>
      </c>
      <c r="V50" t="s">
        <v>39</v>
      </c>
      <c r="W50" t="s">
        <v>40</v>
      </c>
      <c r="X50">
        <v>12</v>
      </c>
      <c r="Y50">
        <v>3</v>
      </c>
      <c r="Z50">
        <v>3</v>
      </c>
      <c r="AA50">
        <v>80</v>
      </c>
      <c r="AB50">
        <v>1</v>
      </c>
      <c r="AC50">
        <v>17</v>
      </c>
      <c r="AD50">
        <v>3</v>
      </c>
      <c r="AE50">
        <v>4</v>
      </c>
      <c r="AF50">
        <v>3</v>
      </c>
      <c r="AG50">
        <v>2</v>
      </c>
      <c r="AH50">
        <v>1</v>
      </c>
      <c r="AI50">
        <v>2</v>
      </c>
    </row>
    <row r="51" spans="1:35" x14ac:dyDescent="0.3">
      <c r="A51">
        <v>26</v>
      </c>
      <c r="B51" t="s">
        <v>32</v>
      </c>
      <c r="C51" t="s">
        <v>41</v>
      </c>
      <c r="D51">
        <v>342</v>
      </c>
      <c r="E51" t="s">
        <v>42</v>
      </c>
      <c r="F51">
        <v>2</v>
      </c>
      <c r="G51">
        <v>3</v>
      </c>
      <c r="H51" t="s">
        <v>35</v>
      </c>
      <c r="I51">
        <v>1</v>
      </c>
      <c r="J51">
        <v>1053</v>
      </c>
      <c r="K51">
        <v>1</v>
      </c>
      <c r="L51" s="17" t="s">
        <v>43</v>
      </c>
      <c r="M51">
        <v>57</v>
      </c>
      <c r="N51">
        <v>3</v>
      </c>
      <c r="O51">
        <v>1</v>
      </c>
      <c r="P51" t="s">
        <v>44</v>
      </c>
      <c r="Q51">
        <v>1</v>
      </c>
      <c r="R51" t="s">
        <v>45</v>
      </c>
      <c r="S51" s="6">
        <v>2042</v>
      </c>
      <c r="T51">
        <v>15346</v>
      </c>
      <c r="U51">
        <v>6</v>
      </c>
      <c r="V51" t="s">
        <v>39</v>
      </c>
      <c r="W51" t="s">
        <v>32</v>
      </c>
      <c r="X51">
        <v>14</v>
      </c>
      <c r="Y51">
        <v>3</v>
      </c>
      <c r="Z51">
        <v>2</v>
      </c>
      <c r="AA51">
        <v>80</v>
      </c>
      <c r="AB51">
        <v>1</v>
      </c>
      <c r="AC51">
        <v>6</v>
      </c>
      <c r="AD51">
        <v>2</v>
      </c>
      <c r="AE51">
        <v>3</v>
      </c>
      <c r="AF51">
        <v>3</v>
      </c>
      <c r="AG51">
        <v>2</v>
      </c>
      <c r="AH51">
        <v>1</v>
      </c>
      <c r="AI51">
        <v>2</v>
      </c>
    </row>
    <row r="52" spans="1:35" x14ac:dyDescent="0.3">
      <c r="A52">
        <v>20</v>
      </c>
      <c r="B52" t="s">
        <v>32</v>
      </c>
      <c r="C52" t="s">
        <v>33</v>
      </c>
      <c r="D52">
        <v>500</v>
      </c>
      <c r="E52" t="s">
        <v>34</v>
      </c>
      <c r="F52">
        <v>2</v>
      </c>
      <c r="G52">
        <v>3</v>
      </c>
      <c r="H52" t="s">
        <v>48</v>
      </c>
      <c r="I52">
        <v>1</v>
      </c>
      <c r="J52">
        <v>922</v>
      </c>
      <c r="K52">
        <v>3</v>
      </c>
      <c r="L52" s="17" t="s">
        <v>36</v>
      </c>
      <c r="M52">
        <v>49</v>
      </c>
      <c r="N52">
        <v>2</v>
      </c>
      <c r="O52">
        <v>1</v>
      </c>
      <c r="P52" t="s">
        <v>54</v>
      </c>
      <c r="Q52">
        <v>3</v>
      </c>
      <c r="R52" t="s">
        <v>38</v>
      </c>
      <c r="S52" s="6">
        <v>2044</v>
      </c>
      <c r="T52">
        <v>22052</v>
      </c>
      <c r="U52">
        <v>1</v>
      </c>
      <c r="V52" t="s">
        <v>39</v>
      </c>
      <c r="W52" t="s">
        <v>40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</v>
      </c>
      <c r="AD52">
        <v>3</v>
      </c>
      <c r="AE52">
        <v>2</v>
      </c>
      <c r="AF52">
        <v>2</v>
      </c>
      <c r="AG52">
        <v>2</v>
      </c>
      <c r="AH52">
        <v>0</v>
      </c>
      <c r="AI52">
        <v>2</v>
      </c>
    </row>
    <row r="53" spans="1:35" x14ac:dyDescent="0.3">
      <c r="A53">
        <v>28</v>
      </c>
      <c r="B53" t="s">
        <v>40</v>
      </c>
      <c r="C53" t="s">
        <v>33</v>
      </c>
      <c r="D53">
        <v>1181</v>
      </c>
      <c r="E53" t="s">
        <v>42</v>
      </c>
      <c r="F53">
        <v>1</v>
      </c>
      <c r="G53">
        <v>3</v>
      </c>
      <c r="H53" t="s">
        <v>35</v>
      </c>
      <c r="I53">
        <v>1</v>
      </c>
      <c r="J53">
        <v>1799</v>
      </c>
      <c r="K53">
        <v>3</v>
      </c>
      <c r="L53" s="17" t="s">
        <v>43</v>
      </c>
      <c r="M53">
        <v>82</v>
      </c>
      <c r="N53">
        <v>3</v>
      </c>
      <c r="O53">
        <v>1</v>
      </c>
      <c r="P53" t="s">
        <v>44</v>
      </c>
      <c r="Q53">
        <v>4</v>
      </c>
      <c r="R53" t="s">
        <v>45</v>
      </c>
      <c r="S53" s="6">
        <v>2044</v>
      </c>
      <c r="T53">
        <v>5531</v>
      </c>
      <c r="U53">
        <v>1</v>
      </c>
      <c r="V53" t="s">
        <v>39</v>
      </c>
      <c r="W53" t="s">
        <v>40</v>
      </c>
      <c r="X53">
        <v>11</v>
      </c>
      <c r="Y53">
        <v>3</v>
      </c>
      <c r="Z53">
        <v>3</v>
      </c>
      <c r="AA53">
        <v>80</v>
      </c>
      <c r="AB53">
        <v>1</v>
      </c>
      <c r="AC53">
        <v>5</v>
      </c>
      <c r="AD53">
        <v>6</v>
      </c>
      <c r="AE53">
        <v>4</v>
      </c>
      <c r="AF53">
        <v>5</v>
      </c>
      <c r="AG53">
        <v>3</v>
      </c>
      <c r="AH53">
        <v>0</v>
      </c>
      <c r="AI53">
        <v>3</v>
      </c>
    </row>
    <row r="54" spans="1:35" x14ac:dyDescent="0.3">
      <c r="A54">
        <v>27</v>
      </c>
      <c r="B54" t="s">
        <v>40</v>
      </c>
      <c r="C54" t="s">
        <v>33</v>
      </c>
      <c r="D54">
        <v>1115</v>
      </c>
      <c r="E54" t="s">
        <v>42</v>
      </c>
      <c r="F54">
        <v>3</v>
      </c>
      <c r="G54">
        <v>4</v>
      </c>
      <c r="H54" t="s">
        <v>48</v>
      </c>
      <c r="I54">
        <v>1</v>
      </c>
      <c r="J54">
        <v>700</v>
      </c>
      <c r="K54">
        <v>1</v>
      </c>
      <c r="L54" s="17" t="s">
        <v>43</v>
      </c>
      <c r="M54">
        <v>54</v>
      </c>
      <c r="N54">
        <v>2</v>
      </c>
      <c r="O54">
        <v>1</v>
      </c>
      <c r="P54" t="s">
        <v>44</v>
      </c>
      <c r="Q54">
        <v>4</v>
      </c>
      <c r="R54" t="s">
        <v>38</v>
      </c>
      <c r="S54" s="6">
        <v>2045</v>
      </c>
      <c r="T54">
        <v>15174</v>
      </c>
      <c r="U54">
        <v>0</v>
      </c>
      <c r="V54" t="s">
        <v>39</v>
      </c>
      <c r="W54" t="s">
        <v>40</v>
      </c>
      <c r="X54">
        <v>13</v>
      </c>
      <c r="Y54">
        <v>3</v>
      </c>
      <c r="Z54">
        <v>4</v>
      </c>
      <c r="AA54">
        <v>80</v>
      </c>
      <c r="AB54">
        <v>0</v>
      </c>
      <c r="AC54">
        <v>5</v>
      </c>
      <c r="AD54">
        <v>0</v>
      </c>
      <c r="AE54">
        <v>3</v>
      </c>
      <c r="AF54">
        <v>4</v>
      </c>
      <c r="AG54">
        <v>2</v>
      </c>
      <c r="AH54">
        <v>1</v>
      </c>
      <c r="AI54">
        <v>1</v>
      </c>
    </row>
    <row r="55" spans="1:35" x14ac:dyDescent="0.3">
      <c r="A55">
        <v>29</v>
      </c>
      <c r="B55" t="s">
        <v>32</v>
      </c>
      <c r="C55" t="s">
        <v>33</v>
      </c>
      <c r="D55">
        <v>992</v>
      </c>
      <c r="E55" t="s">
        <v>42</v>
      </c>
      <c r="F55">
        <v>1</v>
      </c>
      <c r="G55">
        <v>3</v>
      </c>
      <c r="H55" t="s">
        <v>57</v>
      </c>
      <c r="I55">
        <v>1</v>
      </c>
      <c r="J55">
        <v>300</v>
      </c>
      <c r="K55">
        <v>3</v>
      </c>
      <c r="L55" s="17" t="s">
        <v>43</v>
      </c>
      <c r="M55">
        <v>85</v>
      </c>
      <c r="N55">
        <v>3</v>
      </c>
      <c r="O55">
        <v>1</v>
      </c>
      <c r="P55" t="s">
        <v>44</v>
      </c>
      <c r="Q55">
        <v>3</v>
      </c>
      <c r="R55" t="s">
        <v>38</v>
      </c>
      <c r="S55" s="6">
        <v>2058</v>
      </c>
      <c r="T55">
        <v>19757</v>
      </c>
      <c r="U55">
        <v>0</v>
      </c>
      <c r="V55" t="s">
        <v>39</v>
      </c>
      <c r="W55" t="s">
        <v>40</v>
      </c>
      <c r="X55">
        <v>14</v>
      </c>
      <c r="Y55">
        <v>3</v>
      </c>
      <c r="Z55">
        <v>4</v>
      </c>
      <c r="AA55">
        <v>80</v>
      </c>
      <c r="AB55">
        <v>0</v>
      </c>
      <c r="AC55">
        <v>7</v>
      </c>
      <c r="AD55">
        <v>1</v>
      </c>
      <c r="AE55">
        <v>2</v>
      </c>
      <c r="AF55">
        <v>6</v>
      </c>
      <c r="AG55">
        <v>2</v>
      </c>
      <c r="AH55">
        <v>1</v>
      </c>
      <c r="AI55">
        <v>5</v>
      </c>
    </row>
    <row r="56" spans="1:35" x14ac:dyDescent="0.3">
      <c r="A56">
        <v>26</v>
      </c>
      <c r="B56" t="s">
        <v>40</v>
      </c>
      <c r="C56" t="s">
        <v>33</v>
      </c>
      <c r="D56">
        <v>474</v>
      </c>
      <c r="E56" t="s">
        <v>42</v>
      </c>
      <c r="F56">
        <v>3</v>
      </c>
      <c r="G56">
        <v>3</v>
      </c>
      <c r="H56" t="s">
        <v>35</v>
      </c>
      <c r="I56">
        <v>1</v>
      </c>
      <c r="J56">
        <v>1581</v>
      </c>
      <c r="K56">
        <v>1</v>
      </c>
      <c r="L56" s="17" t="s">
        <v>36</v>
      </c>
      <c r="M56">
        <v>89</v>
      </c>
      <c r="N56">
        <v>3</v>
      </c>
      <c r="O56">
        <v>1</v>
      </c>
      <c r="P56" t="s">
        <v>44</v>
      </c>
      <c r="Q56">
        <v>4</v>
      </c>
      <c r="R56" t="s">
        <v>45</v>
      </c>
      <c r="S56" s="6">
        <v>2061</v>
      </c>
      <c r="T56">
        <v>11133</v>
      </c>
      <c r="U56">
        <v>1</v>
      </c>
      <c r="V56" t="s">
        <v>39</v>
      </c>
      <c r="W56" t="s">
        <v>40</v>
      </c>
      <c r="X56">
        <v>21</v>
      </c>
      <c r="Y56">
        <v>4</v>
      </c>
      <c r="Z56">
        <v>1</v>
      </c>
      <c r="AA56">
        <v>80</v>
      </c>
      <c r="AB56">
        <v>0</v>
      </c>
      <c r="AC56">
        <v>1</v>
      </c>
      <c r="AD56">
        <v>5</v>
      </c>
      <c r="AE56">
        <v>3</v>
      </c>
      <c r="AF56">
        <v>1</v>
      </c>
      <c r="AG56">
        <v>0</v>
      </c>
      <c r="AH56">
        <v>0</v>
      </c>
      <c r="AI56">
        <v>0</v>
      </c>
    </row>
    <row r="57" spans="1:35" x14ac:dyDescent="0.3">
      <c r="A57">
        <v>29</v>
      </c>
      <c r="B57" t="s">
        <v>40</v>
      </c>
      <c r="C57" t="s">
        <v>33</v>
      </c>
      <c r="D57">
        <v>592</v>
      </c>
      <c r="E57" t="s">
        <v>42</v>
      </c>
      <c r="F57">
        <v>7</v>
      </c>
      <c r="G57">
        <v>3</v>
      </c>
      <c r="H57" t="s">
        <v>35</v>
      </c>
      <c r="I57">
        <v>1</v>
      </c>
      <c r="J57">
        <v>1883</v>
      </c>
      <c r="K57">
        <v>4</v>
      </c>
      <c r="L57" s="17" t="s">
        <v>43</v>
      </c>
      <c r="M57">
        <v>59</v>
      </c>
      <c r="N57">
        <v>3</v>
      </c>
      <c r="O57">
        <v>1</v>
      </c>
      <c r="P57" t="s">
        <v>47</v>
      </c>
      <c r="Q57">
        <v>1</v>
      </c>
      <c r="R57" t="s">
        <v>38</v>
      </c>
      <c r="S57" s="6">
        <v>2062</v>
      </c>
      <c r="T57">
        <v>19384</v>
      </c>
      <c r="U57">
        <v>3</v>
      </c>
      <c r="V57" t="s">
        <v>39</v>
      </c>
      <c r="W57" t="s">
        <v>40</v>
      </c>
      <c r="X57">
        <v>14</v>
      </c>
      <c r="Y57">
        <v>3</v>
      </c>
      <c r="Z57">
        <v>2</v>
      </c>
      <c r="AA57">
        <v>80</v>
      </c>
      <c r="AB57">
        <v>0</v>
      </c>
      <c r="AC57">
        <v>11</v>
      </c>
      <c r="AD57">
        <v>2</v>
      </c>
      <c r="AE57">
        <v>3</v>
      </c>
      <c r="AF57">
        <v>3</v>
      </c>
      <c r="AG57">
        <v>2</v>
      </c>
      <c r="AH57">
        <v>1</v>
      </c>
      <c r="AI57">
        <v>2</v>
      </c>
    </row>
    <row r="58" spans="1:35" x14ac:dyDescent="0.3">
      <c r="A58">
        <v>30</v>
      </c>
      <c r="B58" t="s">
        <v>40</v>
      </c>
      <c r="C58" t="s">
        <v>33</v>
      </c>
      <c r="D58">
        <v>330</v>
      </c>
      <c r="E58" t="s">
        <v>58</v>
      </c>
      <c r="F58">
        <v>1</v>
      </c>
      <c r="G58">
        <v>3</v>
      </c>
      <c r="H58" t="s">
        <v>35</v>
      </c>
      <c r="I58">
        <v>1</v>
      </c>
      <c r="J58">
        <v>1499</v>
      </c>
      <c r="K58">
        <v>3</v>
      </c>
      <c r="L58" s="17" t="s">
        <v>43</v>
      </c>
      <c r="M58">
        <v>46</v>
      </c>
      <c r="N58">
        <v>3</v>
      </c>
      <c r="O58">
        <v>1</v>
      </c>
      <c r="P58" t="s">
        <v>58</v>
      </c>
      <c r="Q58">
        <v>3</v>
      </c>
      <c r="R58" t="s">
        <v>49</v>
      </c>
      <c r="S58" s="6">
        <v>2064</v>
      </c>
      <c r="T58">
        <v>15428</v>
      </c>
      <c r="U58">
        <v>0</v>
      </c>
      <c r="V58" t="s">
        <v>39</v>
      </c>
      <c r="W58" t="s">
        <v>40</v>
      </c>
      <c r="X58">
        <v>21</v>
      </c>
      <c r="Y58">
        <v>4</v>
      </c>
      <c r="Z58">
        <v>1</v>
      </c>
      <c r="AA58">
        <v>80</v>
      </c>
      <c r="AB58">
        <v>1</v>
      </c>
      <c r="AC58">
        <v>6</v>
      </c>
      <c r="AD58">
        <v>3</v>
      </c>
      <c r="AE58">
        <v>4</v>
      </c>
      <c r="AF58">
        <v>5</v>
      </c>
      <c r="AG58">
        <v>3</v>
      </c>
      <c r="AH58">
        <v>1</v>
      </c>
      <c r="AI58">
        <v>3</v>
      </c>
    </row>
    <row r="59" spans="1:35" x14ac:dyDescent="0.3">
      <c r="A59">
        <v>56</v>
      </c>
      <c r="B59" t="s">
        <v>40</v>
      </c>
      <c r="C59" t="s">
        <v>33</v>
      </c>
      <c r="D59">
        <v>1255</v>
      </c>
      <c r="E59" t="s">
        <v>42</v>
      </c>
      <c r="F59">
        <v>1</v>
      </c>
      <c r="G59">
        <v>2</v>
      </c>
      <c r="H59" t="s">
        <v>35</v>
      </c>
      <c r="I59">
        <v>1</v>
      </c>
      <c r="J59">
        <v>1441</v>
      </c>
      <c r="K59">
        <v>1</v>
      </c>
      <c r="L59" s="17" t="s">
        <v>36</v>
      </c>
      <c r="M59">
        <v>90</v>
      </c>
      <c r="N59">
        <v>3</v>
      </c>
      <c r="O59">
        <v>1</v>
      </c>
      <c r="P59" t="s">
        <v>44</v>
      </c>
      <c r="Q59">
        <v>1</v>
      </c>
      <c r="R59" t="s">
        <v>45</v>
      </c>
      <c r="S59" s="6">
        <v>2066</v>
      </c>
      <c r="T59">
        <v>10494</v>
      </c>
      <c r="U59">
        <v>2</v>
      </c>
      <c r="V59" t="s">
        <v>39</v>
      </c>
      <c r="W59" t="s">
        <v>40</v>
      </c>
      <c r="X59">
        <v>22</v>
      </c>
      <c r="Y59">
        <v>4</v>
      </c>
      <c r="Z59">
        <v>4</v>
      </c>
      <c r="AA59">
        <v>80</v>
      </c>
      <c r="AB59">
        <v>1</v>
      </c>
      <c r="AC59">
        <v>5</v>
      </c>
      <c r="AD59">
        <v>3</v>
      </c>
      <c r="AE59">
        <v>4</v>
      </c>
      <c r="AF59">
        <v>3</v>
      </c>
      <c r="AG59">
        <v>2</v>
      </c>
      <c r="AH59">
        <v>1</v>
      </c>
      <c r="AI59">
        <v>0</v>
      </c>
    </row>
    <row r="60" spans="1:35" x14ac:dyDescent="0.3">
      <c r="A60">
        <v>28</v>
      </c>
      <c r="B60" t="s">
        <v>40</v>
      </c>
      <c r="C60" t="s">
        <v>33</v>
      </c>
      <c r="D60">
        <v>1158</v>
      </c>
      <c r="E60" t="s">
        <v>42</v>
      </c>
      <c r="F60">
        <v>9</v>
      </c>
      <c r="G60">
        <v>3</v>
      </c>
      <c r="H60" t="s">
        <v>48</v>
      </c>
      <c r="I60">
        <v>1</v>
      </c>
      <c r="J60">
        <v>377</v>
      </c>
      <c r="K60">
        <v>4</v>
      </c>
      <c r="L60" s="17" t="s">
        <v>43</v>
      </c>
      <c r="M60">
        <v>94</v>
      </c>
      <c r="N60">
        <v>3</v>
      </c>
      <c r="O60">
        <v>1</v>
      </c>
      <c r="P60" t="s">
        <v>44</v>
      </c>
      <c r="Q60">
        <v>4</v>
      </c>
      <c r="R60" t="s">
        <v>45</v>
      </c>
      <c r="S60" s="6">
        <v>2070</v>
      </c>
      <c r="T60">
        <v>2613</v>
      </c>
      <c r="U60">
        <v>1</v>
      </c>
      <c r="V60" t="s">
        <v>39</v>
      </c>
      <c r="W60" t="s">
        <v>40</v>
      </c>
      <c r="X60">
        <v>23</v>
      </c>
      <c r="Y60">
        <v>4</v>
      </c>
      <c r="Z60">
        <v>4</v>
      </c>
      <c r="AA60">
        <v>80</v>
      </c>
      <c r="AB60">
        <v>1</v>
      </c>
      <c r="AC60">
        <v>5</v>
      </c>
      <c r="AD60">
        <v>3</v>
      </c>
      <c r="AE60">
        <v>2</v>
      </c>
      <c r="AF60">
        <v>5</v>
      </c>
      <c r="AG60">
        <v>2</v>
      </c>
      <c r="AH60">
        <v>0</v>
      </c>
      <c r="AI60">
        <v>4</v>
      </c>
    </row>
    <row r="61" spans="1:35" x14ac:dyDescent="0.3">
      <c r="A61">
        <v>21</v>
      </c>
      <c r="B61" t="s">
        <v>40</v>
      </c>
      <c r="C61" t="s">
        <v>33</v>
      </c>
      <c r="D61">
        <v>984</v>
      </c>
      <c r="E61" t="s">
        <v>42</v>
      </c>
      <c r="F61">
        <v>1</v>
      </c>
      <c r="G61">
        <v>1</v>
      </c>
      <c r="H61" t="s">
        <v>57</v>
      </c>
      <c r="I61">
        <v>1</v>
      </c>
      <c r="J61">
        <v>1131</v>
      </c>
      <c r="K61">
        <v>4</v>
      </c>
      <c r="L61" s="17" t="s">
        <v>36</v>
      </c>
      <c r="M61">
        <v>70</v>
      </c>
      <c r="N61">
        <v>2</v>
      </c>
      <c r="O61">
        <v>1</v>
      </c>
      <c r="P61" t="s">
        <v>44</v>
      </c>
      <c r="Q61">
        <v>2</v>
      </c>
      <c r="R61" t="s">
        <v>38</v>
      </c>
      <c r="S61" s="6">
        <v>2070</v>
      </c>
      <c r="T61">
        <v>25326</v>
      </c>
      <c r="U61">
        <v>1</v>
      </c>
      <c r="V61" t="s">
        <v>39</v>
      </c>
      <c r="W61" t="s">
        <v>32</v>
      </c>
      <c r="X61">
        <v>11</v>
      </c>
      <c r="Y61">
        <v>3</v>
      </c>
      <c r="Z61">
        <v>3</v>
      </c>
      <c r="AA61">
        <v>80</v>
      </c>
      <c r="AB61">
        <v>0</v>
      </c>
      <c r="AC61">
        <v>2</v>
      </c>
      <c r="AD61">
        <v>6</v>
      </c>
      <c r="AE61">
        <v>4</v>
      </c>
      <c r="AF61">
        <v>2</v>
      </c>
      <c r="AG61">
        <v>2</v>
      </c>
      <c r="AH61">
        <v>2</v>
      </c>
      <c r="AI61">
        <v>2</v>
      </c>
    </row>
    <row r="62" spans="1:35" x14ac:dyDescent="0.3">
      <c r="A62">
        <v>37</v>
      </c>
      <c r="B62" t="s">
        <v>32</v>
      </c>
      <c r="C62" t="s">
        <v>33</v>
      </c>
      <c r="D62">
        <v>807</v>
      </c>
      <c r="E62" t="s">
        <v>58</v>
      </c>
      <c r="F62">
        <v>6</v>
      </c>
      <c r="G62">
        <v>4</v>
      </c>
      <c r="H62" t="s">
        <v>58</v>
      </c>
      <c r="I62">
        <v>1</v>
      </c>
      <c r="J62">
        <v>133</v>
      </c>
      <c r="K62">
        <v>3</v>
      </c>
      <c r="L62" s="17" t="s">
        <v>43</v>
      </c>
      <c r="M62">
        <v>63</v>
      </c>
      <c r="N62">
        <v>3</v>
      </c>
      <c r="O62">
        <v>1</v>
      </c>
      <c r="P62" t="s">
        <v>58</v>
      </c>
      <c r="Q62">
        <v>1</v>
      </c>
      <c r="R62" t="s">
        <v>49</v>
      </c>
      <c r="S62" s="6">
        <v>2073</v>
      </c>
      <c r="T62">
        <v>23648</v>
      </c>
      <c r="U62">
        <v>4</v>
      </c>
      <c r="V62" t="s">
        <v>39</v>
      </c>
      <c r="W62" t="s">
        <v>32</v>
      </c>
      <c r="X62">
        <v>22</v>
      </c>
      <c r="Y62">
        <v>4</v>
      </c>
      <c r="Z62">
        <v>4</v>
      </c>
      <c r="AA62">
        <v>80</v>
      </c>
      <c r="AB62">
        <v>0</v>
      </c>
      <c r="AC62">
        <v>7</v>
      </c>
      <c r="AD62">
        <v>3</v>
      </c>
      <c r="AE62">
        <v>3</v>
      </c>
      <c r="AF62">
        <v>3</v>
      </c>
      <c r="AG62">
        <v>2</v>
      </c>
      <c r="AH62">
        <v>0</v>
      </c>
      <c r="AI62">
        <v>2</v>
      </c>
    </row>
    <row r="63" spans="1:35" x14ac:dyDescent="0.3">
      <c r="A63">
        <v>23</v>
      </c>
      <c r="B63" t="s">
        <v>40</v>
      </c>
      <c r="C63" t="s">
        <v>33</v>
      </c>
      <c r="D63">
        <v>977</v>
      </c>
      <c r="E63" t="s">
        <v>42</v>
      </c>
      <c r="F63">
        <v>10</v>
      </c>
      <c r="G63">
        <v>3</v>
      </c>
      <c r="H63" t="s">
        <v>57</v>
      </c>
      <c r="I63">
        <v>1</v>
      </c>
      <c r="J63">
        <v>1592</v>
      </c>
      <c r="K63">
        <v>4</v>
      </c>
      <c r="L63" s="17" t="s">
        <v>43</v>
      </c>
      <c r="M63">
        <v>45</v>
      </c>
      <c r="N63">
        <v>4</v>
      </c>
      <c r="O63">
        <v>1</v>
      </c>
      <c r="P63" t="s">
        <v>44</v>
      </c>
      <c r="Q63">
        <v>3</v>
      </c>
      <c r="R63" t="s">
        <v>45</v>
      </c>
      <c r="S63" s="6">
        <v>2073</v>
      </c>
      <c r="T63">
        <v>12826</v>
      </c>
      <c r="U63">
        <v>2</v>
      </c>
      <c r="V63" t="s">
        <v>39</v>
      </c>
      <c r="W63" t="s">
        <v>40</v>
      </c>
      <c r="X63">
        <v>16</v>
      </c>
      <c r="Y63">
        <v>3</v>
      </c>
      <c r="Z63">
        <v>4</v>
      </c>
      <c r="AA63">
        <v>80</v>
      </c>
      <c r="AB63">
        <v>1</v>
      </c>
      <c r="AC63">
        <v>4</v>
      </c>
      <c r="AD63">
        <v>2</v>
      </c>
      <c r="AE63">
        <v>3</v>
      </c>
      <c r="AF63">
        <v>2</v>
      </c>
      <c r="AG63">
        <v>2</v>
      </c>
      <c r="AH63">
        <v>2</v>
      </c>
      <c r="AI63">
        <v>2</v>
      </c>
    </row>
    <row r="64" spans="1:35" x14ac:dyDescent="0.3">
      <c r="A64">
        <v>35</v>
      </c>
      <c r="B64" t="s">
        <v>32</v>
      </c>
      <c r="C64" t="s">
        <v>33</v>
      </c>
      <c r="D64">
        <v>104</v>
      </c>
      <c r="E64" t="s">
        <v>42</v>
      </c>
      <c r="F64">
        <v>2</v>
      </c>
      <c r="G64">
        <v>3</v>
      </c>
      <c r="H64" t="s">
        <v>35</v>
      </c>
      <c r="I64">
        <v>1</v>
      </c>
      <c r="J64">
        <v>1569</v>
      </c>
      <c r="K64">
        <v>1</v>
      </c>
      <c r="L64" s="17" t="s">
        <v>36</v>
      </c>
      <c r="M64">
        <v>69</v>
      </c>
      <c r="N64">
        <v>3</v>
      </c>
      <c r="O64">
        <v>1</v>
      </c>
      <c r="P64" t="s">
        <v>47</v>
      </c>
      <c r="Q64">
        <v>1</v>
      </c>
      <c r="R64" t="s">
        <v>49</v>
      </c>
      <c r="S64" s="6">
        <v>2074</v>
      </c>
      <c r="T64">
        <v>26619</v>
      </c>
      <c r="U64">
        <v>1</v>
      </c>
      <c r="V64" t="s">
        <v>39</v>
      </c>
      <c r="W64" t="s">
        <v>32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1</v>
      </c>
      <c r="AD64">
        <v>2</v>
      </c>
      <c r="AE64">
        <v>3</v>
      </c>
      <c r="AF64">
        <v>1</v>
      </c>
      <c r="AG64">
        <v>0</v>
      </c>
      <c r="AH64">
        <v>0</v>
      </c>
      <c r="AI64">
        <v>0</v>
      </c>
    </row>
    <row r="65" spans="1:35" x14ac:dyDescent="0.3">
      <c r="A65">
        <v>51</v>
      </c>
      <c r="B65" t="s">
        <v>40</v>
      </c>
      <c r="C65" t="s">
        <v>33</v>
      </c>
      <c r="D65">
        <v>432</v>
      </c>
      <c r="E65" t="s">
        <v>42</v>
      </c>
      <c r="F65">
        <v>9</v>
      </c>
      <c r="G65">
        <v>4</v>
      </c>
      <c r="H65" t="s">
        <v>35</v>
      </c>
      <c r="I65">
        <v>1</v>
      </c>
      <c r="J65">
        <v>116</v>
      </c>
      <c r="K65">
        <v>4</v>
      </c>
      <c r="L65" s="17" t="s">
        <v>43</v>
      </c>
      <c r="M65">
        <v>96</v>
      </c>
      <c r="N65">
        <v>3</v>
      </c>
      <c r="O65">
        <v>1</v>
      </c>
      <c r="P65" t="s">
        <v>47</v>
      </c>
      <c r="Q65">
        <v>4</v>
      </c>
      <c r="R65" t="s">
        <v>45</v>
      </c>
      <c r="S65" s="6">
        <v>2075</v>
      </c>
      <c r="T65">
        <v>18725</v>
      </c>
      <c r="U65">
        <v>3</v>
      </c>
      <c r="V65" t="s">
        <v>39</v>
      </c>
      <c r="W65" t="s">
        <v>40</v>
      </c>
      <c r="X65">
        <v>23</v>
      </c>
      <c r="Y65">
        <v>4</v>
      </c>
      <c r="Z65">
        <v>2</v>
      </c>
      <c r="AA65">
        <v>80</v>
      </c>
      <c r="AB65">
        <v>2</v>
      </c>
      <c r="AC65">
        <v>10</v>
      </c>
      <c r="AD65">
        <v>4</v>
      </c>
      <c r="AE65">
        <v>3</v>
      </c>
      <c r="AF65">
        <v>4</v>
      </c>
      <c r="AG65">
        <v>2</v>
      </c>
      <c r="AH65">
        <v>0</v>
      </c>
      <c r="AI65">
        <v>3</v>
      </c>
    </row>
    <row r="66" spans="1:35" x14ac:dyDescent="0.3">
      <c r="A66">
        <v>28</v>
      </c>
      <c r="B66" t="s">
        <v>40</v>
      </c>
      <c r="C66" t="s">
        <v>33</v>
      </c>
      <c r="D66">
        <v>640</v>
      </c>
      <c r="E66" t="s">
        <v>42</v>
      </c>
      <c r="F66">
        <v>1</v>
      </c>
      <c r="G66">
        <v>3</v>
      </c>
      <c r="H66" t="s">
        <v>57</v>
      </c>
      <c r="I66">
        <v>1</v>
      </c>
      <c r="J66">
        <v>1301</v>
      </c>
      <c r="K66">
        <v>4</v>
      </c>
      <c r="L66" s="17" t="s">
        <v>43</v>
      </c>
      <c r="M66">
        <v>84</v>
      </c>
      <c r="N66">
        <v>3</v>
      </c>
      <c r="O66">
        <v>1</v>
      </c>
      <c r="P66" t="s">
        <v>44</v>
      </c>
      <c r="Q66">
        <v>1</v>
      </c>
      <c r="R66" t="s">
        <v>38</v>
      </c>
      <c r="S66" s="6">
        <v>2080</v>
      </c>
      <c r="T66">
        <v>4732</v>
      </c>
      <c r="U66">
        <v>2</v>
      </c>
      <c r="V66" t="s">
        <v>39</v>
      </c>
      <c r="W66" t="s">
        <v>40</v>
      </c>
      <c r="X66">
        <v>11</v>
      </c>
      <c r="Y66">
        <v>3</v>
      </c>
      <c r="Z66">
        <v>2</v>
      </c>
      <c r="AA66">
        <v>80</v>
      </c>
      <c r="AB66">
        <v>0</v>
      </c>
      <c r="AC66">
        <v>5</v>
      </c>
      <c r="AD66">
        <v>2</v>
      </c>
      <c r="AE66">
        <v>2</v>
      </c>
      <c r="AF66">
        <v>3</v>
      </c>
      <c r="AG66">
        <v>2</v>
      </c>
      <c r="AH66">
        <v>1</v>
      </c>
      <c r="AI66">
        <v>2</v>
      </c>
    </row>
    <row r="67" spans="1:35" x14ac:dyDescent="0.3">
      <c r="A67">
        <v>30</v>
      </c>
      <c r="B67" t="s">
        <v>40</v>
      </c>
      <c r="C67" t="s">
        <v>41</v>
      </c>
      <c r="D67">
        <v>160</v>
      </c>
      <c r="E67" t="s">
        <v>42</v>
      </c>
      <c r="F67">
        <v>3</v>
      </c>
      <c r="G67">
        <v>3</v>
      </c>
      <c r="H67" t="s">
        <v>48</v>
      </c>
      <c r="I67">
        <v>1</v>
      </c>
      <c r="J67">
        <v>680</v>
      </c>
      <c r="K67">
        <v>3</v>
      </c>
      <c r="L67" s="17" t="s">
        <v>36</v>
      </c>
      <c r="M67">
        <v>71</v>
      </c>
      <c r="N67">
        <v>3</v>
      </c>
      <c r="O67">
        <v>1</v>
      </c>
      <c r="P67" t="s">
        <v>44</v>
      </c>
      <c r="Q67">
        <v>3</v>
      </c>
      <c r="R67" t="s">
        <v>49</v>
      </c>
      <c r="S67" s="6">
        <v>2083</v>
      </c>
      <c r="T67">
        <v>22653</v>
      </c>
      <c r="U67">
        <v>1</v>
      </c>
      <c r="V67" t="s">
        <v>39</v>
      </c>
      <c r="W67" t="s">
        <v>40</v>
      </c>
      <c r="X67">
        <v>20</v>
      </c>
      <c r="Y67">
        <v>4</v>
      </c>
      <c r="Z67">
        <v>3</v>
      </c>
      <c r="AA67">
        <v>80</v>
      </c>
      <c r="AB67">
        <v>1</v>
      </c>
      <c r="AC67">
        <v>1</v>
      </c>
      <c r="AD67">
        <v>2</v>
      </c>
      <c r="AE67">
        <v>3</v>
      </c>
      <c r="AF67">
        <v>1</v>
      </c>
      <c r="AG67">
        <v>0</v>
      </c>
      <c r="AH67">
        <v>0</v>
      </c>
      <c r="AI67">
        <v>0</v>
      </c>
    </row>
    <row r="68" spans="1:35" x14ac:dyDescent="0.3">
      <c r="A68">
        <v>39</v>
      </c>
      <c r="B68" t="s">
        <v>32</v>
      </c>
      <c r="C68" t="s">
        <v>33</v>
      </c>
      <c r="D68">
        <v>895</v>
      </c>
      <c r="E68" t="s">
        <v>34</v>
      </c>
      <c r="F68">
        <v>5</v>
      </c>
      <c r="G68">
        <v>3</v>
      </c>
      <c r="H68" t="s">
        <v>57</v>
      </c>
      <c r="I68">
        <v>1</v>
      </c>
      <c r="J68">
        <v>42</v>
      </c>
      <c r="K68">
        <v>4</v>
      </c>
      <c r="L68" s="17" t="s">
        <v>43</v>
      </c>
      <c r="M68">
        <v>56</v>
      </c>
      <c r="N68">
        <v>3</v>
      </c>
      <c r="O68">
        <v>2</v>
      </c>
      <c r="P68" t="s">
        <v>54</v>
      </c>
      <c r="Q68">
        <v>4</v>
      </c>
      <c r="R68" t="s">
        <v>45</v>
      </c>
      <c r="S68" s="6">
        <v>2086</v>
      </c>
      <c r="T68">
        <v>3335</v>
      </c>
      <c r="U68">
        <v>3</v>
      </c>
      <c r="V68" t="s">
        <v>39</v>
      </c>
      <c r="W68" t="s">
        <v>40</v>
      </c>
      <c r="X68">
        <v>14</v>
      </c>
      <c r="Y68">
        <v>3</v>
      </c>
      <c r="Z68">
        <v>3</v>
      </c>
      <c r="AA68">
        <v>80</v>
      </c>
      <c r="AB68">
        <v>1</v>
      </c>
      <c r="AC68">
        <v>19</v>
      </c>
      <c r="AD68">
        <v>6</v>
      </c>
      <c r="AE68">
        <v>4</v>
      </c>
      <c r="AF68">
        <v>1</v>
      </c>
      <c r="AG68">
        <v>0</v>
      </c>
      <c r="AH68">
        <v>0</v>
      </c>
      <c r="AI68">
        <v>0</v>
      </c>
    </row>
    <row r="69" spans="1:35" x14ac:dyDescent="0.3">
      <c r="A69">
        <v>36</v>
      </c>
      <c r="B69" t="s">
        <v>40</v>
      </c>
      <c r="C69" t="s">
        <v>41</v>
      </c>
      <c r="D69">
        <v>1480</v>
      </c>
      <c r="E69" t="s">
        <v>42</v>
      </c>
      <c r="F69">
        <v>3</v>
      </c>
      <c r="G69">
        <v>2</v>
      </c>
      <c r="H69" t="s">
        <v>48</v>
      </c>
      <c r="I69">
        <v>1</v>
      </c>
      <c r="J69">
        <v>238</v>
      </c>
      <c r="K69">
        <v>4</v>
      </c>
      <c r="L69" s="17" t="s">
        <v>43</v>
      </c>
      <c r="M69">
        <v>30</v>
      </c>
      <c r="N69">
        <v>3</v>
      </c>
      <c r="O69">
        <v>1</v>
      </c>
      <c r="P69" t="s">
        <v>47</v>
      </c>
      <c r="Q69">
        <v>2</v>
      </c>
      <c r="R69" t="s">
        <v>38</v>
      </c>
      <c r="S69" s="6">
        <v>2088</v>
      </c>
      <c r="T69">
        <v>15062</v>
      </c>
      <c r="U69">
        <v>4</v>
      </c>
      <c r="V69" t="s">
        <v>39</v>
      </c>
      <c r="W69" t="s">
        <v>40</v>
      </c>
      <c r="X69">
        <v>12</v>
      </c>
      <c r="Y69">
        <v>3</v>
      </c>
      <c r="Z69">
        <v>3</v>
      </c>
      <c r="AA69">
        <v>80</v>
      </c>
      <c r="AB69">
        <v>0</v>
      </c>
      <c r="AC69">
        <v>13</v>
      </c>
      <c r="AD69">
        <v>3</v>
      </c>
      <c r="AE69">
        <v>2</v>
      </c>
      <c r="AF69">
        <v>8</v>
      </c>
      <c r="AG69">
        <v>7</v>
      </c>
      <c r="AH69">
        <v>7</v>
      </c>
      <c r="AI69">
        <v>2</v>
      </c>
    </row>
    <row r="70" spans="1:35" x14ac:dyDescent="0.3">
      <c r="A70">
        <v>43</v>
      </c>
      <c r="B70" t="s">
        <v>40</v>
      </c>
      <c r="C70" t="s">
        <v>52</v>
      </c>
      <c r="D70">
        <v>1344</v>
      </c>
      <c r="E70" t="s">
        <v>42</v>
      </c>
      <c r="F70">
        <v>7</v>
      </c>
      <c r="G70">
        <v>3</v>
      </c>
      <c r="H70" t="s">
        <v>48</v>
      </c>
      <c r="I70">
        <v>1</v>
      </c>
      <c r="J70">
        <v>262</v>
      </c>
      <c r="K70">
        <v>4</v>
      </c>
      <c r="L70" s="17" t="s">
        <v>43</v>
      </c>
      <c r="M70">
        <v>37</v>
      </c>
      <c r="N70">
        <v>4</v>
      </c>
      <c r="O70">
        <v>1</v>
      </c>
      <c r="P70" t="s">
        <v>44</v>
      </c>
      <c r="Q70">
        <v>4</v>
      </c>
      <c r="R70" t="s">
        <v>49</v>
      </c>
      <c r="S70" s="6">
        <v>2089</v>
      </c>
      <c r="T70">
        <v>5228</v>
      </c>
      <c r="U70">
        <v>4</v>
      </c>
      <c r="V70" t="s">
        <v>39</v>
      </c>
      <c r="W70" t="s">
        <v>40</v>
      </c>
      <c r="X70">
        <v>14</v>
      </c>
      <c r="Y70">
        <v>3</v>
      </c>
      <c r="Z70">
        <v>4</v>
      </c>
      <c r="AA70">
        <v>80</v>
      </c>
      <c r="AB70">
        <v>3</v>
      </c>
      <c r="AC70">
        <v>7</v>
      </c>
      <c r="AD70">
        <v>3</v>
      </c>
      <c r="AE70">
        <v>4</v>
      </c>
      <c r="AF70">
        <v>5</v>
      </c>
      <c r="AG70">
        <v>4</v>
      </c>
      <c r="AH70">
        <v>2</v>
      </c>
      <c r="AI70">
        <v>2</v>
      </c>
    </row>
    <row r="71" spans="1:35" x14ac:dyDescent="0.3">
      <c r="A71">
        <v>37</v>
      </c>
      <c r="B71" t="s">
        <v>32</v>
      </c>
      <c r="C71" t="s">
        <v>33</v>
      </c>
      <c r="D71">
        <v>1373</v>
      </c>
      <c r="E71" t="s">
        <v>42</v>
      </c>
      <c r="F71">
        <v>2</v>
      </c>
      <c r="G71">
        <v>2</v>
      </c>
      <c r="H71" t="s">
        <v>46</v>
      </c>
      <c r="I71">
        <v>1</v>
      </c>
      <c r="J71">
        <v>4</v>
      </c>
      <c r="K71">
        <v>4</v>
      </c>
      <c r="L71" s="17" t="s">
        <v>43</v>
      </c>
      <c r="M71">
        <v>92</v>
      </c>
      <c r="N71">
        <v>2</v>
      </c>
      <c r="O71">
        <v>1</v>
      </c>
      <c r="P71" t="s">
        <v>47</v>
      </c>
      <c r="Q71">
        <v>3</v>
      </c>
      <c r="R71" t="s">
        <v>38</v>
      </c>
      <c r="S71" s="6">
        <v>2090</v>
      </c>
      <c r="T71">
        <v>2396</v>
      </c>
      <c r="U71">
        <v>6</v>
      </c>
      <c r="V71" t="s">
        <v>39</v>
      </c>
      <c r="W71" t="s">
        <v>32</v>
      </c>
      <c r="X71">
        <v>15</v>
      </c>
      <c r="Y71">
        <v>3</v>
      </c>
      <c r="Z71">
        <v>2</v>
      </c>
      <c r="AA71">
        <v>80</v>
      </c>
      <c r="AB71">
        <v>0</v>
      </c>
      <c r="AC71">
        <v>7</v>
      </c>
      <c r="AD71">
        <v>3</v>
      </c>
      <c r="AE71">
        <v>3</v>
      </c>
      <c r="AF71">
        <v>0</v>
      </c>
      <c r="AG71">
        <v>0</v>
      </c>
      <c r="AH71">
        <v>0</v>
      </c>
      <c r="AI71">
        <v>0</v>
      </c>
    </row>
    <row r="72" spans="1:35" x14ac:dyDescent="0.3">
      <c r="A72">
        <v>42</v>
      </c>
      <c r="B72" t="s">
        <v>40</v>
      </c>
      <c r="C72" t="s">
        <v>41</v>
      </c>
      <c r="D72">
        <v>1474</v>
      </c>
      <c r="E72" t="s">
        <v>42</v>
      </c>
      <c r="F72">
        <v>5</v>
      </c>
      <c r="G72">
        <v>2</v>
      </c>
      <c r="H72" t="s">
        <v>46</v>
      </c>
      <c r="I72">
        <v>1</v>
      </c>
      <c r="J72">
        <v>591</v>
      </c>
      <c r="K72">
        <v>2</v>
      </c>
      <c r="L72" s="17" t="s">
        <v>43</v>
      </c>
      <c r="M72">
        <v>97</v>
      </c>
      <c r="N72">
        <v>3</v>
      </c>
      <c r="O72">
        <v>1</v>
      </c>
      <c r="P72" t="s">
        <v>47</v>
      </c>
      <c r="Q72">
        <v>3</v>
      </c>
      <c r="R72" t="s">
        <v>45</v>
      </c>
      <c r="S72" s="6">
        <v>2093</v>
      </c>
      <c r="T72">
        <v>9260</v>
      </c>
      <c r="U72">
        <v>4</v>
      </c>
      <c r="V72" t="s">
        <v>39</v>
      </c>
      <c r="W72" t="s">
        <v>40</v>
      </c>
      <c r="X72">
        <v>17</v>
      </c>
      <c r="Y72">
        <v>3</v>
      </c>
      <c r="Z72">
        <v>4</v>
      </c>
      <c r="AA72">
        <v>80</v>
      </c>
      <c r="AB72">
        <v>1</v>
      </c>
      <c r="AC72">
        <v>8</v>
      </c>
      <c r="AD72">
        <v>4</v>
      </c>
      <c r="AE72">
        <v>3</v>
      </c>
      <c r="AF72">
        <v>2</v>
      </c>
      <c r="AG72">
        <v>2</v>
      </c>
      <c r="AH72">
        <v>2</v>
      </c>
      <c r="AI72">
        <v>0</v>
      </c>
    </row>
    <row r="73" spans="1:35" x14ac:dyDescent="0.3">
      <c r="A73">
        <v>25</v>
      </c>
      <c r="B73" t="s">
        <v>40</v>
      </c>
      <c r="C73" t="s">
        <v>33</v>
      </c>
      <c r="D73">
        <v>622</v>
      </c>
      <c r="E73" t="s">
        <v>34</v>
      </c>
      <c r="F73">
        <v>13</v>
      </c>
      <c r="G73">
        <v>1</v>
      </c>
      <c r="H73" t="s">
        <v>48</v>
      </c>
      <c r="I73">
        <v>1</v>
      </c>
      <c r="J73">
        <v>645</v>
      </c>
      <c r="K73">
        <v>2</v>
      </c>
      <c r="L73" s="17" t="s">
        <v>43</v>
      </c>
      <c r="M73">
        <v>40</v>
      </c>
      <c r="N73">
        <v>3</v>
      </c>
      <c r="O73">
        <v>1</v>
      </c>
      <c r="P73" t="s">
        <v>54</v>
      </c>
      <c r="Q73">
        <v>3</v>
      </c>
      <c r="R73" t="s">
        <v>45</v>
      </c>
      <c r="S73" s="6">
        <v>2096</v>
      </c>
      <c r="T73">
        <v>26376</v>
      </c>
      <c r="U73">
        <v>1</v>
      </c>
      <c r="V73" t="s">
        <v>39</v>
      </c>
      <c r="W73" t="s">
        <v>40</v>
      </c>
      <c r="X73">
        <v>11</v>
      </c>
      <c r="Y73">
        <v>3</v>
      </c>
      <c r="Z73">
        <v>3</v>
      </c>
      <c r="AA73">
        <v>80</v>
      </c>
      <c r="AB73">
        <v>0</v>
      </c>
      <c r="AC73">
        <v>7</v>
      </c>
      <c r="AD73">
        <v>1</v>
      </c>
      <c r="AE73">
        <v>3</v>
      </c>
      <c r="AF73">
        <v>7</v>
      </c>
      <c r="AG73">
        <v>4</v>
      </c>
      <c r="AH73">
        <v>0</v>
      </c>
      <c r="AI73">
        <v>6</v>
      </c>
    </row>
    <row r="74" spans="1:35" x14ac:dyDescent="0.3">
      <c r="A74">
        <v>25</v>
      </c>
      <c r="B74" t="s">
        <v>40</v>
      </c>
      <c r="C74" t="s">
        <v>33</v>
      </c>
      <c r="D74">
        <v>266</v>
      </c>
      <c r="E74" t="s">
        <v>42</v>
      </c>
      <c r="F74">
        <v>1</v>
      </c>
      <c r="G74">
        <v>3</v>
      </c>
      <c r="H74" t="s">
        <v>48</v>
      </c>
      <c r="I74">
        <v>1</v>
      </c>
      <c r="J74">
        <v>1303</v>
      </c>
      <c r="K74">
        <v>4</v>
      </c>
      <c r="L74" s="17" t="s">
        <v>36</v>
      </c>
      <c r="M74">
        <v>40</v>
      </c>
      <c r="N74">
        <v>3</v>
      </c>
      <c r="O74">
        <v>1</v>
      </c>
      <c r="P74" t="s">
        <v>44</v>
      </c>
      <c r="Q74">
        <v>2</v>
      </c>
      <c r="R74" t="s">
        <v>38</v>
      </c>
      <c r="S74" s="6">
        <v>2096</v>
      </c>
      <c r="T74">
        <v>18830</v>
      </c>
      <c r="U74">
        <v>1</v>
      </c>
      <c r="V74" t="s">
        <v>39</v>
      </c>
      <c r="W74" t="s">
        <v>40</v>
      </c>
      <c r="X74">
        <v>18</v>
      </c>
      <c r="Y74">
        <v>3</v>
      </c>
      <c r="Z74">
        <v>4</v>
      </c>
      <c r="AA74">
        <v>80</v>
      </c>
      <c r="AB74">
        <v>0</v>
      </c>
      <c r="AC74">
        <v>2</v>
      </c>
      <c r="AD74">
        <v>3</v>
      </c>
      <c r="AE74">
        <v>2</v>
      </c>
      <c r="AF74">
        <v>2</v>
      </c>
      <c r="AG74">
        <v>2</v>
      </c>
      <c r="AH74">
        <v>2</v>
      </c>
      <c r="AI74">
        <v>1</v>
      </c>
    </row>
    <row r="75" spans="1:35" x14ac:dyDescent="0.3">
      <c r="A75">
        <v>30</v>
      </c>
      <c r="B75" t="s">
        <v>40</v>
      </c>
      <c r="C75" t="s">
        <v>52</v>
      </c>
      <c r="D75">
        <v>1400</v>
      </c>
      <c r="E75" t="s">
        <v>42</v>
      </c>
      <c r="F75">
        <v>3</v>
      </c>
      <c r="G75">
        <v>3</v>
      </c>
      <c r="H75" t="s">
        <v>35</v>
      </c>
      <c r="I75">
        <v>1</v>
      </c>
      <c r="J75">
        <v>562</v>
      </c>
      <c r="K75">
        <v>3</v>
      </c>
      <c r="L75" s="17" t="s">
        <v>43</v>
      </c>
      <c r="M75">
        <v>53</v>
      </c>
      <c r="N75">
        <v>3</v>
      </c>
      <c r="O75">
        <v>1</v>
      </c>
      <c r="P75" t="s">
        <v>47</v>
      </c>
      <c r="Q75">
        <v>4</v>
      </c>
      <c r="R75" t="s">
        <v>45</v>
      </c>
      <c r="S75" s="6">
        <v>2097</v>
      </c>
      <c r="T75">
        <v>16734</v>
      </c>
      <c r="U75">
        <v>4</v>
      </c>
      <c r="V75" t="s">
        <v>39</v>
      </c>
      <c r="W75" t="s">
        <v>40</v>
      </c>
      <c r="X75">
        <v>15</v>
      </c>
      <c r="Y75">
        <v>3</v>
      </c>
      <c r="Z75">
        <v>3</v>
      </c>
      <c r="AA75">
        <v>80</v>
      </c>
      <c r="AB75">
        <v>1</v>
      </c>
      <c r="AC75">
        <v>9</v>
      </c>
      <c r="AD75">
        <v>3</v>
      </c>
      <c r="AE75">
        <v>1</v>
      </c>
      <c r="AF75">
        <v>5</v>
      </c>
      <c r="AG75">
        <v>3</v>
      </c>
      <c r="AH75">
        <v>1</v>
      </c>
      <c r="AI75">
        <v>4</v>
      </c>
    </row>
    <row r="76" spans="1:35" x14ac:dyDescent="0.3">
      <c r="A76">
        <v>27</v>
      </c>
      <c r="B76" t="s">
        <v>40</v>
      </c>
      <c r="C76" t="s">
        <v>33</v>
      </c>
      <c r="D76">
        <v>1377</v>
      </c>
      <c r="E76" t="s">
        <v>42</v>
      </c>
      <c r="F76">
        <v>11</v>
      </c>
      <c r="G76">
        <v>1</v>
      </c>
      <c r="H76" t="s">
        <v>35</v>
      </c>
      <c r="I76">
        <v>1</v>
      </c>
      <c r="J76">
        <v>1434</v>
      </c>
      <c r="K76">
        <v>2</v>
      </c>
      <c r="L76" s="17" t="s">
        <v>43</v>
      </c>
      <c r="M76">
        <v>91</v>
      </c>
      <c r="N76">
        <v>3</v>
      </c>
      <c r="O76">
        <v>1</v>
      </c>
      <c r="P76" t="s">
        <v>47</v>
      </c>
      <c r="Q76">
        <v>1</v>
      </c>
      <c r="R76" t="s">
        <v>45</v>
      </c>
      <c r="S76" s="6">
        <v>2099</v>
      </c>
      <c r="T76">
        <v>7679</v>
      </c>
      <c r="U76">
        <v>0</v>
      </c>
      <c r="V76" t="s">
        <v>39</v>
      </c>
      <c r="W76" t="s">
        <v>40</v>
      </c>
      <c r="X76">
        <v>14</v>
      </c>
      <c r="Y76">
        <v>3</v>
      </c>
      <c r="Z76">
        <v>2</v>
      </c>
      <c r="AA76">
        <v>80</v>
      </c>
      <c r="AB76">
        <v>0</v>
      </c>
      <c r="AC76">
        <v>6</v>
      </c>
      <c r="AD76">
        <v>3</v>
      </c>
      <c r="AE76">
        <v>4</v>
      </c>
      <c r="AF76">
        <v>5</v>
      </c>
      <c r="AG76">
        <v>0</v>
      </c>
      <c r="AH76">
        <v>1</v>
      </c>
      <c r="AI76">
        <v>4</v>
      </c>
    </row>
    <row r="77" spans="1:35" x14ac:dyDescent="0.3">
      <c r="A77">
        <v>47</v>
      </c>
      <c r="B77" t="s">
        <v>40</v>
      </c>
      <c r="C77" t="s">
        <v>33</v>
      </c>
      <c r="D77">
        <v>207</v>
      </c>
      <c r="E77" t="s">
        <v>42</v>
      </c>
      <c r="F77">
        <v>9</v>
      </c>
      <c r="G77">
        <v>4</v>
      </c>
      <c r="H77" t="s">
        <v>35</v>
      </c>
      <c r="I77">
        <v>1</v>
      </c>
      <c r="J77">
        <v>1856</v>
      </c>
      <c r="K77">
        <v>2</v>
      </c>
      <c r="L77" s="17" t="s">
        <v>36</v>
      </c>
      <c r="M77">
        <v>64</v>
      </c>
      <c r="N77">
        <v>3</v>
      </c>
      <c r="O77">
        <v>1</v>
      </c>
      <c r="P77" t="s">
        <v>47</v>
      </c>
      <c r="Q77">
        <v>3</v>
      </c>
      <c r="R77" t="s">
        <v>38</v>
      </c>
      <c r="S77" s="6">
        <v>2105</v>
      </c>
      <c r="T77">
        <v>5411</v>
      </c>
      <c r="U77">
        <v>4</v>
      </c>
      <c r="V77" t="s">
        <v>39</v>
      </c>
      <c r="W77" t="s">
        <v>40</v>
      </c>
      <c r="X77">
        <v>12</v>
      </c>
      <c r="Y77">
        <v>3</v>
      </c>
      <c r="Z77">
        <v>3</v>
      </c>
      <c r="AA77">
        <v>80</v>
      </c>
      <c r="AB77">
        <v>0</v>
      </c>
      <c r="AC77">
        <v>7</v>
      </c>
      <c r="AD77">
        <v>2</v>
      </c>
      <c r="AE77">
        <v>3</v>
      </c>
      <c r="AF77">
        <v>2</v>
      </c>
      <c r="AG77">
        <v>2</v>
      </c>
      <c r="AH77">
        <v>2</v>
      </c>
      <c r="AI77">
        <v>0</v>
      </c>
    </row>
    <row r="78" spans="1:35" x14ac:dyDescent="0.3">
      <c r="A78">
        <v>41</v>
      </c>
      <c r="B78" t="s">
        <v>32</v>
      </c>
      <c r="C78" t="s">
        <v>52</v>
      </c>
      <c r="D78">
        <v>906</v>
      </c>
      <c r="E78" t="s">
        <v>42</v>
      </c>
      <c r="F78">
        <v>5</v>
      </c>
      <c r="G78">
        <v>2</v>
      </c>
      <c r="H78" t="s">
        <v>35</v>
      </c>
      <c r="I78">
        <v>1</v>
      </c>
      <c r="J78">
        <v>1210</v>
      </c>
      <c r="K78">
        <v>1</v>
      </c>
      <c r="L78" s="17" t="s">
        <v>43</v>
      </c>
      <c r="M78">
        <v>95</v>
      </c>
      <c r="N78">
        <v>2</v>
      </c>
      <c r="O78">
        <v>1</v>
      </c>
      <c r="P78" t="s">
        <v>44</v>
      </c>
      <c r="Q78">
        <v>1</v>
      </c>
      <c r="R78" t="s">
        <v>49</v>
      </c>
      <c r="S78" s="6">
        <v>2107</v>
      </c>
      <c r="T78">
        <v>20293</v>
      </c>
      <c r="U78">
        <v>6</v>
      </c>
      <c r="V78" t="s">
        <v>39</v>
      </c>
      <c r="W78" t="s">
        <v>40</v>
      </c>
      <c r="X78">
        <v>17</v>
      </c>
      <c r="Y78">
        <v>3</v>
      </c>
      <c r="Z78">
        <v>1</v>
      </c>
      <c r="AA78">
        <v>80</v>
      </c>
      <c r="AB78">
        <v>1</v>
      </c>
      <c r="AC78">
        <v>5</v>
      </c>
      <c r="AD78">
        <v>2</v>
      </c>
      <c r="AE78">
        <v>1</v>
      </c>
      <c r="AF78">
        <v>1</v>
      </c>
      <c r="AG78">
        <v>0</v>
      </c>
      <c r="AH78">
        <v>0</v>
      </c>
      <c r="AI78">
        <v>0</v>
      </c>
    </row>
    <row r="79" spans="1:35" x14ac:dyDescent="0.3">
      <c r="A79">
        <v>31</v>
      </c>
      <c r="B79" t="s">
        <v>40</v>
      </c>
      <c r="C79" t="s">
        <v>33</v>
      </c>
      <c r="D79">
        <v>1398</v>
      </c>
      <c r="E79" t="s">
        <v>58</v>
      </c>
      <c r="F79">
        <v>8</v>
      </c>
      <c r="G79">
        <v>2</v>
      </c>
      <c r="H79" t="s">
        <v>48</v>
      </c>
      <c r="I79">
        <v>1</v>
      </c>
      <c r="J79">
        <v>1461</v>
      </c>
      <c r="K79">
        <v>4</v>
      </c>
      <c r="L79" s="17" t="s">
        <v>36</v>
      </c>
      <c r="M79">
        <v>96</v>
      </c>
      <c r="N79">
        <v>4</v>
      </c>
      <c r="O79">
        <v>1</v>
      </c>
      <c r="P79" t="s">
        <v>58</v>
      </c>
      <c r="Q79">
        <v>2</v>
      </c>
      <c r="R79" t="s">
        <v>38</v>
      </c>
      <c r="S79" s="6">
        <v>2109</v>
      </c>
      <c r="T79">
        <v>24609</v>
      </c>
      <c r="U79">
        <v>9</v>
      </c>
      <c r="V79" t="s">
        <v>39</v>
      </c>
      <c r="W79" t="s">
        <v>40</v>
      </c>
      <c r="X79">
        <v>18</v>
      </c>
      <c r="Y79">
        <v>3</v>
      </c>
      <c r="Z79">
        <v>4</v>
      </c>
      <c r="AA79">
        <v>80</v>
      </c>
      <c r="AB79">
        <v>0</v>
      </c>
      <c r="AC79">
        <v>8</v>
      </c>
      <c r="AD79">
        <v>3</v>
      </c>
      <c r="AE79">
        <v>3</v>
      </c>
      <c r="AF79">
        <v>3</v>
      </c>
      <c r="AG79">
        <v>2</v>
      </c>
      <c r="AH79">
        <v>0</v>
      </c>
      <c r="AI79">
        <v>2</v>
      </c>
    </row>
    <row r="80" spans="1:35" x14ac:dyDescent="0.3">
      <c r="A80">
        <v>29</v>
      </c>
      <c r="B80" t="s">
        <v>40</v>
      </c>
      <c r="C80" t="s">
        <v>33</v>
      </c>
      <c r="D80">
        <v>590</v>
      </c>
      <c r="E80" t="s">
        <v>42</v>
      </c>
      <c r="F80">
        <v>4</v>
      </c>
      <c r="G80">
        <v>3</v>
      </c>
      <c r="H80" t="s">
        <v>57</v>
      </c>
      <c r="I80">
        <v>1</v>
      </c>
      <c r="J80">
        <v>1762</v>
      </c>
      <c r="K80">
        <v>4</v>
      </c>
      <c r="L80" s="17" t="s">
        <v>36</v>
      </c>
      <c r="M80">
        <v>91</v>
      </c>
      <c r="N80">
        <v>2</v>
      </c>
      <c r="O80">
        <v>1</v>
      </c>
      <c r="P80" t="s">
        <v>44</v>
      </c>
      <c r="Q80">
        <v>1</v>
      </c>
      <c r="R80" t="s">
        <v>49</v>
      </c>
      <c r="S80" s="6">
        <v>2109</v>
      </c>
      <c r="T80">
        <v>10007</v>
      </c>
      <c r="U80">
        <v>1</v>
      </c>
      <c r="V80" t="s">
        <v>39</v>
      </c>
      <c r="W80" t="s">
        <v>40</v>
      </c>
      <c r="X80">
        <v>13</v>
      </c>
      <c r="Y80">
        <v>3</v>
      </c>
      <c r="Z80">
        <v>3</v>
      </c>
      <c r="AA80">
        <v>80</v>
      </c>
      <c r="AB80">
        <v>1</v>
      </c>
      <c r="AC80">
        <v>1</v>
      </c>
      <c r="AD80">
        <v>2</v>
      </c>
      <c r="AE80">
        <v>3</v>
      </c>
      <c r="AF80">
        <v>1</v>
      </c>
      <c r="AG80">
        <v>0</v>
      </c>
      <c r="AH80">
        <v>0</v>
      </c>
      <c r="AI80">
        <v>0</v>
      </c>
    </row>
    <row r="81" spans="1:35" x14ac:dyDescent="0.3">
      <c r="A81">
        <v>37</v>
      </c>
      <c r="B81" t="s">
        <v>40</v>
      </c>
      <c r="C81" t="s">
        <v>33</v>
      </c>
      <c r="D81">
        <v>1372</v>
      </c>
      <c r="E81" t="s">
        <v>42</v>
      </c>
      <c r="F81">
        <v>1</v>
      </c>
      <c r="G81">
        <v>3</v>
      </c>
      <c r="H81" t="s">
        <v>35</v>
      </c>
      <c r="I81">
        <v>1</v>
      </c>
      <c r="J81">
        <v>391</v>
      </c>
      <c r="K81">
        <v>4</v>
      </c>
      <c r="L81" s="17" t="s">
        <v>36</v>
      </c>
      <c r="M81">
        <v>42</v>
      </c>
      <c r="N81">
        <v>3</v>
      </c>
      <c r="O81">
        <v>1</v>
      </c>
      <c r="P81" t="s">
        <v>44</v>
      </c>
      <c r="Q81">
        <v>4</v>
      </c>
      <c r="R81" t="s">
        <v>38</v>
      </c>
      <c r="S81" s="6">
        <v>2115</v>
      </c>
      <c r="T81">
        <v>15881</v>
      </c>
      <c r="U81">
        <v>1</v>
      </c>
      <c r="V81" t="s">
        <v>39</v>
      </c>
      <c r="W81" t="s">
        <v>40</v>
      </c>
      <c r="X81">
        <v>12</v>
      </c>
      <c r="Y81">
        <v>3</v>
      </c>
      <c r="Z81">
        <v>2</v>
      </c>
      <c r="AA81">
        <v>80</v>
      </c>
      <c r="AB81">
        <v>0</v>
      </c>
      <c r="AC81">
        <v>17</v>
      </c>
      <c r="AD81">
        <v>3</v>
      </c>
      <c r="AE81">
        <v>3</v>
      </c>
      <c r="AF81">
        <v>17</v>
      </c>
      <c r="AG81">
        <v>12</v>
      </c>
      <c r="AH81">
        <v>5</v>
      </c>
      <c r="AI81">
        <v>7</v>
      </c>
    </row>
    <row r="82" spans="1:35" x14ac:dyDescent="0.3">
      <c r="A82">
        <v>29</v>
      </c>
      <c r="B82" t="s">
        <v>32</v>
      </c>
      <c r="C82" t="s">
        <v>33</v>
      </c>
      <c r="D82">
        <v>318</v>
      </c>
      <c r="E82" t="s">
        <v>42</v>
      </c>
      <c r="F82">
        <v>8</v>
      </c>
      <c r="G82">
        <v>4</v>
      </c>
      <c r="H82" t="s">
        <v>46</v>
      </c>
      <c r="I82">
        <v>1</v>
      </c>
      <c r="J82">
        <v>454</v>
      </c>
      <c r="K82">
        <v>2</v>
      </c>
      <c r="L82" s="17" t="s">
        <v>43</v>
      </c>
      <c r="M82">
        <v>77</v>
      </c>
      <c r="N82">
        <v>1</v>
      </c>
      <c r="O82">
        <v>1</v>
      </c>
      <c r="P82" t="s">
        <v>47</v>
      </c>
      <c r="Q82">
        <v>1</v>
      </c>
      <c r="R82" t="s">
        <v>45</v>
      </c>
      <c r="S82" s="6">
        <v>2119</v>
      </c>
      <c r="T82">
        <v>4759</v>
      </c>
      <c r="U82">
        <v>1</v>
      </c>
      <c r="V82" t="s">
        <v>39</v>
      </c>
      <c r="W82" t="s">
        <v>32</v>
      </c>
      <c r="X82">
        <v>11</v>
      </c>
      <c r="Y82">
        <v>3</v>
      </c>
      <c r="Z82">
        <v>4</v>
      </c>
      <c r="AA82">
        <v>80</v>
      </c>
      <c r="AB82">
        <v>0</v>
      </c>
      <c r="AC82">
        <v>7</v>
      </c>
      <c r="AD82">
        <v>4</v>
      </c>
      <c r="AE82">
        <v>2</v>
      </c>
      <c r="AF82">
        <v>7</v>
      </c>
      <c r="AG82">
        <v>7</v>
      </c>
      <c r="AH82">
        <v>0</v>
      </c>
      <c r="AI82">
        <v>7</v>
      </c>
    </row>
    <row r="83" spans="1:35" x14ac:dyDescent="0.3">
      <c r="A83">
        <v>19</v>
      </c>
      <c r="B83" t="s">
        <v>32</v>
      </c>
      <c r="C83" t="s">
        <v>33</v>
      </c>
      <c r="D83">
        <v>419</v>
      </c>
      <c r="E83" t="s">
        <v>34</v>
      </c>
      <c r="F83">
        <v>21</v>
      </c>
      <c r="G83">
        <v>3</v>
      </c>
      <c r="H83" t="s">
        <v>46</v>
      </c>
      <c r="I83">
        <v>1</v>
      </c>
      <c r="J83">
        <v>959</v>
      </c>
      <c r="K83">
        <v>4</v>
      </c>
      <c r="L83" s="17" t="s">
        <v>43</v>
      </c>
      <c r="M83">
        <v>37</v>
      </c>
      <c r="N83">
        <v>2</v>
      </c>
      <c r="O83">
        <v>1</v>
      </c>
      <c r="P83" t="s">
        <v>54</v>
      </c>
      <c r="Q83">
        <v>2</v>
      </c>
      <c r="R83" t="s">
        <v>38</v>
      </c>
      <c r="S83" s="6">
        <v>2121</v>
      </c>
      <c r="T83">
        <v>9947</v>
      </c>
      <c r="U83">
        <v>1</v>
      </c>
      <c r="V83" t="s">
        <v>39</v>
      </c>
      <c r="W83" t="s">
        <v>32</v>
      </c>
      <c r="X83">
        <v>13</v>
      </c>
      <c r="Y83">
        <v>3</v>
      </c>
      <c r="Z83">
        <v>2</v>
      </c>
      <c r="AA83">
        <v>80</v>
      </c>
      <c r="AB83">
        <v>0</v>
      </c>
      <c r="AC83">
        <v>1</v>
      </c>
      <c r="AD83">
        <v>3</v>
      </c>
      <c r="AE83">
        <v>4</v>
      </c>
      <c r="AF83">
        <v>1</v>
      </c>
      <c r="AG83">
        <v>0</v>
      </c>
      <c r="AH83">
        <v>0</v>
      </c>
      <c r="AI83">
        <v>0</v>
      </c>
    </row>
    <row r="84" spans="1:35" x14ac:dyDescent="0.3">
      <c r="A84">
        <v>24</v>
      </c>
      <c r="B84" t="s">
        <v>40</v>
      </c>
      <c r="C84" t="s">
        <v>33</v>
      </c>
      <c r="D84">
        <v>823</v>
      </c>
      <c r="E84" t="s">
        <v>42</v>
      </c>
      <c r="F84">
        <v>17</v>
      </c>
      <c r="G84">
        <v>2</v>
      </c>
      <c r="H84" t="s">
        <v>46</v>
      </c>
      <c r="I84">
        <v>1</v>
      </c>
      <c r="J84">
        <v>643</v>
      </c>
      <c r="K84">
        <v>4</v>
      </c>
      <c r="L84" s="17" t="s">
        <v>43</v>
      </c>
      <c r="M84">
        <v>94</v>
      </c>
      <c r="N84">
        <v>2</v>
      </c>
      <c r="O84">
        <v>1</v>
      </c>
      <c r="P84" t="s">
        <v>47</v>
      </c>
      <c r="Q84">
        <v>2</v>
      </c>
      <c r="R84" t="s">
        <v>45</v>
      </c>
      <c r="S84" s="6">
        <v>2127</v>
      </c>
      <c r="T84">
        <v>9100</v>
      </c>
      <c r="U84">
        <v>1</v>
      </c>
      <c r="V84" t="s">
        <v>39</v>
      </c>
      <c r="W84" t="s">
        <v>40</v>
      </c>
      <c r="X84">
        <v>21</v>
      </c>
      <c r="Y84">
        <v>4</v>
      </c>
      <c r="Z84">
        <v>4</v>
      </c>
      <c r="AA84">
        <v>80</v>
      </c>
      <c r="AB84">
        <v>1</v>
      </c>
      <c r="AC84">
        <v>1</v>
      </c>
      <c r="AD84">
        <v>2</v>
      </c>
      <c r="AE84">
        <v>3</v>
      </c>
      <c r="AF84">
        <v>1</v>
      </c>
      <c r="AG84">
        <v>0</v>
      </c>
      <c r="AH84">
        <v>0</v>
      </c>
      <c r="AI84">
        <v>0</v>
      </c>
    </row>
    <row r="85" spans="1:35" x14ac:dyDescent="0.3">
      <c r="A85">
        <v>41</v>
      </c>
      <c r="B85" t="s">
        <v>40</v>
      </c>
      <c r="C85" t="s">
        <v>33</v>
      </c>
      <c r="D85">
        <v>1283</v>
      </c>
      <c r="E85" t="s">
        <v>42</v>
      </c>
      <c r="F85">
        <v>5</v>
      </c>
      <c r="G85">
        <v>5</v>
      </c>
      <c r="H85" t="s">
        <v>48</v>
      </c>
      <c r="I85">
        <v>1</v>
      </c>
      <c r="J85">
        <v>1448</v>
      </c>
      <c r="K85">
        <v>2</v>
      </c>
      <c r="L85" s="17" t="s">
        <v>43</v>
      </c>
      <c r="M85">
        <v>90</v>
      </c>
      <c r="N85">
        <v>4</v>
      </c>
      <c r="O85">
        <v>1</v>
      </c>
      <c r="P85" t="s">
        <v>44</v>
      </c>
      <c r="Q85">
        <v>3</v>
      </c>
      <c r="R85" t="s">
        <v>45</v>
      </c>
      <c r="S85" s="6">
        <v>2127</v>
      </c>
      <c r="T85">
        <v>5561</v>
      </c>
      <c r="U85">
        <v>2</v>
      </c>
      <c r="V85" t="s">
        <v>39</v>
      </c>
      <c r="W85" t="s">
        <v>32</v>
      </c>
      <c r="X85">
        <v>12</v>
      </c>
      <c r="Y85">
        <v>3</v>
      </c>
      <c r="Z85">
        <v>1</v>
      </c>
      <c r="AA85">
        <v>80</v>
      </c>
      <c r="AB85">
        <v>0</v>
      </c>
      <c r="AC85">
        <v>7</v>
      </c>
      <c r="AD85">
        <v>5</v>
      </c>
      <c r="AE85">
        <v>2</v>
      </c>
      <c r="AF85">
        <v>4</v>
      </c>
      <c r="AG85">
        <v>2</v>
      </c>
      <c r="AH85">
        <v>0</v>
      </c>
      <c r="AI85">
        <v>3</v>
      </c>
    </row>
    <row r="86" spans="1:35" x14ac:dyDescent="0.3">
      <c r="A86">
        <v>30</v>
      </c>
      <c r="B86" t="s">
        <v>32</v>
      </c>
      <c r="C86" t="s">
        <v>33</v>
      </c>
      <c r="D86">
        <v>138</v>
      </c>
      <c r="E86" t="s">
        <v>42</v>
      </c>
      <c r="F86">
        <v>22</v>
      </c>
      <c r="G86">
        <v>3</v>
      </c>
      <c r="H86" t="s">
        <v>35</v>
      </c>
      <c r="I86">
        <v>1</v>
      </c>
      <c r="J86">
        <v>1004</v>
      </c>
      <c r="K86">
        <v>1</v>
      </c>
      <c r="L86" s="17" t="s">
        <v>36</v>
      </c>
      <c r="M86">
        <v>48</v>
      </c>
      <c r="N86">
        <v>3</v>
      </c>
      <c r="O86">
        <v>1</v>
      </c>
      <c r="P86" t="s">
        <v>44</v>
      </c>
      <c r="Q86">
        <v>3</v>
      </c>
      <c r="R86" t="s">
        <v>45</v>
      </c>
      <c r="S86" s="6">
        <v>2132</v>
      </c>
      <c r="T86">
        <v>11539</v>
      </c>
      <c r="U86">
        <v>4</v>
      </c>
      <c r="V86" t="s">
        <v>39</v>
      </c>
      <c r="W86" t="s">
        <v>32</v>
      </c>
      <c r="X86">
        <v>11</v>
      </c>
      <c r="Y86">
        <v>3</v>
      </c>
      <c r="Z86">
        <v>2</v>
      </c>
      <c r="AA86">
        <v>80</v>
      </c>
      <c r="AB86">
        <v>0</v>
      </c>
      <c r="AC86">
        <v>7</v>
      </c>
      <c r="AD86">
        <v>2</v>
      </c>
      <c r="AE86">
        <v>3</v>
      </c>
      <c r="AF86">
        <v>5</v>
      </c>
      <c r="AG86">
        <v>2</v>
      </c>
      <c r="AH86">
        <v>0</v>
      </c>
      <c r="AI86">
        <v>1</v>
      </c>
    </row>
    <row r="87" spans="1:35" x14ac:dyDescent="0.3">
      <c r="A87">
        <v>45</v>
      </c>
      <c r="B87" t="s">
        <v>40</v>
      </c>
      <c r="C87" t="s">
        <v>33</v>
      </c>
      <c r="D87">
        <v>950</v>
      </c>
      <c r="E87" t="s">
        <v>42</v>
      </c>
      <c r="F87">
        <v>28</v>
      </c>
      <c r="G87">
        <v>3</v>
      </c>
      <c r="H87" t="s">
        <v>57</v>
      </c>
      <c r="I87">
        <v>1</v>
      </c>
      <c r="J87">
        <v>1546</v>
      </c>
      <c r="K87">
        <v>4</v>
      </c>
      <c r="L87" s="17" t="s">
        <v>43</v>
      </c>
      <c r="M87">
        <v>97</v>
      </c>
      <c r="N87">
        <v>3</v>
      </c>
      <c r="O87">
        <v>1</v>
      </c>
      <c r="P87" t="s">
        <v>44</v>
      </c>
      <c r="Q87">
        <v>4</v>
      </c>
      <c r="R87" t="s">
        <v>45</v>
      </c>
      <c r="S87" s="6">
        <v>2132</v>
      </c>
      <c r="T87">
        <v>4585</v>
      </c>
      <c r="U87">
        <v>4</v>
      </c>
      <c r="V87" t="s">
        <v>39</v>
      </c>
      <c r="W87" t="s">
        <v>40</v>
      </c>
      <c r="X87">
        <v>20</v>
      </c>
      <c r="Y87">
        <v>4</v>
      </c>
      <c r="Z87">
        <v>4</v>
      </c>
      <c r="AA87">
        <v>80</v>
      </c>
      <c r="AB87">
        <v>1</v>
      </c>
      <c r="AC87">
        <v>8</v>
      </c>
      <c r="AD87">
        <v>3</v>
      </c>
      <c r="AE87">
        <v>3</v>
      </c>
      <c r="AF87">
        <v>5</v>
      </c>
      <c r="AG87">
        <v>4</v>
      </c>
      <c r="AH87">
        <v>0</v>
      </c>
      <c r="AI87">
        <v>3</v>
      </c>
    </row>
    <row r="88" spans="1:35" x14ac:dyDescent="0.3">
      <c r="A88">
        <v>38</v>
      </c>
      <c r="B88" t="s">
        <v>40</v>
      </c>
      <c r="C88" t="s">
        <v>41</v>
      </c>
      <c r="D88">
        <v>1394</v>
      </c>
      <c r="E88" t="s">
        <v>42</v>
      </c>
      <c r="F88">
        <v>8</v>
      </c>
      <c r="G88">
        <v>3</v>
      </c>
      <c r="H88" t="s">
        <v>48</v>
      </c>
      <c r="I88">
        <v>1</v>
      </c>
      <c r="J88">
        <v>1937</v>
      </c>
      <c r="K88">
        <v>4</v>
      </c>
      <c r="L88" s="17" t="s">
        <v>36</v>
      </c>
      <c r="M88">
        <v>58</v>
      </c>
      <c r="N88">
        <v>2</v>
      </c>
      <c r="O88">
        <v>2</v>
      </c>
      <c r="P88" t="s">
        <v>44</v>
      </c>
      <c r="Q88">
        <v>2</v>
      </c>
      <c r="R88" t="s">
        <v>49</v>
      </c>
      <c r="S88" s="6">
        <v>2133</v>
      </c>
      <c r="T88">
        <v>18115</v>
      </c>
      <c r="U88">
        <v>1</v>
      </c>
      <c r="V88" t="s">
        <v>39</v>
      </c>
      <c r="W88" t="s">
        <v>32</v>
      </c>
      <c r="X88">
        <v>16</v>
      </c>
      <c r="Y88">
        <v>3</v>
      </c>
      <c r="Z88">
        <v>3</v>
      </c>
      <c r="AA88">
        <v>80</v>
      </c>
      <c r="AB88">
        <v>1</v>
      </c>
      <c r="AC88">
        <v>20</v>
      </c>
      <c r="AD88">
        <v>3</v>
      </c>
      <c r="AE88">
        <v>3</v>
      </c>
      <c r="AF88">
        <v>20</v>
      </c>
      <c r="AG88">
        <v>11</v>
      </c>
      <c r="AH88">
        <v>0</v>
      </c>
      <c r="AI88">
        <v>7</v>
      </c>
    </row>
    <row r="89" spans="1:35" x14ac:dyDescent="0.3">
      <c r="A89">
        <v>30</v>
      </c>
      <c r="B89" t="s">
        <v>40</v>
      </c>
      <c r="C89" t="s">
        <v>33</v>
      </c>
      <c r="D89">
        <v>241</v>
      </c>
      <c r="E89" t="s">
        <v>42</v>
      </c>
      <c r="F89">
        <v>7</v>
      </c>
      <c r="G89">
        <v>3</v>
      </c>
      <c r="H89" t="s">
        <v>48</v>
      </c>
      <c r="I89">
        <v>1</v>
      </c>
      <c r="J89">
        <v>1609</v>
      </c>
      <c r="K89">
        <v>2</v>
      </c>
      <c r="L89" s="17" t="s">
        <v>43</v>
      </c>
      <c r="M89">
        <v>48</v>
      </c>
      <c r="N89">
        <v>2</v>
      </c>
      <c r="O89">
        <v>1</v>
      </c>
      <c r="P89" t="s">
        <v>44</v>
      </c>
      <c r="Q89">
        <v>2</v>
      </c>
      <c r="R89" t="s">
        <v>45</v>
      </c>
      <c r="S89" s="6">
        <v>2141</v>
      </c>
      <c r="T89">
        <v>5348</v>
      </c>
      <c r="U89">
        <v>1</v>
      </c>
      <c r="V89" t="s">
        <v>39</v>
      </c>
      <c r="W89" t="s">
        <v>40</v>
      </c>
      <c r="X89">
        <v>12</v>
      </c>
      <c r="Y89">
        <v>3</v>
      </c>
      <c r="Z89">
        <v>2</v>
      </c>
      <c r="AA89">
        <v>80</v>
      </c>
      <c r="AB89">
        <v>1</v>
      </c>
      <c r="AC89">
        <v>6</v>
      </c>
      <c r="AD89">
        <v>3</v>
      </c>
      <c r="AE89">
        <v>2</v>
      </c>
      <c r="AF89">
        <v>6</v>
      </c>
      <c r="AG89">
        <v>4</v>
      </c>
      <c r="AH89">
        <v>1</v>
      </c>
      <c r="AI89">
        <v>1</v>
      </c>
    </row>
    <row r="90" spans="1:35" x14ac:dyDescent="0.3">
      <c r="A90">
        <v>36</v>
      </c>
      <c r="B90" t="s">
        <v>40</v>
      </c>
      <c r="C90" t="s">
        <v>33</v>
      </c>
      <c r="D90">
        <v>1041</v>
      </c>
      <c r="E90" t="s">
        <v>58</v>
      </c>
      <c r="F90">
        <v>13</v>
      </c>
      <c r="G90">
        <v>3</v>
      </c>
      <c r="H90" t="s">
        <v>58</v>
      </c>
      <c r="I90">
        <v>1</v>
      </c>
      <c r="J90">
        <v>829</v>
      </c>
      <c r="K90">
        <v>3</v>
      </c>
      <c r="L90" s="17" t="s">
        <v>43</v>
      </c>
      <c r="M90">
        <v>36</v>
      </c>
      <c r="N90">
        <v>3</v>
      </c>
      <c r="O90">
        <v>1</v>
      </c>
      <c r="P90" t="s">
        <v>58</v>
      </c>
      <c r="Q90">
        <v>2</v>
      </c>
      <c r="R90" t="s">
        <v>45</v>
      </c>
      <c r="S90" s="6">
        <v>2143</v>
      </c>
      <c r="T90">
        <v>25527</v>
      </c>
      <c r="U90">
        <v>4</v>
      </c>
      <c r="V90" t="s">
        <v>39</v>
      </c>
      <c r="W90" t="s">
        <v>40</v>
      </c>
      <c r="X90">
        <v>13</v>
      </c>
      <c r="Y90">
        <v>3</v>
      </c>
      <c r="Z90">
        <v>2</v>
      </c>
      <c r="AA90">
        <v>80</v>
      </c>
      <c r="AB90">
        <v>1</v>
      </c>
      <c r="AC90">
        <v>8</v>
      </c>
      <c r="AD90">
        <v>2</v>
      </c>
      <c r="AE90">
        <v>3</v>
      </c>
      <c r="AF90">
        <v>5</v>
      </c>
      <c r="AG90">
        <v>2</v>
      </c>
      <c r="AH90">
        <v>0</v>
      </c>
      <c r="AI90">
        <v>4</v>
      </c>
    </row>
    <row r="91" spans="1:35" x14ac:dyDescent="0.3">
      <c r="A91">
        <v>28</v>
      </c>
      <c r="B91" t="s">
        <v>40</v>
      </c>
      <c r="C91" t="s">
        <v>52</v>
      </c>
      <c r="D91">
        <v>1103</v>
      </c>
      <c r="E91" t="s">
        <v>42</v>
      </c>
      <c r="F91">
        <v>16</v>
      </c>
      <c r="G91">
        <v>3</v>
      </c>
      <c r="H91" t="s">
        <v>48</v>
      </c>
      <c r="I91">
        <v>1</v>
      </c>
      <c r="J91">
        <v>1947</v>
      </c>
      <c r="K91">
        <v>3</v>
      </c>
      <c r="L91" s="17" t="s">
        <v>43</v>
      </c>
      <c r="M91">
        <v>49</v>
      </c>
      <c r="N91">
        <v>3</v>
      </c>
      <c r="O91">
        <v>1</v>
      </c>
      <c r="P91" t="s">
        <v>44</v>
      </c>
      <c r="Q91">
        <v>3</v>
      </c>
      <c r="R91" t="s">
        <v>38</v>
      </c>
      <c r="S91" s="6">
        <v>2144</v>
      </c>
      <c r="T91">
        <v>2122</v>
      </c>
      <c r="U91">
        <v>1</v>
      </c>
      <c r="V91" t="s">
        <v>39</v>
      </c>
      <c r="W91" t="s">
        <v>40</v>
      </c>
      <c r="X91">
        <v>14</v>
      </c>
      <c r="Y91">
        <v>3</v>
      </c>
      <c r="Z91">
        <v>3</v>
      </c>
      <c r="AA91">
        <v>80</v>
      </c>
      <c r="AB91">
        <v>0</v>
      </c>
      <c r="AC91">
        <v>5</v>
      </c>
      <c r="AD91">
        <v>3</v>
      </c>
      <c r="AE91">
        <v>2</v>
      </c>
      <c r="AF91">
        <v>5</v>
      </c>
      <c r="AG91">
        <v>3</v>
      </c>
      <c r="AH91">
        <v>1</v>
      </c>
      <c r="AI91">
        <v>4</v>
      </c>
    </row>
    <row r="92" spans="1:35" x14ac:dyDescent="0.3">
      <c r="A92">
        <v>24</v>
      </c>
      <c r="B92" t="s">
        <v>40</v>
      </c>
      <c r="C92" t="s">
        <v>41</v>
      </c>
      <c r="D92">
        <v>897</v>
      </c>
      <c r="E92" t="s">
        <v>58</v>
      </c>
      <c r="F92">
        <v>10</v>
      </c>
      <c r="G92">
        <v>3</v>
      </c>
      <c r="H92" t="s">
        <v>48</v>
      </c>
      <c r="I92">
        <v>1</v>
      </c>
      <c r="J92">
        <v>1746</v>
      </c>
      <c r="K92">
        <v>1</v>
      </c>
      <c r="L92" s="17" t="s">
        <v>43</v>
      </c>
      <c r="M92">
        <v>59</v>
      </c>
      <c r="N92">
        <v>3</v>
      </c>
      <c r="O92">
        <v>1</v>
      </c>
      <c r="P92" t="s">
        <v>58</v>
      </c>
      <c r="Q92">
        <v>4</v>
      </c>
      <c r="R92" t="s">
        <v>45</v>
      </c>
      <c r="S92" s="6">
        <v>2145</v>
      </c>
      <c r="T92">
        <v>2097</v>
      </c>
      <c r="U92">
        <v>0</v>
      </c>
      <c r="V92" t="s">
        <v>39</v>
      </c>
      <c r="W92" t="s">
        <v>40</v>
      </c>
      <c r="X92">
        <v>14</v>
      </c>
      <c r="Y92">
        <v>3</v>
      </c>
      <c r="Z92">
        <v>4</v>
      </c>
      <c r="AA92">
        <v>80</v>
      </c>
      <c r="AB92">
        <v>1</v>
      </c>
      <c r="AC92">
        <v>3</v>
      </c>
      <c r="AD92">
        <v>2</v>
      </c>
      <c r="AE92">
        <v>3</v>
      </c>
      <c r="AF92">
        <v>2</v>
      </c>
      <c r="AG92">
        <v>2</v>
      </c>
      <c r="AH92">
        <v>2</v>
      </c>
      <c r="AI92">
        <v>1</v>
      </c>
    </row>
    <row r="93" spans="1:35" x14ac:dyDescent="0.3">
      <c r="A93">
        <v>26</v>
      </c>
      <c r="B93" t="s">
        <v>32</v>
      </c>
      <c r="C93" t="s">
        <v>33</v>
      </c>
      <c r="D93">
        <v>920</v>
      </c>
      <c r="E93" t="s">
        <v>58</v>
      </c>
      <c r="F93">
        <v>20</v>
      </c>
      <c r="G93">
        <v>2</v>
      </c>
      <c r="H93" t="s">
        <v>48</v>
      </c>
      <c r="I93">
        <v>1</v>
      </c>
      <c r="J93">
        <v>1818</v>
      </c>
      <c r="K93">
        <v>4</v>
      </c>
      <c r="L93" s="17" t="s">
        <v>36</v>
      </c>
      <c r="M93">
        <v>69</v>
      </c>
      <c r="N93">
        <v>3</v>
      </c>
      <c r="O93">
        <v>1</v>
      </c>
      <c r="P93" t="s">
        <v>58</v>
      </c>
      <c r="Q93">
        <v>2</v>
      </c>
      <c r="R93" t="s">
        <v>45</v>
      </c>
      <c r="S93" s="6">
        <v>2148</v>
      </c>
      <c r="T93">
        <v>6889</v>
      </c>
      <c r="U93">
        <v>0</v>
      </c>
      <c r="V93" t="s">
        <v>39</v>
      </c>
      <c r="W93" t="s">
        <v>32</v>
      </c>
      <c r="X93">
        <v>11</v>
      </c>
      <c r="Y93">
        <v>3</v>
      </c>
      <c r="Z93">
        <v>3</v>
      </c>
      <c r="AA93">
        <v>80</v>
      </c>
      <c r="AB93">
        <v>0</v>
      </c>
      <c r="AC93">
        <v>6</v>
      </c>
      <c r="AD93">
        <v>3</v>
      </c>
      <c r="AE93">
        <v>3</v>
      </c>
      <c r="AF93">
        <v>5</v>
      </c>
      <c r="AG93">
        <v>1</v>
      </c>
      <c r="AH93">
        <v>1</v>
      </c>
      <c r="AI93">
        <v>4</v>
      </c>
    </row>
    <row r="94" spans="1:35" x14ac:dyDescent="0.3">
      <c r="A94">
        <v>36</v>
      </c>
      <c r="B94" t="s">
        <v>40</v>
      </c>
      <c r="C94" t="s">
        <v>41</v>
      </c>
      <c r="D94">
        <v>635</v>
      </c>
      <c r="E94" t="s">
        <v>42</v>
      </c>
      <c r="F94">
        <v>18</v>
      </c>
      <c r="G94">
        <v>1</v>
      </c>
      <c r="H94" t="s">
        <v>48</v>
      </c>
      <c r="I94">
        <v>1</v>
      </c>
      <c r="J94">
        <v>286</v>
      </c>
      <c r="K94">
        <v>2</v>
      </c>
      <c r="L94" s="17" t="s">
        <v>36</v>
      </c>
      <c r="M94">
        <v>73</v>
      </c>
      <c r="N94">
        <v>3</v>
      </c>
      <c r="O94">
        <v>1</v>
      </c>
      <c r="P94" t="s">
        <v>47</v>
      </c>
      <c r="Q94">
        <v>4</v>
      </c>
      <c r="R94" t="s">
        <v>38</v>
      </c>
      <c r="S94" s="6">
        <v>2153</v>
      </c>
      <c r="T94">
        <v>7703</v>
      </c>
      <c r="U94">
        <v>1</v>
      </c>
      <c r="V94" t="s">
        <v>39</v>
      </c>
      <c r="W94" t="s">
        <v>40</v>
      </c>
      <c r="X94">
        <v>13</v>
      </c>
      <c r="Y94">
        <v>3</v>
      </c>
      <c r="Z94">
        <v>1</v>
      </c>
      <c r="AA94">
        <v>80</v>
      </c>
      <c r="AB94">
        <v>0</v>
      </c>
      <c r="AC94">
        <v>8</v>
      </c>
      <c r="AD94">
        <v>2</v>
      </c>
      <c r="AE94">
        <v>3</v>
      </c>
      <c r="AF94">
        <v>8</v>
      </c>
      <c r="AG94">
        <v>1</v>
      </c>
      <c r="AH94">
        <v>1</v>
      </c>
      <c r="AI94">
        <v>7</v>
      </c>
    </row>
    <row r="95" spans="1:35" x14ac:dyDescent="0.3">
      <c r="A95">
        <v>28</v>
      </c>
      <c r="B95" t="s">
        <v>40</v>
      </c>
      <c r="C95" t="s">
        <v>41</v>
      </c>
      <c r="D95">
        <v>791</v>
      </c>
      <c r="E95" t="s">
        <v>42</v>
      </c>
      <c r="F95">
        <v>1</v>
      </c>
      <c r="G95">
        <v>4</v>
      </c>
      <c r="H95" t="s">
        <v>48</v>
      </c>
      <c r="I95">
        <v>1</v>
      </c>
      <c r="J95">
        <v>1286</v>
      </c>
      <c r="K95">
        <v>4</v>
      </c>
      <c r="L95" s="17" t="s">
        <v>43</v>
      </c>
      <c r="M95">
        <v>44</v>
      </c>
      <c r="N95">
        <v>3</v>
      </c>
      <c r="O95">
        <v>1</v>
      </c>
      <c r="P95" t="s">
        <v>47</v>
      </c>
      <c r="Q95">
        <v>3</v>
      </c>
      <c r="R95" t="s">
        <v>38</v>
      </c>
      <c r="S95" s="6">
        <v>2154</v>
      </c>
      <c r="T95">
        <v>6842</v>
      </c>
      <c r="U95">
        <v>0</v>
      </c>
      <c r="V95" t="s">
        <v>39</v>
      </c>
      <c r="W95" t="s">
        <v>32</v>
      </c>
      <c r="X95">
        <v>11</v>
      </c>
      <c r="Y95">
        <v>3</v>
      </c>
      <c r="Z95">
        <v>3</v>
      </c>
      <c r="AA95">
        <v>80</v>
      </c>
      <c r="AB95">
        <v>0</v>
      </c>
      <c r="AC95">
        <v>5</v>
      </c>
      <c r="AD95">
        <v>2</v>
      </c>
      <c r="AE95">
        <v>2</v>
      </c>
      <c r="AF95">
        <v>4</v>
      </c>
      <c r="AG95">
        <v>2</v>
      </c>
      <c r="AH95">
        <v>0</v>
      </c>
      <c r="AI95">
        <v>2</v>
      </c>
    </row>
    <row r="96" spans="1:35" x14ac:dyDescent="0.3">
      <c r="A96">
        <v>29</v>
      </c>
      <c r="B96" t="s">
        <v>40</v>
      </c>
      <c r="C96" t="s">
        <v>41</v>
      </c>
      <c r="D96">
        <v>1404</v>
      </c>
      <c r="E96" t="s">
        <v>34</v>
      </c>
      <c r="F96">
        <v>20</v>
      </c>
      <c r="G96">
        <v>3</v>
      </c>
      <c r="H96" t="s">
        <v>57</v>
      </c>
      <c r="I96">
        <v>1</v>
      </c>
      <c r="J96">
        <v>974</v>
      </c>
      <c r="K96">
        <v>3</v>
      </c>
      <c r="L96" s="17" t="s">
        <v>36</v>
      </c>
      <c r="M96">
        <v>84</v>
      </c>
      <c r="N96">
        <v>3</v>
      </c>
      <c r="O96">
        <v>1</v>
      </c>
      <c r="P96" t="s">
        <v>54</v>
      </c>
      <c r="Q96">
        <v>4</v>
      </c>
      <c r="R96" t="s">
        <v>45</v>
      </c>
      <c r="S96" s="6">
        <v>2157</v>
      </c>
      <c r="T96">
        <v>18203</v>
      </c>
      <c r="U96">
        <v>1</v>
      </c>
      <c r="V96" t="s">
        <v>39</v>
      </c>
      <c r="W96" t="s">
        <v>40</v>
      </c>
      <c r="X96">
        <v>15</v>
      </c>
      <c r="Y96">
        <v>3</v>
      </c>
      <c r="Z96">
        <v>2</v>
      </c>
      <c r="AA96">
        <v>80</v>
      </c>
      <c r="AB96">
        <v>1</v>
      </c>
      <c r="AC96">
        <v>3</v>
      </c>
      <c r="AD96">
        <v>5</v>
      </c>
      <c r="AE96">
        <v>3</v>
      </c>
      <c r="AF96">
        <v>3</v>
      </c>
      <c r="AG96">
        <v>1</v>
      </c>
      <c r="AH96">
        <v>0</v>
      </c>
      <c r="AI96">
        <v>2</v>
      </c>
    </row>
    <row r="97" spans="1:35" x14ac:dyDescent="0.3">
      <c r="A97">
        <v>40</v>
      </c>
      <c r="B97" t="s">
        <v>32</v>
      </c>
      <c r="C97" t="s">
        <v>33</v>
      </c>
      <c r="D97">
        <v>1329</v>
      </c>
      <c r="E97" t="s">
        <v>42</v>
      </c>
      <c r="F97">
        <v>7</v>
      </c>
      <c r="G97">
        <v>3</v>
      </c>
      <c r="H97" t="s">
        <v>35</v>
      </c>
      <c r="I97">
        <v>1</v>
      </c>
      <c r="J97">
        <v>1649</v>
      </c>
      <c r="K97">
        <v>1</v>
      </c>
      <c r="L97" s="17" t="s">
        <v>43</v>
      </c>
      <c r="M97">
        <v>73</v>
      </c>
      <c r="N97">
        <v>3</v>
      </c>
      <c r="O97">
        <v>1</v>
      </c>
      <c r="P97" t="s">
        <v>47</v>
      </c>
      <c r="Q97">
        <v>1</v>
      </c>
      <c r="R97" t="s">
        <v>38</v>
      </c>
      <c r="S97" s="6">
        <v>2166</v>
      </c>
      <c r="T97">
        <v>3339</v>
      </c>
      <c r="U97">
        <v>3</v>
      </c>
      <c r="V97" t="s">
        <v>39</v>
      </c>
      <c r="W97" t="s">
        <v>32</v>
      </c>
      <c r="X97">
        <v>14</v>
      </c>
      <c r="Y97">
        <v>3</v>
      </c>
      <c r="Z97">
        <v>2</v>
      </c>
      <c r="AA97">
        <v>80</v>
      </c>
      <c r="AB97">
        <v>0</v>
      </c>
      <c r="AC97">
        <v>10</v>
      </c>
      <c r="AD97">
        <v>3</v>
      </c>
      <c r="AE97">
        <v>1</v>
      </c>
      <c r="AF97">
        <v>4</v>
      </c>
      <c r="AG97">
        <v>2</v>
      </c>
      <c r="AH97">
        <v>0</v>
      </c>
      <c r="AI97">
        <v>3</v>
      </c>
    </row>
    <row r="98" spans="1:35" x14ac:dyDescent="0.3">
      <c r="A98">
        <v>29</v>
      </c>
      <c r="B98" t="s">
        <v>40</v>
      </c>
      <c r="C98" t="s">
        <v>33</v>
      </c>
      <c r="D98">
        <v>942</v>
      </c>
      <c r="E98" t="s">
        <v>42</v>
      </c>
      <c r="F98">
        <v>15</v>
      </c>
      <c r="G98">
        <v>1</v>
      </c>
      <c r="H98" t="s">
        <v>35</v>
      </c>
      <c r="I98">
        <v>1</v>
      </c>
      <c r="J98">
        <v>1202</v>
      </c>
      <c r="K98">
        <v>2</v>
      </c>
      <c r="L98" s="17" t="s">
        <v>36</v>
      </c>
      <c r="M98">
        <v>69</v>
      </c>
      <c r="N98">
        <v>1</v>
      </c>
      <c r="O98">
        <v>1</v>
      </c>
      <c r="P98" t="s">
        <v>44</v>
      </c>
      <c r="Q98">
        <v>4</v>
      </c>
      <c r="R98" t="s">
        <v>45</v>
      </c>
      <c r="S98" s="6">
        <v>2168</v>
      </c>
      <c r="T98">
        <v>26933</v>
      </c>
      <c r="U98">
        <v>0</v>
      </c>
      <c r="V98" t="s">
        <v>39</v>
      </c>
      <c r="W98" t="s">
        <v>32</v>
      </c>
      <c r="X98">
        <v>18</v>
      </c>
      <c r="Y98">
        <v>3</v>
      </c>
      <c r="Z98">
        <v>1</v>
      </c>
      <c r="AA98">
        <v>80</v>
      </c>
      <c r="AB98">
        <v>1</v>
      </c>
      <c r="AC98">
        <v>6</v>
      </c>
      <c r="AD98">
        <v>2</v>
      </c>
      <c r="AE98">
        <v>2</v>
      </c>
      <c r="AF98">
        <v>5</v>
      </c>
      <c r="AG98">
        <v>4</v>
      </c>
      <c r="AH98">
        <v>1</v>
      </c>
      <c r="AI98">
        <v>3</v>
      </c>
    </row>
    <row r="99" spans="1:35" x14ac:dyDescent="0.3">
      <c r="A99">
        <v>21</v>
      </c>
      <c r="B99" t="s">
        <v>32</v>
      </c>
      <c r="C99" t="s">
        <v>41</v>
      </c>
      <c r="D99">
        <v>756</v>
      </c>
      <c r="E99" t="s">
        <v>34</v>
      </c>
      <c r="F99">
        <v>1</v>
      </c>
      <c r="G99">
        <v>1</v>
      </c>
      <c r="H99" t="s">
        <v>57</v>
      </c>
      <c r="I99">
        <v>1</v>
      </c>
      <c r="J99">
        <v>478</v>
      </c>
      <c r="K99">
        <v>1</v>
      </c>
      <c r="L99" s="17" t="s">
        <v>36</v>
      </c>
      <c r="M99">
        <v>99</v>
      </c>
      <c r="N99">
        <v>2</v>
      </c>
      <c r="O99">
        <v>1</v>
      </c>
      <c r="P99" t="s">
        <v>54</v>
      </c>
      <c r="Q99">
        <v>2</v>
      </c>
      <c r="R99" t="s">
        <v>38</v>
      </c>
      <c r="S99" s="6">
        <v>2174</v>
      </c>
      <c r="T99">
        <v>9150</v>
      </c>
      <c r="U99">
        <v>1</v>
      </c>
      <c r="V99" t="s">
        <v>39</v>
      </c>
      <c r="W99" t="s">
        <v>32</v>
      </c>
      <c r="X99">
        <v>11</v>
      </c>
      <c r="Y99">
        <v>3</v>
      </c>
      <c r="Z99">
        <v>3</v>
      </c>
      <c r="AA99">
        <v>80</v>
      </c>
      <c r="AB99">
        <v>0</v>
      </c>
      <c r="AC99">
        <v>3</v>
      </c>
      <c r="AD99">
        <v>3</v>
      </c>
      <c r="AE99">
        <v>3</v>
      </c>
      <c r="AF99">
        <v>3</v>
      </c>
      <c r="AG99">
        <v>2</v>
      </c>
      <c r="AH99">
        <v>1</v>
      </c>
      <c r="AI99">
        <v>2</v>
      </c>
    </row>
    <row r="100" spans="1:35" x14ac:dyDescent="0.3">
      <c r="A100">
        <v>32</v>
      </c>
      <c r="B100" t="s">
        <v>40</v>
      </c>
      <c r="C100" t="s">
        <v>33</v>
      </c>
      <c r="D100">
        <v>128</v>
      </c>
      <c r="E100" t="s">
        <v>42</v>
      </c>
      <c r="F100">
        <v>2</v>
      </c>
      <c r="G100">
        <v>1</v>
      </c>
      <c r="H100" t="s">
        <v>57</v>
      </c>
      <c r="I100">
        <v>1</v>
      </c>
      <c r="J100">
        <v>362</v>
      </c>
      <c r="K100">
        <v>4</v>
      </c>
      <c r="L100" s="17" t="s">
        <v>43</v>
      </c>
      <c r="M100">
        <v>84</v>
      </c>
      <c r="N100">
        <v>2</v>
      </c>
      <c r="O100">
        <v>2</v>
      </c>
      <c r="P100" t="s">
        <v>47</v>
      </c>
      <c r="Q100">
        <v>1</v>
      </c>
      <c r="R100" t="s">
        <v>38</v>
      </c>
      <c r="S100" s="6">
        <v>2176</v>
      </c>
      <c r="T100">
        <v>19737</v>
      </c>
      <c r="U100">
        <v>4</v>
      </c>
      <c r="V100" t="s">
        <v>39</v>
      </c>
      <c r="W100" t="s">
        <v>40</v>
      </c>
      <c r="X100">
        <v>13</v>
      </c>
      <c r="Y100">
        <v>3</v>
      </c>
      <c r="Z100">
        <v>4</v>
      </c>
      <c r="AA100">
        <v>80</v>
      </c>
      <c r="AB100">
        <v>0</v>
      </c>
      <c r="AC100">
        <v>9</v>
      </c>
      <c r="AD100">
        <v>5</v>
      </c>
      <c r="AE100">
        <v>3</v>
      </c>
      <c r="AF100">
        <v>6</v>
      </c>
      <c r="AG100">
        <v>2</v>
      </c>
      <c r="AH100">
        <v>0</v>
      </c>
      <c r="AI100">
        <v>4</v>
      </c>
    </row>
    <row r="101" spans="1:35" x14ac:dyDescent="0.3">
      <c r="A101">
        <v>59</v>
      </c>
      <c r="B101" t="s">
        <v>40</v>
      </c>
      <c r="C101" t="s">
        <v>33</v>
      </c>
      <c r="D101">
        <v>142</v>
      </c>
      <c r="E101" t="s">
        <v>42</v>
      </c>
      <c r="F101">
        <v>3</v>
      </c>
      <c r="G101">
        <v>3</v>
      </c>
      <c r="H101" t="s">
        <v>35</v>
      </c>
      <c r="I101">
        <v>1</v>
      </c>
      <c r="J101">
        <v>309</v>
      </c>
      <c r="K101">
        <v>3</v>
      </c>
      <c r="L101" s="17" t="s">
        <v>43</v>
      </c>
      <c r="M101">
        <v>70</v>
      </c>
      <c r="N101">
        <v>2</v>
      </c>
      <c r="O101">
        <v>1</v>
      </c>
      <c r="P101" t="s">
        <v>44</v>
      </c>
      <c r="Q101">
        <v>4</v>
      </c>
      <c r="R101" t="s">
        <v>45</v>
      </c>
      <c r="S101" s="6">
        <v>2177</v>
      </c>
      <c r="T101">
        <v>8456</v>
      </c>
      <c r="U101">
        <v>3</v>
      </c>
      <c r="V101" t="s">
        <v>39</v>
      </c>
      <c r="W101" t="s">
        <v>40</v>
      </c>
      <c r="X101">
        <v>17</v>
      </c>
      <c r="Y101">
        <v>3</v>
      </c>
      <c r="Z101">
        <v>1</v>
      </c>
      <c r="AA101">
        <v>80</v>
      </c>
      <c r="AB101">
        <v>1</v>
      </c>
      <c r="AC101">
        <v>7</v>
      </c>
      <c r="AD101">
        <v>6</v>
      </c>
      <c r="AE101">
        <v>3</v>
      </c>
      <c r="AF101">
        <v>1</v>
      </c>
      <c r="AG101">
        <v>0</v>
      </c>
      <c r="AH101">
        <v>0</v>
      </c>
      <c r="AI101">
        <v>0</v>
      </c>
    </row>
    <row r="102" spans="1:35" x14ac:dyDescent="0.3">
      <c r="A102">
        <v>45</v>
      </c>
      <c r="B102" t="s">
        <v>40</v>
      </c>
      <c r="C102" t="s">
        <v>33</v>
      </c>
      <c r="D102">
        <v>788</v>
      </c>
      <c r="E102" t="s">
        <v>58</v>
      </c>
      <c r="F102">
        <v>24</v>
      </c>
      <c r="G102">
        <v>4</v>
      </c>
      <c r="H102" t="s">
        <v>48</v>
      </c>
      <c r="I102">
        <v>1</v>
      </c>
      <c r="J102">
        <v>1049</v>
      </c>
      <c r="K102">
        <v>2</v>
      </c>
      <c r="L102" s="17" t="s">
        <v>43</v>
      </c>
      <c r="M102">
        <v>36</v>
      </c>
      <c r="N102">
        <v>3</v>
      </c>
      <c r="O102">
        <v>1</v>
      </c>
      <c r="P102" t="s">
        <v>58</v>
      </c>
      <c r="Q102">
        <v>2</v>
      </c>
      <c r="R102" t="s">
        <v>38</v>
      </c>
      <c r="S102" s="6">
        <v>2177</v>
      </c>
      <c r="T102">
        <v>8318</v>
      </c>
      <c r="U102">
        <v>1</v>
      </c>
      <c r="V102" t="s">
        <v>39</v>
      </c>
      <c r="W102" t="s">
        <v>40</v>
      </c>
      <c r="X102">
        <v>16</v>
      </c>
      <c r="Y102">
        <v>3</v>
      </c>
      <c r="Z102">
        <v>1</v>
      </c>
      <c r="AA102">
        <v>80</v>
      </c>
      <c r="AB102">
        <v>0</v>
      </c>
      <c r="AC102">
        <v>6</v>
      </c>
      <c r="AD102">
        <v>3</v>
      </c>
      <c r="AE102">
        <v>3</v>
      </c>
      <c r="AF102">
        <v>6</v>
      </c>
      <c r="AG102">
        <v>3</v>
      </c>
      <c r="AH102">
        <v>0</v>
      </c>
      <c r="AI102">
        <v>4</v>
      </c>
    </row>
    <row r="103" spans="1:35" x14ac:dyDescent="0.3">
      <c r="A103">
        <v>30</v>
      </c>
      <c r="B103" t="s">
        <v>32</v>
      </c>
      <c r="C103" t="s">
        <v>41</v>
      </c>
      <c r="D103">
        <v>600</v>
      </c>
      <c r="E103" t="s">
        <v>58</v>
      </c>
      <c r="F103">
        <v>8</v>
      </c>
      <c r="G103">
        <v>3</v>
      </c>
      <c r="H103" t="s">
        <v>58</v>
      </c>
      <c r="I103">
        <v>1</v>
      </c>
      <c r="J103">
        <v>1747</v>
      </c>
      <c r="K103">
        <v>3</v>
      </c>
      <c r="L103" s="17" t="s">
        <v>36</v>
      </c>
      <c r="M103">
        <v>66</v>
      </c>
      <c r="N103">
        <v>2</v>
      </c>
      <c r="O103">
        <v>1</v>
      </c>
      <c r="P103" t="s">
        <v>58</v>
      </c>
      <c r="Q103">
        <v>4</v>
      </c>
      <c r="R103" t="s">
        <v>49</v>
      </c>
      <c r="S103" s="6">
        <v>2180</v>
      </c>
      <c r="T103">
        <v>9732</v>
      </c>
      <c r="U103">
        <v>6</v>
      </c>
      <c r="V103" t="s">
        <v>39</v>
      </c>
      <c r="W103" t="s">
        <v>40</v>
      </c>
      <c r="X103">
        <v>11</v>
      </c>
      <c r="Y103">
        <v>3</v>
      </c>
      <c r="Z103">
        <v>3</v>
      </c>
      <c r="AA103">
        <v>80</v>
      </c>
      <c r="AB103">
        <v>1</v>
      </c>
      <c r="AC103">
        <v>6</v>
      </c>
      <c r="AD103">
        <v>0</v>
      </c>
      <c r="AE103">
        <v>2</v>
      </c>
      <c r="AF103">
        <v>4</v>
      </c>
      <c r="AG103">
        <v>2</v>
      </c>
      <c r="AH103">
        <v>1</v>
      </c>
      <c r="AI103">
        <v>2</v>
      </c>
    </row>
    <row r="104" spans="1:35" x14ac:dyDescent="0.3">
      <c r="A104">
        <v>27</v>
      </c>
      <c r="B104" t="s">
        <v>40</v>
      </c>
      <c r="C104" t="s">
        <v>33</v>
      </c>
      <c r="D104">
        <v>798</v>
      </c>
      <c r="E104" t="s">
        <v>42</v>
      </c>
      <c r="F104">
        <v>6</v>
      </c>
      <c r="G104">
        <v>4</v>
      </c>
      <c r="H104" t="s">
        <v>48</v>
      </c>
      <c r="I104">
        <v>1</v>
      </c>
      <c r="J104">
        <v>655</v>
      </c>
      <c r="K104">
        <v>1</v>
      </c>
      <c r="L104" s="17" t="s">
        <v>36</v>
      </c>
      <c r="M104">
        <v>66</v>
      </c>
      <c r="N104">
        <v>2</v>
      </c>
      <c r="O104">
        <v>1</v>
      </c>
      <c r="P104" t="s">
        <v>44</v>
      </c>
      <c r="Q104">
        <v>3</v>
      </c>
      <c r="R104" t="s">
        <v>49</v>
      </c>
      <c r="S104" s="6">
        <v>2187</v>
      </c>
      <c r="T104">
        <v>5013</v>
      </c>
      <c r="U104">
        <v>0</v>
      </c>
      <c r="V104" t="s">
        <v>39</v>
      </c>
      <c r="W104" t="s">
        <v>40</v>
      </c>
      <c r="X104">
        <v>12</v>
      </c>
      <c r="Y104">
        <v>3</v>
      </c>
      <c r="Z104">
        <v>3</v>
      </c>
      <c r="AA104">
        <v>80</v>
      </c>
      <c r="AB104">
        <v>2</v>
      </c>
      <c r="AC104">
        <v>6</v>
      </c>
      <c r="AD104">
        <v>5</v>
      </c>
      <c r="AE104">
        <v>2</v>
      </c>
      <c r="AF104">
        <v>5</v>
      </c>
      <c r="AG104">
        <v>3</v>
      </c>
      <c r="AH104">
        <v>0</v>
      </c>
      <c r="AI104">
        <v>3</v>
      </c>
    </row>
    <row r="105" spans="1:35" x14ac:dyDescent="0.3">
      <c r="A105">
        <v>25</v>
      </c>
      <c r="B105" t="s">
        <v>40</v>
      </c>
      <c r="C105" t="s">
        <v>33</v>
      </c>
      <c r="D105">
        <v>309</v>
      </c>
      <c r="E105" t="s">
        <v>58</v>
      </c>
      <c r="F105">
        <v>2</v>
      </c>
      <c r="G105">
        <v>3</v>
      </c>
      <c r="H105" t="s">
        <v>58</v>
      </c>
      <c r="I105">
        <v>1</v>
      </c>
      <c r="J105">
        <v>1987</v>
      </c>
      <c r="K105">
        <v>3</v>
      </c>
      <c r="L105" s="17" t="s">
        <v>36</v>
      </c>
      <c r="M105">
        <v>82</v>
      </c>
      <c r="N105">
        <v>3</v>
      </c>
      <c r="O105">
        <v>1</v>
      </c>
      <c r="P105" t="s">
        <v>58</v>
      </c>
      <c r="Q105">
        <v>2</v>
      </c>
      <c r="R105" t="s">
        <v>45</v>
      </c>
      <c r="S105" s="6">
        <v>2187</v>
      </c>
      <c r="T105">
        <v>19655</v>
      </c>
      <c r="U105">
        <v>4</v>
      </c>
      <c r="V105" t="s">
        <v>39</v>
      </c>
      <c r="W105" t="s">
        <v>40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6</v>
      </c>
      <c r="AD105">
        <v>3</v>
      </c>
      <c r="AE105">
        <v>3</v>
      </c>
      <c r="AF105">
        <v>2</v>
      </c>
      <c r="AG105">
        <v>0</v>
      </c>
      <c r="AH105">
        <v>1</v>
      </c>
      <c r="AI105">
        <v>2</v>
      </c>
    </row>
    <row r="106" spans="1:35" x14ac:dyDescent="0.3">
      <c r="A106">
        <v>35</v>
      </c>
      <c r="B106" t="s">
        <v>40</v>
      </c>
      <c r="C106" t="s">
        <v>41</v>
      </c>
      <c r="D106">
        <v>664</v>
      </c>
      <c r="E106" t="s">
        <v>42</v>
      </c>
      <c r="F106">
        <v>1</v>
      </c>
      <c r="G106">
        <v>3</v>
      </c>
      <c r="H106" t="s">
        <v>48</v>
      </c>
      <c r="I106">
        <v>1</v>
      </c>
      <c r="J106">
        <v>88</v>
      </c>
      <c r="K106">
        <v>2</v>
      </c>
      <c r="L106" s="17" t="s">
        <v>43</v>
      </c>
      <c r="M106">
        <v>79</v>
      </c>
      <c r="N106">
        <v>3</v>
      </c>
      <c r="O106">
        <v>1</v>
      </c>
      <c r="P106" t="s">
        <v>44</v>
      </c>
      <c r="Q106">
        <v>1</v>
      </c>
      <c r="R106" t="s">
        <v>45</v>
      </c>
      <c r="S106" s="6">
        <v>2194</v>
      </c>
      <c r="T106">
        <v>5868</v>
      </c>
      <c r="U106">
        <v>4</v>
      </c>
      <c r="V106" t="s">
        <v>39</v>
      </c>
      <c r="W106" t="s">
        <v>40</v>
      </c>
      <c r="X106">
        <v>13</v>
      </c>
      <c r="Y106">
        <v>3</v>
      </c>
      <c r="Z106">
        <v>4</v>
      </c>
      <c r="AA106">
        <v>80</v>
      </c>
      <c r="AB106">
        <v>1</v>
      </c>
      <c r="AC106">
        <v>5</v>
      </c>
      <c r="AD106">
        <v>2</v>
      </c>
      <c r="AE106">
        <v>2</v>
      </c>
      <c r="AF106">
        <v>3</v>
      </c>
      <c r="AG106">
        <v>2</v>
      </c>
      <c r="AH106">
        <v>1</v>
      </c>
      <c r="AI106">
        <v>2</v>
      </c>
    </row>
    <row r="107" spans="1:35" x14ac:dyDescent="0.3">
      <c r="A107">
        <v>29</v>
      </c>
      <c r="B107" t="s">
        <v>40</v>
      </c>
      <c r="C107" t="s">
        <v>33</v>
      </c>
      <c r="D107">
        <v>1283</v>
      </c>
      <c r="E107" t="s">
        <v>42</v>
      </c>
      <c r="F107">
        <v>23</v>
      </c>
      <c r="G107">
        <v>3</v>
      </c>
      <c r="H107" t="s">
        <v>35</v>
      </c>
      <c r="I107">
        <v>1</v>
      </c>
      <c r="J107">
        <v>495</v>
      </c>
      <c r="K107">
        <v>4</v>
      </c>
      <c r="L107" s="17" t="s">
        <v>43</v>
      </c>
      <c r="M107">
        <v>54</v>
      </c>
      <c r="N107">
        <v>3</v>
      </c>
      <c r="O107">
        <v>1</v>
      </c>
      <c r="P107" t="s">
        <v>44</v>
      </c>
      <c r="Q107">
        <v>4</v>
      </c>
      <c r="R107" t="s">
        <v>38</v>
      </c>
      <c r="S107" s="6">
        <v>2201</v>
      </c>
      <c r="T107">
        <v>18168</v>
      </c>
      <c r="U107">
        <v>9</v>
      </c>
      <c r="V107" t="s">
        <v>39</v>
      </c>
      <c r="W107" t="s">
        <v>40</v>
      </c>
      <c r="X107">
        <v>16</v>
      </c>
      <c r="Y107">
        <v>3</v>
      </c>
      <c r="Z107">
        <v>4</v>
      </c>
      <c r="AA107">
        <v>80</v>
      </c>
      <c r="AB107">
        <v>0</v>
      </c>
      <c r="AC107">
        <v>6</v>
      </c>
      <c r="AD107">
        <v>4</v>
      </c>
      <c r="AE107">
        <v>3</v>
      </c>
      <c r="AF107">
        <v>3</v>
      </c>
      <c r="AG107">
        <v>2</v>
      </c>
      <c r="AH107">
        <v>1</v>
      </c>
      <c r="AI107">
        <v>2</v>
      </c>
    </row>
    <row r="108" spans="1:35" x14ac:dyDescent="0.3">
      <c r="A108">
        <v>30</v>
      </c>
      <c r="B108" t="s">
        <v>40</v>
      </c>
      <c r="C108" t="s">
        <v>33</v>
      </c>
      <c r="D108">
        <v>125</v>
      </c>
      <c r="E108" t="s">
        <v>42</v>
      </c>
      <c r="F108">
        <v>9</v>
      </c>
      <c r="G108">
        <v>2</v>
      </c>
      <c r="H108" t="s">
        <v>48</v>
      </c>
      <c r="I108">
        <v>1</v>
      </c>
      <c r="J108">
        <v>41</v>
      </c>
      <c r="K108">
        <v>4</v>
      </c>
      <c r="L108" s="17" t="s">
        <v>43</v>
      </c>
      <c r="M108">
        <v>83</v>
      </c>
      <c r="N108">
        <v>2</v>
      </c>
      <c r="O108">
        <v>1</v>
      </c>
      <c r="P108" t="s">
        <v>47</v>
      </c>
      <c r="Q108">
        <v>3</v>
      </c>
      <c r="R108" t="s">
        <v>38</v>
      </c>
      <c r="S108" s="6">
        <v>2206</v>
      </c>
      <c r="T108">
        <v>16117</v>
      </c>
      <c r="U108">
        <v>1</v>
      </c>
      <c r="V108" t="s">
        <v>39</v>
      </c>
      <c r="W108" t="s">
        <v>40</v>
      </c>
      <c r="X108">
        <v>13</v>
      </c>
      <c r="Y108">
        <v>3</v>
      </c>
      <c r="Z108">
        <v>1</v>
      </c>
      <c r="AA108">
        <v>80</v>
      </c>
      <c r="AB108">
        <v>0</v>
      </c>
      <c r="AC108">
        <v>10</v>
      </c>
      <c r="AD108">
        <v>5</v>
      </c>
      <c r="AE108">
        <v>3</v>
      </c>
      <c r="AF108">
        <v>10</v>
      </c>
      <c r="AG108">
        <v>0</v>
      </c>
      <c r="AH108">
        <v>1</v>
      </c>
      <c r="AI108">
        <v>8</v>
      </c>
    </row>
    <row r="109" spans="1:35" x14ac:dyDescent="0.3">
      <c r="A109">
        <v>28</v>
      </c>
      <c r="B109" t="s">
        <v>40</v>
      </c>
      <c r="C109" t="s">
        <v>33</v>
      </c>
      <c r="D109">
        <v>895</v>
      </c>
      <c r="E109" t="s">
        <v>42</v>
      </c>
      <c r="F109">
        <v>15</v>
      </c>
      <c r="G109">
        <v>2</v>
      </c>
      <c r="H109" t="s">
        <v>35</v>
      </c>
      <c r="I109">
        <v>1</v>
      </c>
      <c r="J109">
        <v>1102</v>
      </c>
      <c r="K109">
        <v>1</v>
      </c>
      <c r="L109" s="17" t="s">
        <v>43</v>
      </c>
      <c r="M109">
        <v>50</v>
      </c>
      <c r="N109">
        <v>3</v>
      </c>
      <c r="O109">
        <v>1</v>
      </c>
      <c r="P109" t="s">
        <v>47</v>
      </c>
      <c r="Q109">
        <v>3</v>
      </c>
      <c r="R109" t="s">
        <v>49</v>
      </c>
      <c r="S109" s="6">
        <v>2207</v>
      </c>
      <c r="T109">
        <v>22482</v>
      </c>
      <c r="U109">
        <v>1</v>
      </c>
      <c r="V109" t="s">
        <v>39</v>
      </c>
      <c r="W109" t="s">
        <v>40</v>
      </c>
      <c r="X109">
        <v>16</v>
      </c>
      <c r="Y109">
        <v>3</v>
      </c>
      <c r="Z109">
        <v>4</v>
      </c>
      <c r="AA109">
        <v>80</v>
      </c>
      <c r="AB109">
        <v>1</v>
      </c>
      <c r="AC109">
        <v>4</v>
      </c>
      <c r="AD109">
        <v>5</v>
      </c>
      <c r="AE109">
        <v>2</v>
      </c>
      <c r="AF109">
        <v>4</v>
      </c>
      <c r="AG109">
        <v>2</v>
      </c>
      <c r="AH109">
        <v>2</v>
      </c>
      <c r="AI109">
        <v>2</v>
      </c>
    </row>
    <row r="110" spans="1:35" x14ac:dyDescent="0.3">
      <c r="A110">
        <v>24</v>
      </c>
      <c r="B110" t="s">
        <v>32</v>
      </c>
      <c r="C110" t="s">
        <v>33</v>
      </c>
      <c r="D110">
        <v>984</v>
      </c>
      <c r="E110" t="s">
        <v>42</v>
      </c>
      <c r="F110">
        <v>17</v>
      </c>
      <c r="G110">
        <v>2</v>
      </c>
      <c r="H110" t="s">
        <v>35</v>
      </c>
      <c r="I110">
        <v>1</v>
      </c>
      <c r="J110">
        <v>1219</v>
      </c>
      <c r="K110">
        <v>4</v>
      </c>
      <c r="L110" s="17" t="s">
        <v>36</v>
      </c>
      <c r="M110">
        <v>97</v>
      </c>
      <c r="N110">
        <v>3</v>
      </c>
      <c r="O110">
        <v>1</v>
      </c>
      <c r="P110" t="s">
        <v>47</v>
      </c>
      <c r="Q110">
        <v>2</v>
      </c>
      <c r="R110" t="s">
        <v>45</v>
      </c>
      <c r="S110" s="6">
        <v>2210</v>
      </c>
      <c r="T110">
        <v>3372</v>
      </c>
      <c r="U110">
        <v>1</v>
      </c>
      <c r="V110" t="s">
        <v>39</v>
      </c>
      <c r="W110" t="s">
        <v>40</v>
      </c>
      <c r="X110">
        <v>13</v>
      </c>
      <c r="Y110">
        <v>3</v>
      </c>
      <c r="Z110">
        <v>1</v>
      </c>
      <c r="AA110">
        <v>80</v>
      </c>
      <c r="AB110">
        <v>1</v>
      </c>
      <c r="AC110">
        <v>1</v>
      </c>
      <c r="AD110">
        <v>3</v>
      </c>
      <c r="AE110">
        <v>1</v>
      </c>
      <c r="AF110">
        <v>1</v>
      </c>
      <c r="AG110">
        <v>0</v>
      </c>
      <c r="AH110">
        <v>0</v>
      </c>
      <c r="AI110">
        <v>0</v>
      </c>
    </row>
    <row r="111" spans="1:35" x14ac:dyDescent="0.3">
      <c r="A111">
        <v>40</v>
      </c>
      <c r="B111" t="s">
        <v>40</v>
      </c>
      <c r="C111" t="s">
        <v>33</v>
      </c>
      <c r="D111">
        <v>1171</v>
      </c>
      <c r="E111" t="s">
        <v>42</v>
      </c>
      <c r="F111">
        <v>10</v>
      </c>
      <c r="G111">
        <v>4</v>
      </c>
      <c r="H111" t="s">
        <v>35</v>
      </c>
      <c r="I111">
        <v>1</v>
      </c>
      <c r="J111">
        <v>483</v>
      </c>
      <c r="K111">
        <v>4</v>
      </c>
      <c r="L111" s="17" t="s">
        <v>36</v>
      </c>
      <c r="M111">
        <v>46</v>
      </c>
      <c r="N111">
        <v>4</v>
      </c>
      <c r="O111">
        <v>1</v>
      </c>
      <c r="P111" t="s">
        <v>47</v>
      </c>
      <c r="Q111">
        <v>3</v>
      </c>
      <c r="R111" t="s">
        <v>45</v>
      </c>
      <c r="S111" s="6">
        <v>2213</v>
      </c>
      <c r="T111">
        <v>22495</v>
      </c>
      <c r="U111">
        <v>3</v>
      </c>
      <c r="V111" t="s">
        <v>39</v>
      </c>
      <c r="W111" t="s">
        <v>32</v>
      </c>
      <c r="X111">
        <v>13</v>
      </c>
      <c r="Y111">
        <v>3</v>
      </c>
      <c r="Z111">
        <v>3</v>
      </c>
      <c r="AA111">
        <v>80</v>
      </c>
      <c r="AB111">
        <v>1</v>
      </c>
      <c r="AC111">
        <v>10</v>
      </c>
      <c r="AD111">
        <v>3</v>
      </c>
      <c r="AE111">
        <v>3</v>
      </c>
      <c r="AF111">
        <v>7</v>
      </c>
      <c r="AG111">
        <v>7</v>
      </c>
      <c r="AH111">
        <v>1</v>
      </c>
      <c r="AI111">
        <v>7</v>
      </c>
    </row>
    <row r="112" spans="1:35" x14ac:dyDescent="0.3">
      <c r="A112">
        <v>28</v>
      </c>
      <c r="B112" t="s">
        <v>32</v>
      </c>
      <c r="C112" t="s">
        <v>33</v>
      </c>
      <c r="D112">
        <v>654</v>
      </c>
      <c r="E112" t="s">
        <v>42</v>
      </c>
      <c r="F112">
        <v>1</v>
      </c>
      <c r="G112">
        <v>2</v>
      </c>
      <c r="H112" t="s">
        <v>35</v>
      </c>
      <c r="I112">
        <v>1</v>
      </c>
      <c r="J112">
        <v>741</v>
      </c>
      <c r="K112">
        <v>1</v>
      </c>
      <c r="L112" s="17" t="s">
        <v>36</v>
      </c>
      <c r="M112">
        <v>67</v>
      </c>
      <c r="N112">
        <v>1</v>
      </c>
      <c r="O112">
        <v>1</v>
      </c>
      <c r="P112" t="s">
        <v>44</v>
      </c>
      <c r="Q112">
        <v>2</v>
      </c>
      <c r="R112" t="s">
        <v>38</v>
      </c>
      <c r="S112" s="6">
        <v>2216</v>
      </c>
      <c r="T112">
        <v>3872</v>
      </c>
      <c r="U112">
        <v>7</v>
      </c>
      <c r="V112" t="s">
        <v>39</v>
      </c>
      <c r="W112" t="s">
        <v>32</v>
      </c>
      <c r="X112">
        <v>13</v>
      </c>
      <c r="Y112">
        <v>3</v>
      </c>
      <c r="Z112">
        <v>4</v>
      </c>
      <c r="AA112">
        <v>80</v>
      </c>
      <c r="AB112">
        <v>0</v>
      </c>
      <c r="AC112">
        <v>10</v>
      </c>
      <c r="AD112">
        <v>4</v>
      </c>
      <c r="AE112">
        <v>3</v>
      </c>
      <c r="AF112">
        <v>7</v>
      </c>
      <c r="AG112">
        <v>7</v>
      </c>
      <c r="AH112">
        <v>3</v>
      </c>
      <c r="AI112">
        <v>7</v>
      </c>
    </row>
    <row r="113" spans="1:35" x14ac:dyDescent="0.3">
      <c r="A113">
        <v>31</v>
      </c>
      <c r="B113" t="s">
        <v>40</v>
      </c>
      <c r="C113" t="s">
        <v>33</v>
      </c>
      <c r="D113">
        <v>329</v>
      </c>
      <c r="E113" t="s">
        <v>42</v>
      </c>
      <c r="F113">
        <v>1</v>
      </c>
      <c r="G113">
        <v>2</v>
      </c>
      <c r="H113" t="s">
        <v>35</v>
      </c>
      <c r="I113">
        <v>1</v>
      </c>
      <c r="J113">
        <v>530</v>
      </c>
      <c r="K113">
        <v>4</v>
      </c>
      <c r="L113" s="17" t="s">
        <v>43</v>
      </c>
      <c r="M113">
        <v>98</v>
      </c>
      <c r="N113">
        <v>2</v>
      </c>
      <c r="O113">
        <v>1</v>
      </c>
      <c r="P113" t="s">
        <v>47</v>
      </c>
      <c r="Q113">
        <v>1</v>
      </c>
      <c r="R113" t="s">
        <v>45</v>
      </c>
      <c r="S113" s="6">
        <v>2218</v>
      </c>
      <c r="T113">
        <v>16193</v>
      </c>
      <c r="U113">
        <v>1</v>
      </c>
      <c r="V113" t="s">
        <v>39</v>
      </c>
      <c r="W113" t="s">
        <v>40</v>
      </c>
      <c r="X113">
        <v>12</v>
      </c>
      <c r="Y113">
        <v>3</v>
      </c>
      <c r="Z113">
        <v>3</v>
      </c>
      <c r="AA113">
        <v>80</v>
      </c>
      <c r="AB113">
        <v>1</v>
      </c>
      <c r="AC113">
        <v>4</v>
      </c>
      <c r="AD113">
        <v>3</v>
      </c>
      <c r="AE113">
        <v>3</v>
      </c>
      <c r="AF113">
        <v>4</v>
      </c>
      <c r="AG113">
        <v>2</v>
      </c>
      <c r="AH113">
        <v>3</v>
      </c>
      <c r="AI113">
        <v>2</v>
      </c>
    </row>
    <row r="114" spans="1:35" x14ac:dyDescent="0.3">
      <c r="A114">
        <v>34</v>
      </c>
      <c r="B114" t="s">
        <v>40</v>
      </c>
      <c r="C114" t="s">
        <v>33</v>
      </c>
      <c r="D114">
        <v>1333</v>
      </c>
      <c r="E114" t="s">
        <v>34</v>
      </c>
      <c r="F114">
        <v>10</v>
      </c>
      <c r="G114">
        <v>4</v>
      </c>
      <c r="H114" t="s">
        <v>35</v>
      </c>
      <c r="I114">
        <v>1</v>
      </c>
      <c r="J114">
        <v>1055</v>
      </c>
      <c r="K114">
        <v>3</v>
      </c>
      <c r="L114" s="17" t="s">
        <v>36</v>
      </c>
      <c r="M114">
        <v>87</v>
      </c>
      <c r="N114">
        <v>3</v>
      </c>
      <c r="O114">
        <v>1</v>
      </c>
      <c r="P114" t="s">
        <v>54</v>
      </c>
      <c r="Q114">
        <v>3</v>
      </c>
      <c r="R114" t="s">
        <v>45</v>
      </c>
      <c r="S114" s="6">
        <v>2220</v>
      </c>
      <c r="T114">
        <v>18410</v>
      </c>
      <c r="U114">
        <v>1</v>
      </c>
      <c r="V114" t="s">
        <v>39</v>
      </c>
      <c r="W114" t="s">
        <v>32</v>
      </c>
      <c r="X114">
        <v>19</v>
      </c>
      <c r="Y114">
        <v>3</v>
      </c>
      <c r="Z114">
        <v>4</v>
      </c>
      <c r="AA114">
        <v>80</v>
      </c>
      <c r="AB114">
        <v>1</v>
      </c>
      <c r="AC114">
        <v>1</v>
      </c>
      <c r="AD114">
        <v>2</v>
      </c>
      <c r="AE114">
        <v>3</v>
      </c>
      <c r="AF114">
        <v>1</v>
      </c>
      <c r="AG114">
        <v>1</v>
      </c>
      <c r="AH114">
        <v>0</v>
      </c>
      <c r="AI114">
        <v>0</v>
      </c>
    </row>
    <row r="115" spans="1:35" x14ac:dyDescent="0.3">
      <c r="A115">
        <v>27</v>
      </c>
      <c r="B115" t="s">
        <v>40</v>
      </c>
      <c r="C115" t="s">
        <v>33</v>
      </c>
      <c r="D115">
        <v>1354</v>
      </c>
      <c r="E115" t="s">
        <v>42</v>
      </c>
      <c r="F115">
        <v>2</v>
      </c>
      <c r="G115">
        <v>4</v>
      </c>
      <c r="H115" t="s">
        <v>57</v>
      </c>
      <c r="I115">
        <v>1</v>
      </c>
      <c r="J115">
        <v>1931</v>
      </c>
      <c r="K115">
        <v>2</v>
      </c>
      <c r="L115" s="17" t="s">
        <v>43</v>
      </c>
      <c r="M115">
        <v>41</v>
      </c>
      <c r="N115">
        <v>3</v>
      </c>
      <c r="O115">
        <v>1</v>
      </c>
      <c r="P115" t="s">
        <v>44</v>
      </c>
      <c r="Q115">
        <v>2</v>
      </c>
      <c r="R115" t="s">
        <v>45</v>
      </c>
      <c r="S115" s="6">
        <v>2226</v>
      </c>
      <c r="T115">
        <v>6073</v>
      </c>
      <c r="U115">
        <v>1</v>
      </c>
      <c r="V115" t="s">
        <v>39</v>
      </c>
      <c r="W115" t="s">
        <v>40</v>
      </c>
      <c r="X115">
        <v>11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3</v>
      </c>
      <c r="AE115">
        <v>2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40</v>
      </c>
      <c r="C116" t="s">
        <v>41</v>
      </c>
      <c r="D116">
        <v>303</v>
      </c>
      <c r="E116" t="s">
        <v>34</v>
      </c>
      <c r="F116">
        <v>2</v>
      </c>
      <c r="G116">
        <v>4</v>
      </c>
      <c r="H116" t="s">
        <v>56</v>
      </c>
      <c r="I116">
        <v>1</v>
      </c>
      <c r="J116">
        <v>216</v>
      </c>
      <c r="K116">
        <v>3</v>
      </c>
      <c r="L116" s="17" t="s">
        <v>36</v>
      </c>
      <c r="M116">
        <v>75</v>
      </c>
      <c r="N116">
        <v>3</v>
      </c>
      <c r="O116">
        <v>1</v>
      </c>
      <c r="P116" t="s">
        <v>54</v>
      </c>
      <c r="Q116">
        <v>3</v>
      </c>
      <c r="R116" t="s">
        <v>45</v>
      </c>
      <c r="S116" s="6">
        <v>2231</v>
      </c>
      <c r="T116">
        <v>11314</v>
      </c>
      <c r="U116">
        <v>6</v>
      </c>
      <c r="V116" t="s">
        <v>39</v>
      </c>
      <c r="W116" t="s">
        <v>40</v>
      </c>
      <c r="X116">
        <v>18</v>
      </c>
      <c r="Y116">
        <v>3</v>
      </c>
      <c r="Z116">
        <v>4</v>
      </c>
      <c r="AA116">
        <v>80</v>
      </c>
      <c r="AB116">
        <v>1</v>
      </c>
      <c r="AC116">
        <v>6</v>
      </c>
      <c r="AD116">
        <v>3</v>
      </c>
      <c r="AE116">
        <v>3</v>
      </c>
      <c r="AF116">
        <v>4</v>
      </c>
      <c r="AG116">
        <v>3</v>
      </c>
      <c r="AH116">
        <v>1</v>
      </c>
      <c r="AI116">
        <v>2</v>
      </c>
    </row>
    <row r="117" spans="1:35" x14ac:dyDescent="0.3">
      <c r="A117">
        <v>39</v>
      </c>
      <c r="B117" t="s">
        <v>40</v>
      </c>
      <c r="C117" t="s">
        <v>33</v>
      </c>
      <c r="D117">
        <v>1431</v>
      </c>
      <c r="E117" t="s">
        <v>42</v>
      </c>
      <c r="F117">
        <v>1</v>
      </c>
      <c r="G117">
        <v>4</v>
      </c>
      <c r="H117" t="s">
        <v>48</v>
      </c>
      <c r="I117">
        <v>1</v>
      </c>
      <c r="J117">
        <v>332</v>
      </c>
      <c r="K117">
        <v>3</v>
      </c>
      <c r="L117" s="17" t="s">
        <v>36</v>
      </c>
      <c r="M117">
        <v>96</v>
      </c>
      <c r="N117">
        <v>3</v>
      </c>
      <c r="O117">
        <v>1</v>
      </c>
      <c r="P117" t="s">
        <v>47</v>
      </c>
      <c r="Q117">
        <v>3</v>
      </c>
      <c r="R117" t="s">
        <v>49</v>
      </c>
      <c r="S117" s="6">
        <v>2232</v>
      </c>
      <c r="T117">
        <v>15417</v>
      </c>
      <c r="U117">
        <v>7</v>
      </c>
      <c r="V117" t="s">
        <v>39</v>
      </c>
      <c r="W117" t="s">
        <v>40</v>
      </c>
      <c r="X117">
        <v>14</v>
      </c>
      <c r="Y117">
        <v>3</v>
      </c>
      <c r="Z117">
        <v>3</v>
      </c>
      <c r="AA117">
        <v>80</v>
      </c>
      <c r="AB117">
        <v>3</v>
      </c>
      <c r="AC117">
        <v>7</v>
      </c>
      <c r="AD117">
        <v>1</v>
      </c>
      <c r="AE117">
        <v>3</v>
      </c>
      <c r="AF117">
        <v>3</v>
      </c>
      <c r="AG117">
        <v>2</v>
      </c>
      <c r="AH117">
        <v>1</v>
      </c>
      <c r="AI117">
        <v>2</v>
      </c>
    </row>
    <row r="118" spans="1:35" x14ac:dyDescent="0.3">
      <c r="A118">
        <v>27</v>
      </c>
      <c r="B118" t="s">
        <v>40</v>
      </c>
      <c r="C118" t="s">
        <v>33</v>
      </c>
      <c r="D118">
        <v>1103</v>
      </c>
      <c r="E118" t="s">
        <v>42</v>
      </c>
      <c r="F118">
        <v>14</v>
      </c>
      <c r="G118">
        <v>3</v>
      </c>
      <c r="H118" t="s">
        <v>35</v>
      </c>
      <c r="I118">
        <v>1</v>
      </c>
      <c r="J118">
        <v>1244</v>
      </c>
      <c r="K118">
        <v>1</v>
      </c>
      <c r="L118" s="17" t="s">
        <v>43</v>
      </c>
      <c r="M118">
        <v>42</v>
      </c>
      <c r="N118">
        <v>3</v>
      </c>
      <c r="O118">
        <v>1</v>
      </c>
      <c r="P118" t="s">
        <v>44</v>
      </c>
      <c r="Q118">
        <v>1</v>
      </c>
      <c r="R118" t="s">
        <v>45</v>
      </c>
      <c r="S118" s="6">
        <v>2235</v>
      </c>
      <c r="T118">
        <v>14377</v>
      </c>
      <c r="U118">
        <v>1</v>
      </c>
      <c r="V118" t="s">
        <v>39</v>
      </c>
      <c r="W118" t="s">
        <v>32</v>
      </c>
      <c r="X118">
        <v>14</v>
      </c>
      <c r="Y118">
        <v>3</v>
      </c>
      <c r="Z118">
        <v>4</v>
      </c>
      <c r="AA118">
        <v>80</v>
      </c>
      <c r="AB118">
        <v>2</v>
      </c>
      <c r="AC118">
        <v>9</v>
      </c>
      <c r="AD118">
        <v>3</v>
      </c>
      <c r="AE118">
        <v>2</v>
      </c>
      <c r="AF118">
        <v>9</v>
      </c>
      <c r="AG118">
        <v>7</v>
      </c>
      <c r="AH118">
        <v>6</v>
      </c>
      <c r="AI118">
        <v>8</v>
      </c>
    </row>
    <row r="119" spans="1:35" x14ac:dyDescent="0.3">
      <c r="A119">
        <v>41</v>
      </c>
      <c r="B119" t="s">
        <v>40</v>
      </c>
      <c r="C119" t="s">
        <v>33</v>
      </c>
      <c r="D119">
        <v>933</v>
      </c>
      <c r="E119" t="s">
        <v>42</v>
      </c>
      <c r="F119">
        <v>9</v>
      </c>
      <c r="G119">
        <v>4</v>
      </c>
      <c r="H119" t="s">
        <v>35</v>
      </c>
      <c r="I119">
        <v>1</v>
      </c>
      <c r="J119">
        <v>200</v>
      </c>
      <c r="K119">
        <v>3</v>
      </c>
      <c r="L119" s="17" t="s">
        <v>43</v>
      </c>
      <c r="M119">
        <v>94</v>
      </c>
      <c r="N119">
        <v>3</v>
      </c>
      <c r="O119">
        <v>1</v>
      </c>
      <c r="P119" t="s">
        <v>47</v>
      </c>
      <c r="Q119">
        <v>1</v>
      </c>
      <c r="R119" t="s">
        <v>45</v>
      </c>
      <c r="S119" s="6">
        <v>2238</v>
      </c>
      <c r="T119">
        <v>6961</v>
      </c>
      <c r="U119">
        <v>2</v>
      </c>
      <c r="V119" t="s">
        <v>39</v>
      </c>
      <c r="W119" t="s">
        <v>40</v>
      </c>
      <c r="X119">
        <v>21</v>
      </c>
      <c r="Y119">
        <v>4</v>
      </c>
      <c r="Z119">
        <v>4</v>
      </c>
      <c r="AA119">
        <v>80</v>
      </c>
      <c r="AB119">
        <v>1</v>
      </c>
      <c r="AC119">
        <v>7</v>
      </c>
      <c r="AD119">
        <v>2</v>
      </c>
      <c r="AE119">
        <v>3</v>
      </c>
      <c r="AF119">
        <v>5</v>
      </c>
      <c r="AG119">
        <v>0</v>
      </c>
      <c r="AH119">
        <v>1</v>
      </c>
      <c r="AI119">
        <v>4</v>
      </c>
    </row>
    <row r="120" spans="1:35" x14ac:dyDescent="0.3">
      <c r="A120">
        <v>22</v>
      </c>
      <c r="B120" t="s">
        <v>40</v>
      </c>
      <c r="C120" t="s">
        <v>33</v>
      </c>
      <c r="D120">
        <v>253</v>
      </c>
      <c r="E120" t="s">
        <v>42</v>
      </c>
      <c r="F120">
        <v>11</v>
      </c>
      <c r="G120">
        <v>3</v>
      </c>
      <c r="H120" t="s">
        <v>48</v>
      </c>
      <c r="I120">
        <v>1</v>
      </c>
      <c r="J120">
        <v>511</v>
      </c>
      <c r="K120">
        <v>1</v>
      </c>
      <c r="L120" s="17" t="s">
        <v>36</v>
      </c>
      <c r="M120">
        <v>43</v>
      </c>
      <c r="N120">
        <v>3</v>
      </c>
      <c r="O120">
        <v>1</v>
      </c>
      <c r="P120" t="s">
        <v>44</v>
      </c>
      <c r="Q120">
        <v>2</v>
      </c>
      <c r="R120" t="s">
        <v>45</v>
      </c>
      <c r="S120" s="6">
        <v>2244</v>
      </c>
      <c r="T120">
        <v>24440</v>
      </c>
      <c r="U120">
        <v>1</v>
      </c>
      <c r="V120" t="s">
        <v>39</v>
      </c>
      <c r="W120" t="s">
        <v>40</v>
      </c>
      <c r="X120">
        <v>13</v>
      </c>
      <c r="Y120">
        <v>3</v>
      </c>
      <c r="Z120">
        <v>4</v>
      </c>
      <c r="AA120">
        <v>80</v>
      </c>
      <c r="AB120">
        <v>1</v>
      </c>
      <c r="AC120">
        <v>2</v>
      </c>
      <c r="AD120">
        <v>1</v>
      </c>
      <c r="AE120">
        <v>3</v>
      </c>
      <c r="AF120">
        <v>2</v>
      </c>
      <c r="AG120">
        <v>1</v>
      </c>
      <c r="AH120">
        <v>1</v>
      </c>
      <c r="AI120">
        <v>2</v>
      </c>
    </row>
    <row r="121" spans="1:35" x14ac:dyDescent="0.3">
      <c r="A121">
        <v>43</v>
      </c>
      <c r="B121" t="s">
        <v>40</v>
      </c>
      <c r="C121" t="s">
        <v>41</v>
      </c>
      <c r="D121">
        <v>313</v>
      </c>
      <c r="E121" t="s">
        <v>42</v>
      </c>
      <c r="F121">
        <v>21</v>
      </c>
      <c r="G121">
        <v>3</v>
      </c>
      <c r="H121" t="s">
        <v>48</v>
      </c>
      <c r="I121">
        <v>1</v>
      </c>
      <c r="J121">
        <v>525</v>
      </c>
      <c r="K121">
        <v>4</v>
      </c>
      <c r="L121" s="17" t="s">
        <v>43</v>
      </c>
      <c r="M121">
        <v>61</v>
      </c>
      <c r="N121">
        <v>3</v>
      </c>
      <c r="O121">
        <v>1</v>
      </c>
      <c r="P121" t="s">
        <v>47</v>
      </c>
      <c r="Q121">
        <v>4</v>
      </c>
      <c r="R121" t="s">
        <v>45</v>
      </c>
      <c r="S121" s="6">
        <v>2258</v>
      </c>
      <c r="T121">
        <v>15238</v>
      </c>
      <c r="U121">
        <v>7</v>
      </c>
      <c r="V121" t="s">
        <v>39</v>
      </c>
      <c r="W121" t="s">
        <v>40</v>
      </c>
      <c r="X121">
        <v>20</v>
      </c>
      <c r="Y121">
        <v>4</v>
      </c>
      <c r="Z121">
        <v>1</v>
      </c>
      <c r="AA121">
        <v>80</v>
      </c>
      <c r="AB121">
        <v>1</v>
      </c>
      <c r="AC121">
        <v>8</v>
      </c>
      <c r="AD121">
        <v>1</v>
      </c>
      <c r="AE121">
        <v>3</v>
      </c>
      <c r="AF121">
        <v>3</v>
      </c>
      <c r="AG121">
        <v>2</v>
      </c>
      <c r="AH121">
        <v>1</v>
      </c>
      <c r="AI121">
        <v>2</v>
      </c>
    </row>
    <row r="122" spans="1:35" x14ac:dyDescent="0.3">
      <c r="A122">
        <v>35</v>
      </c>
      <c r="B122" t="s">
        <v>40</v>
      </c>
      <c r="C122" t="s">
        <v>33</v>
      </c>
      <c r="D122">
        <v>982</v>
      </c>
      <c r="E122" t="s">
        <v>42</v>
      </c>
      <c r="F122">
        <v>1</v>
      </c>
      <c r="G122">
        <v>4</v>
      </c>
      <c r="H122" t="s">
        <v>48</v>
      </c>
      <c r="I122">
        <v>1</v>
      </c>
      <c r="J122">
        <v>1172</v>
      </c>
      <c r="K122">
        <v>4</v>
      </c>
      <c r="L122" s="17" t="s">
        <v>43</v>
      </c>
      <c r="M122">
        <v>58</v>
      </c>
      <c r="N122">
        <v>2</v>
      </c>
      <c r="O122">
        <v>1</v>
      </c>
      <c r="P122" t="s">
        <v>47</v>
      </c>
      <c r="Q122">
        <v>3</v>
      </c>
      <c r="R122" t="s">
        <v>45</v>
      </c>
      <c r="S122" s="6">
        <v>2258</v>
      </c>
      <c r="T122">
        <v>16340</v>
      </c>
      <c r="U122">
        <v>6</v>
      </c>
      <c r="V122" t="s">
        <v>39</v>
      </c>
      <c r="W122" t="s">
        <v>40</v>
      </c>
      <c r="X122">
        <v>12</v>
      </c>
      <c r="Y122">
        <v>3</v>
      </c>
      <c r="Z122">
        <v>2</v>
      </c>
      <c r="AA122">
        <v>80</v>
      </c>
      <c r="AB122">
        <v>1</v>
      </c>
      <c r="AC122">
        <v>10</v>
      </c>
      <c r="AD122">
        <v>2</v>
      </c>
      <c r="AE122">
        <v>3</v>
      </c>
      <c r="AF122">
        <v>8</v>
      </c>
      <c r="AG122">
        <v>0</v>
      </c>
      <c r="AH122">
        <v>1</v>
      </c>
      <c r="AI122">
        <v>7</v>
      </c>
    </row>
    <row r="123" spans="1:35" x14ac:dyDescent="0.3">
      <c r="A123">
        <v>48</v>
      </c>
      <c r="B123" t="s">
        <v>40</v>
      </c>
      <c r="C123" t="s">
        <v>33</v>
      </c>
      <c r="D123">
        <v>1469</v>
      </c>
      <c r="E123" t="s">
        <v>42</v>
      </c>
      <c r="F123">
        <v>20</v>
      </c>
      <c r="G123">
        <v>4</v>
      </c>
      <c r="H123" t="s">
        <v>48</v>
      </c>
      <c r="I123">
        <v>1</v>
      </c>
      <c r="J123">
        <v>945</v>
      </c>
      <c r="K123">
        <v>4</v>
      </c>
      <c r="L123" s="17" t="s">
        <v>43</v>
      </c>
      <c r="M123">
        <v>51</v>
      </c>
      <c r="N123">
        <v>3</v>
      </c>
      <c r="O123">
        <v>1</v>
      </c>
      <c r="P123" t="s">
        <v>44</v>
      </c>
      <c r="Q123">
        <v>3</v>
      </c>
      <c r="R123" t="s">
        <v>45</v>
      </c>
      <c r="S123" s="6">
        <v>2259</v>
      </c>
      <c r="T123">
        <v>5543</v>
      </c>
      <c r="U123">
        <v>4</v>
      </c>
      <c r="V123" t="s">
        <v>39</v>
      </c>
      <c r="W123" t="s">
        <v>40</v>
      </c>
      <c r="X123">
        <v>17</v>
      </c>
      <c r="Y123">
        <v>3</v>
      </c>
      <c r="Z123">
        <v>1</v>
      </c>
      <c r="AA123">
        <v>80</v>
      </c>
      <c r="AB123">
        <v>2</v>
      </c>
      <c r="AC123">
        <v>13</v>
      </c>
      <c r="AD123">
        <v>2</v>
      </c>
      <c r="AE123">
        <v>2</v>
      </c>
      <c r="AF123">
        <v>0</v>
      </c>
      <c r="AG123">
        <v>0</v>
      </c>
      <c r="AH123">
        <v>0</v>
      </c>
      <c r="AI123">
        <v>0</v>
      </c>
    </row>
    <row r="124" spans="1:35" x14ac:dyDescent="0.3">
      <c r="A124">
        <v>59</v>
      </c>
      <c r="B124" t="s">
        <v>40</v>
      </c>
      <c r="C124" t="s">
        <v>33</v>
      </c>
      <c r="D124">
        <v>818</v>
      </c>
      <c r="E124" t="s">
        <v>58</v>
      </c>
      <c r="F124">
        <v>6</v>
      </c>
      <c r="G124">
        <v>2</v>
      </c>
      <c r="H124" t="s">
        <v>48</v>
      </c>
      <c r="I124">
        <v>1</v>
      </c>
      <c r="J124">
        <v>321</v>
      </c>
      <c r="K124">
        <v>2</v>
      </c>
      <c r="L124" s="17" t="s">
        <v>43</v>
      </c>
      <c r="M124">
        <v>52</v>
      </c>
      <c r="N124">
        <v>3</v>
      </c>
      <c r="O124">
        <v>1</v>
      </c>
      <c r="P124" t="s">
        <v>58</v>
      </c>
      <c r="Q124">
        <v>3</v>
      </c>
      <c r="R124" t="s">
        <v>45</v>
      </c>
      <c r="S124" s="6">
        <v>2267</v>
      </c>
      <c r="T124">
        <v>25657</v>
      </c>
      <c r="U124">
        <v>8</v>
      </c>
      <c r="V124" t="s">
        <v>39</v>
      </c>
      <c r="W124" t="s">
        <v>40</v>
      </c>
      <c r="X124">
        <v>17</v>
      </c>
      <c r="Y124">
        <v>3</v>
      </c>
      <c r="Z124">
        <v>4</v>
      </c>
      <c r="AA124">
        <v>80</v>
      </c>
      <c r="AB124">
        <v>0</v>
      </c>
      <c r="AC124">
        <v>7</v>
      </c>
      <c r="AD124">
        <v>2</v>
      </c>
      <c r="AE124">
        <v>2</v>
      </c>
      <c r="AF124">
        <v>2</v>
      </c>
      <c r="AG124">
        <v>2</v>
      </c>
      <c r="AH124">
        <v>2</v>
      </c>
      <c r="AI124">
        <v>2</v>
      </c>
    </row>
    <row r="125" spans="1:35" x14ac:dyDescent="0.3">
      <c r="A125">
        <v>35</v>
      </c>
      <c r="B125" t="s">
        <v>40</v>
      </c>
      <c r="C125" t="s">
        <v>33</v>
      </c>
      <c r="D125">
        <v>1229</v>
      </c>
      <c r="E125" t="s">
        <v>42</v>
      </c>
      <c r="F125">
        <v>8</v>
      </c>
      <c r="G125">
        <v>1</v>
      </c>
      <c r="H125" t="s">
        <v>35</v>
      </c>
      <c r="I125">
        <v>1</v>
      </c>
      <c r="J125">
        <v>63</v>
      </c>
      <c r="K125">
        <v>4</v>
      </c>
      <c r="L125" s="17" t="s">
        <v>43</v>
      </c>
      <c r="M125">
        <v>36</v>
      </c>
      <c r="N125">
        <v>4</v>
      </c>
      <c r="O125">
        <v>1</v>
      </c>
      <c r="P125" t="s">
        <v>47</v>
      </c>
      <c r="Q125">
        <v>4</v>
      </c>
      <c r="R125" t="s">
        <v>45</v>
      </c>
      <c r="S125" s="6">
        <v>2269</v>
      </c>
      <c r="T125">
        <v>4892</v>
      </c>
      <c r="U125">
        <v>1</v>
      </c>
      <c r="V125" t="s">
        <v>39</v>
      </c>
      <c r="W125" t="s">
        <v>40</v>
      </c>
      <c r="X125">
        <v>19</v>
      </c>
      <c r="Y125">
        <v>3</v>
      </c>
      <c r="Z125">
        <v>4</v>
      </c>
      <c r="AA125">
        <v>80</v>
      </c>
      <c r="AB125">
        <v>0</v>
      </c>
      <c r="AC125">
        <v>1</v>
      </c>
      <c r="AD125">
        <v>2</v>
      </c>
      <c r="AE125">
        <v>3</v>
      </c>
      <c r="AF125">
        <v>1</v>
      </c>
      <c r="AG125">
        <v>0</v>
      </c>
      <c r="AH125">
        <v>0</v>
      </c>
      <c r="AI125">
        <v>1</v>
      </c>
    </row>
    <row r="126" spans="1:35" x14ac:dyDescent="0.3">
      <c r="A126">
        <v>32</v>
      </c>
      <c r="B126" t="s">
        <v>40</v>
      </c>
      <c r="C126" t="s">
        <v>33</v>
      </c>
      <c r="D126">
        <v>234</v>
      </c>
      <c r="E126" t="s">
        <v>34</v>
      </c>
      <c r="F126">
        <v>1</v>
      </c>
      <c r="G126">
        <v>4</v>
      </c>
      <c r="H126" t="s">
        <v>48</v>
      </c>
      <c r="I126">
        <v>1</v>
      </c>
      <c r="J126">
        <v>2013</v>
      </c>
      <c r="K126">
        <v>2</v>
      </c>
      <c r="L126" s="17" t="s">
        <v>43</v>
      </c>
      <c r="M126">
        <v>68</v>
      </c>
      <c r="N126">
        <v>2</v>
      </c>
      <c r="O126">
        <v>1</v>
      </c>
      <c r="P126" t="s">
        <v>54</v>
      </c>
      <c r="Q126">
        <v>2</v>
      </c>
      <c r="R126" t="s">
        <v>45</v>
      </c>
      <c r="S126" s="6">
        <v>2269</v>
      </c>
      <c r="T126">
        <v>18024</v>
      </c>
      <c r="U126">
        <v>0</v>
      </c>
      <c r="V126" t="s">
        <v>39</v>
      </c>
      <c r="W126" t="s">
        <v>40</v>
      </c>
      <c r="X126">
        <v>14</v>
      </c>
      <c r="Y126">
        <v>3</v>
      </c>
      <c r="Z126">
        <v>2</v>
      </c>
      <c r="AA126">
        <v>80</v>
      </c>
      <c r="AB126">
        <v>1</v>
      </c>
      <c r="AC126">
        <v>3</v>
      </c>
      <c r="AD126">
        <v>2</v>
      </c>
      <c r="AE126">
        <v>3</v>
      </c>
      <c r="AF126">
        <v>2</v>
      </c>
      <c r="AG126">
        <v>2</v>
      </c>
      <c r="AH126">
        <v>2</v>
      </c>
      <c r="AI126">
        <v>2</v>
      </c>
    </row>
    <row r="127" spans="1:35" x14ac:dyDescent="0.3">
      <c r="A127">
        <v>45</v>
      </c>
      <c r="B127" t="s">
        <v>40</v>
      </c>
      <c r="C127" t="s">
        <v>33</v>
      </c>
      <c r="D127">
        <v>974</v>
      </c>
      <c r="E127" t="s">
        <v>42</v>
      </c>
      <c r="F127">
        <v>1</v>
      </c>
      <c r="G127">
        <v>4</v>
      </c>
      <c r="H127" t="s">
        <v>48</v>
      </c>
      <c r="I127">
        <v>1</v>
      </c>
      <c r="J127">
        <v>996</v>
      </c>
      <c r="K127">
        <v>4</v>
      </c>
      <c r="L127" s="17" t="s">
        <v>36</v>
      </c>
      <c r="M127">
        <v>91</v>
      </c>
      <c r="N127">
        <v>3</v>
      </c>
      <c r="O127">
        <v>1</v>
      </c>
      <c r="P127" t="s">
        <v>47</v>
      </c>
      <c r="Q127">
        <v>4</v>
      </c>
      <c r="R127" t="s">
        <v>49</v>
      </c>
      <c r="S127" s="6">
        <v>2270</v>
      </c>
      <c r="T127">
        <v>11005</v>
      </c>
      <c r="U127">
        <v>3</v>
      </c>
      <c r="V127" t="s">
        <v>39</v>
      </c>
      <c r="W127" t="s">
        <v>40</v>
      </c>
      <c r="X127">
        <v>14</v>
      </c>
      <c r="Y127">
        <v>3</v>
      </c>
      <c r="Z127">
        <v>4</v>
      </c>
      <c r="AA127">
        <v>80</v>
      </c>
      <c r="AB127">
        <v>2</v>
      </c>
      <c r="AC127">
        <v>8</v>
      </c>
      <c r="AD127">
        <v>2</v>
      </c>
      <c r="AE127">
        <v>3</v>
      </c>
      <c r="AF127">
        <v>5</v>
      </c>
      <c r="AG127">
        <v>3</v>
      </c>
      <c r="AH127">
        <v>0</v>
      </c>
      <c r="AI127">
        <v>2</v>
      </c>
    </row>
    <row r="128" spans="1:35" x14ac:dyDescent="0.3">
      <c r="A128">
        <v>23</v>
      </c>
      <c r="B128" t="s">
        <v>40</v>
      </c>
      <c r="C128" t="s">
        <v>33</v>
      </c>
      <c r="D128">
        <v>507</v>
      </c>
      <c r="E128" t="s">
        <v>42</v>
      </c>
      <c r="F128">
        <v>20</v>
      </c>
      <c r="G128">
        <v>1</v>
      </c>
      <c r="H128" t="s">
        <v>35</v>
      </c>
      <c r="I128">
        <v>1</v>
      </c>
      <c r="J128">
        <v>1533</v>
      </c>
      <c r="K128">
        <v>1</v>
      </c>
      <c r="L128" s="17" t="s">
        <v>43</v>
      </c>
      <c r="M128">
        <v>97</v>
      </c>
      <c r="N128">
        <v>3</v>
      </c>
      <c r="O128">
        <v>2</v>
      </c>
      <c r="P128" t="s">
        <v>47</v>
      </c>
      <c r="Q128">
        <v>3</v>
      </c>
      <c r="R128" t="s">
        <v>38</v>
      </c>
      <c r="S128" s="6">
        <v>2272</v>
      </c>
      <c r="T128">
        <v>24812</v>
      </c>
      <c r="U128">
        <v>0</v>
      </c>
      <c r="V128" t="s">
        <v>39</v>
      </c>
      <c r="W128" t="s">
        <v>40</v>
      </c>
      <c r="X128">
        <v>14</v>
      </c>
      <c r="Y128">
        <v>3</v>
      </c>
      <c r="Z128">
        <v>2</v>
      </c>
      <c r="AA128">
        <v>80</v>
      </c>
      <c r="AB128">
        <v>0</v>
      </c>
      <c r="AC128">
        <v>5</v>
      </c>
      <c r="AD128">
        <v>2</v>
      </c>
      <c r="AE128">
        <v>3</v>
      </c>
      <c r="AF128">
        <v>4</v>
      </c>
      <c r="AG128">
        <v>3</v>
      </c>
      <c r="AH128">
        <v>1</v>
      </c>
      <c r="AI128">
        <v>2</v>
      </c>
    </row>
    <row r="129" spans="1:35" x14ac:dyDescent="0.3">
      <c r="A129">
        <v>45</v>
      </c>
      <c r="B129" t="s">
        <v>40</v>
      </c>
      <c r="C129" t="s">
        <v>33</v>
      </c>
      <c r="D129">
        <v>252</v>
      </c>
      <c r="E129" t="s">
        <v>42</v>
      </c>
      <c r="F129">
        <v>2</v>
      </c>
      <c r="G129">
        <v>3</v>
      </c>
      <c r="H129" t="s">
        <v>35</v>
      </c>
      <c r="I129">
        <v>1</v>
      </c>
      <c r="J129">
        <v>834</v>
      </c>
      <c r="K129">
        <v>2</v>
      </c>
      <c r="L129" s="17" t="s">
        <v>36</v>
      </c>
      <c r="M129">
        <v>95</v>
      </c>
      <c r="N129">
        <v>2</v>
      </c>
      <c r="O129">
        <v>1</v>
      </c>
      <c r="P129" t="s">
        <v>44</v>
      </c>
      <c r="Q129">
        <v>3</v>
      </c>
      <c r="R129" t="s">
        <v>38</v>
      </c>
      <c r="S129" s="6">
        <v>2274</v>
      </c>
      <c r="T129">
        <v>6153</v>
      </c>
      <c r="U129">
        <v>1</v>
      </c>
      <c r="V129" t="s">
        <v>39</v>
      </c>
      <c r="W129" t="s">
        <v>40</v>
      </c>
      <c r="X129">
        <v>14</v>
      </c>
      <c r="Y129">
        <v>3</v>
      </c>
      <c r="Z129">
        <v>4</v>
      </c>
      <c r="AA129">
        <v>80</v>
      </c>
      <c r="AB129">
        <v>0</v>
      </c>
      <c r="AC129">
        <v>1</v>
      </c>
      <c r="AD129">
        <v>3</v>
      </c>
      <c r="AE129">
        <v>3</v>
      </c>
      <c r="AF129">
        <v>1</v>
      </c>
      <c r="AG129">
        <v>0</v>
      </c>
      <c r="AH129">
        <v>0</v>
      </c>
      <c r="AI129">
        <v>0</v>
      </c>
    </row>
    <row r="130" spans="1:35" x14ac:dyDescent="0.3">
      <c r="A130">
        <v>23</v>
      </c>
      <c r="B130" t="s">
        <v>32</v>
      </c>
      <c r="C130" t="s">
        <v>33</v>
      </c>
      <c r="D130">
        <v>427</v>
      </c>
      <c r="E130" t="s">
        <v>34</v>
      </c>
      <c r="F130">
        <v>7</v>
      </c>
      <c r="G130">
        <v>3</v>
      </c>
      <c r="H130" t="s">
        <v>35</v>
      </c>
      <c r="I130">
        <v>1</v>
      </c>
      <c r="J130">
        <v>1702</v>
      </c>
      <c r="K130">
        <v>3</v>
      </c>
      <c r="L130" s="17" t="s">
        <v>43</v>
      </c>
      <c r="M130">
        <v>99</v>
      </c>
      <c r="N130">
        <v>3</v>
      </c>
      <c r="O130">
        <v>1</v>
      </c>
      <c r="P130" t="s">
        <v>54</v>
      </c>
      <c r="Q130">
        <v>4</v>
      </c>
      <c r="R130" t="s">
        <v>49</v>
      </c>
      <c r="S130" s="6">
        <v>2275</v>
      </c>
      <c r="T130">
        <v>25103</v>
      </c>
      <c r="U130">
        <v>1</v>
      </c>
      <c r="V130" t="s">
        <v>39</v>
      </c>
      <c r="W130" t="s">
        <v>32</v>
      </c>
      <c r="X130">
        <v>21</v>
      </c>
      <c r="Y130">
        <v>4</v>
      </c>
      <c r="Z130">
        <v>2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3</v>
      </c>
      <c r="AG130">
        <v>2</v>
      </c>
      <c r="AH130">
        <v>0</v>
      </c>
      <c r="AI130">
        <v>2</v>
      </c>
    </row>
    <row r="131" spans="1:35" x14ac:dyDescent="0.3">
      <c r="A131">
        <v>33</v>
      </c>
      <c r="B131" t="s">
        <v>40</v>
      </c>
      <c r="C131" t="s">
        <v>33</v>
      </c>
      <c r="D131">
        <v>1075</v>
      </c>
      <c r="E131" t="s">
        <v>58</v>
      </c>
      <c r="F131">
        <v>3</v>
      </c>
      <c r="G131">
        <v>2</v>
      </c>
      <c r="H131" t="s">
        <v>58</v>
      </c>
      <c r="I131">
        <v>1</v>
      </c>
      <c r="J131">
        <v>910</v>
      </c>
      <c r="K131">
        <v>4</v>
      </c>
      <c r="L131" s="17" t="s">
        <v>43</v>
      </c>
      <c r="M131">
        <v>57</v>
      </c>
      <c r="N131">
        <v>3</v>
      </c>
      <c r="O131">
        <v>1</v>
      </c>
      <c r="P131" t="s">
        <v>58</v>
      </c>
      <c r="Q131">
        <v>2</v>
      </c>
      <c r="R131" t="s">
        <v>49</v>
      </c>
      <c r="S131" s="6">
        <v>2277</v>
      </c>
      <c r="T131">
        <v>22650</v>
      </c>
      <c r="U131">
        <v>3</v>
      </c>
      <c r="V131" t="s">
        <v>39</v>
      </c>
      <c r="W131" t="s">
        <v>32</v>
      </c>
      <c r="X131">
        <v>11</v>
      </c>
      <c r="Y131">
        <v>3</v>
      </c>
      <c r="Z131">
        <v>3</v>
      </c>
      <c r="AA131">
        <v>80</v>
      </c>
      <c r="AB131">
        <v>1</v>
      </c>
      <c r="AC131">
        <v>7</v>
      </c>
      <c r="AD131">
        <v>4</v>
      </c>
      <c r="AE131">
        <v>4</v>
      </c>
      <c r="AF131">
        <v>4</v>
      </c>
      <c r="AG131">
        <v>3</v>
      </c>
      <c r="AH131">
        <v>0</v>
      </c>
      <c r="AI131">
        <v>3</v>
      </c>
    </row>
    <row r="132" spans="1:35" x14ac:dyDescent="0.3">
      <c r="A132">
        <v>27</v>
      </c>
      <c r="B132" t="s">
        <v>40</v>
      </c>
      <c r="C132" t="s">
        <v>33</v>
      </c>
      <c r="D132">
        <v>894</v>
      </c>
      <c r="E132" t="s">
        <v>42</v>
      </c>
      <c r="F132">
        <v>9</v>
      </c>
      <c r="G132">
        <v>3</v>
      </c>
      <c r="H132" t="s">
        <v>48</v>
      </c>
      <c r="I132">
        <v>1</v>
      </c>
      <c r="J132">
        <v>260</v>
      </c>
      <c r="K132">
        <v>4</v>
      </c>
      <c r="L132" s="17" t="s">
        <v>36</v>
      </c>
      <c r="M132">
        <v>99</v>
      </c>
      <c r="N132">
        <v>3</v>
      </c>
      <c r="O132">
        <v>1</v>
      </c>
      <c r="P132" t="s">
        <v>44</v>
      </c>
      <c r="Q132">
        <v>2</v>
      </c>
      <c r="R132" t="s">
        <v>38</v>
      </c>
      <c r="S132" s="6">
        <v>2279</v>
      </c>
      <c r="T132">
        <v>11781</v>
      </c>
      <c r="U132">
        <v>1</v>
      </c>
      <c r="V132" t="s">
        <v>39</v>
      </c>
      <c r="W132" t="s">
        <v>40</v>
      </c>
      <c r="X132">
        <v>16</v>
      </c>
      <c r="Y132">
        <v>3</v>
      </c>
      <c r="Z132">
        <v>4</v>
      </c>
      <c r="AA132">
        <v>80</v>
      </c>
      <c r="AB132">
        <v>0</v>
      </c>
      <c r="AC132">
        <v>7</v>
      </c>
      <c r="AD132">
        <v>2</v>
      </c>
      <c r="AE132">
        <v>2</v>
      </c>
      <c r="AF132">
        <v>7</v>
      </c>
      <c r="AG132">
        <v>7</v>
      </c>
      <c r="AH132">
        <v>0</v>
      </c>
      <c r="AI132">
        <v>3</v>
      </c>
    </row>
    <row r="133" spans="1:35" x14ac:dyDescent="0.3">
      <c r="A133">
        <v>30</v>
      </c>
      <c r="B133" t="s">
        <v>32</v>
      </c>
      <c r="C133" t="s">
        <v>41</v>
      </c>
      <c r="D133">
        <v>464</v>
      </c>
      <c r="E133" t="s">
        <v>42</v>
      </c>
      <c r="F133">
        <v>4</v>
      </c>
      <c r="G133">
        <v>3</v>
      </c>
      <c r="H133" t="s">
        <v>57</v>
      </c>
      <c r="I133">
        <v>1</v>
      </c>
      <c r="J133">
        <v>514</v>
      </c>
      <c r="K133">
        <v>3</v>
      </c>
      <c r="L133" s="17" t="s">
        <v>43</v>
      </c>
      <c r="M133">
        <v>40</v>
      </c>
      <c r="N133">
        <v>3</v>
      </c>
      <c r="O133">
        <v>1</v>
      </c>
      <c r="P133" t="s">
        <v>44</v>
      </c>
      <c r="Q133">
        <v>4</v>
      </c>
      <c r="R133" t="s">
        <v>38</v>
      </c>
      <c r="S133" s="6">
        <v>2285</v>
      </c>
      <c r="T133">
        <v>3427</v>
      </c>
      <c r="U133">
        <v>9</v>
      </c>
      <c r="V133" t="s">
        <v>39</v>
      </c>
      <c r="W133" t="s">
        <v>32</v>
      </c>
      <c r="X133">
        <v>23</v>
      </c>
      <c r="Y133">
        <v>4</v>
      </c>
      <c r="Z133">
        <v>3</v>
      </c>
      <c r="AA133">
        <v>80</v>
      </c>
      <c r="AB133">
        <v>0</v>
      </c>
      <c r="AC133">
        <v>3</v>
      </c>
      <c r="AD133">
        <v>4</v>
      </c>
      <c r="AE133">
        <v>3</v>
      </c>
      <c r="AF133">
        <v>1</v>
      </c>
      <c r="AG133">
        <v>0</v>
      </c>
      <c r="AH133">
        <v>0</v>
      </c>
      <c r="AI133">
        <v>0</v>
      </c>
    </row>
    <row r="134" spans="1:35" x14ac:dyDescent="0.3">
      <c r="A134">
        <v>38</v>
      </c>
      <c r="B134" t="s">
        <v>40</v>
      </c>
      <c r="C134" t="s">
        <v>33</v>
      </c>
      <c r="D134">
        <v>1380</v>
      </c>
      <c r="E134" t="s">
        <v>42</v>
      </c>
      <c r="F134">
        <v>9</v>
      </c>
      <c r="G134">
        <v>2</v>
      </c>
      <c r="H134" t="s">
        <v>35</v>
      </c>
      <c r="I134">
        <v>1</v>
      </c>
      <c r="J134">
        <v>245</v>
      </c>
      <c r="K134">
        <v>3</v>
      </c>
      <c r="L134" s="17" t="s">
        <v>36</v>
      </c>
      <c r="M134">
        <v>75</v>
      </c>
      <c r="N134">
        <v>3</v>
      </c>
      <c r="O134">
        <v>1</v>
      </c>
      <c r="P134" t="s">
        <v>47</v>
      </c>
      <c r="Q134">
        <v>4</v>
      </c>
      <c r="R134" t="s">
        <v>38</v>
      </c>
      <c r="S134" s="6">
        <v>2288</v>
      </c>
      <c r="T134">
        <v>6319</v>
      </c>
      <c r="U134">
        <v>1</v>
      </c>
      <c r="V134" t="s">
        <v>39</v>
      </c>
      <c r="W134" t="s">
        <v>40</v>
      </c>
      <c r="X134">
        <v>12</v>
      </c>
      <c r="Y134">
        <v>3</v>
      </c>
      <c r="Z134">
        <v>3</v>
      </c>
      <c r="AA134">
        <v>80</v>
      </c>
      <c r="AB134">
        <v>0</v>
      </c>
      <c r="AC134">
        <v>2</v>
      </c>
      <c r="AD134">
        <v>3</v>
      </c>
      <c r="AE134">
        <v>3</v>
      </c>
      <c r="AF134">
        <v>2</v>
      </c>
      <c r="AG134">
        <v>2</v>
      </c>
      <c r="AH134">
        <v>2</v>
      </c>
      <c r="AI134">
        <v>1</v>
      </c>
    </row>
    <row r="135" spans="1:35" x14ac:dyDescent="0.3">
      <c r="A135">
        <v>41</v>
      </c>
      <c r="B135" t="s">
        <v>40</v>
      </c>
      <c r="C135" t="s">
        <v>33</v>
      </c>
      <c r="D135">
        <v>548</v>
      </c>
      <c r="E135" t="s">
        <v>42</v>
      </c>
      <c r="F135">
        <v>9</v>
      </c>
      <c r="G135">
        <v>4</v>
      </c>
      <c r="H135" t="s">
        <v>35</v>
      </c>
      <c r="I135">
        <v>1</v>
      </c>
      <c r="J135">
        <v>1772</v>
      </c>
      <c r="K135">
        <v>3</v>
      </c>
      <c r="L135" s="17" t="s">
        <v>43</v>
      </c>
      <c r="M135">
        <v>94</v>
      </c>
      <c r="N135">
        <v>3</v>
      </c>
      <c r="O135">
        <v>1</v>
      </c>
      <c r="P135" t="s">
        <v>47</v>
      </c>
      <c r="Q135">
        <v>1</v>
      </c>
      <c r="R135" t="s">
        <v>49</v>
      </c>
      <c r="S135" s="6">
        <v>2289</v>
      </c>
      <c r="T135">
        <v>20520</v>
      </c>
      <c r="U135">
        <v>1</v>
      </c>
      <c r="V135" t="s">
        <v>39</v>
      </c>
      <c r="W135" t="s">
        <v>40</v>
      </c>
      <c r="X135">
        <v>20</v>
      </c>
      <c r="Y135">
        <v>4</v>
      </c>
      <c r="Z135">
        <v>2</v>
      </c>
      <c r="AA135">
        <v>80</v>
      </c>
      <c r="AB135">
        <v>2</v>
      </c>
      <c r="AC135">
        <v>5</v>
      </c>
      <c r="AD135">
        <v>2</v>
      </c>
      <c r="AE135">
        <v>3</v>
      </c>
      <c r="AF135">
        <v>5</v>
      </c>
      <c r="AG135">
        <v>3</v>
      </c>
      <c r="AH135">
        <v>0</v>
      </c>
      <c r="AI135">
        <v>4</v>
      </c>
    </row>
    <row r="136" spans="1:35" x14ac:dyDescent="0.3">
      <c r="A136">
        <v>44</v>
      </c>
      <c r="B136" t="s">
        <v>40</v>
      </c>
      <c r="C136" t="s">
        <v>52</v>
      </c>
      <c r="D136">
        <v>111</v>
      </c>
      <c r="E136" t="s">
        <v>42</v>
      </c>
      <c r="F136">
        <v>17</v>
      </c>
      <c r="G136">
        <v>3</v>
      </c>
      <c r="H136" t="s">
        <v>35</v>
      </c>
      <c r="I136">
        <v>1</v>
      </c>
      <c r="J136">
        <v>1206</v>
      </c>
      <c r="K136">
        <v>4</v>
      </c>
      <c r="L136" s="17" t="s">
        <v>43</v>
      </c>
      <c r="M136">
        <v>74</v>
      </c>
      <c r="N136">
        <v>1</v>
      </c>
      <c r="O136">
        <v>1</v>
      </c>
      <c r="P136" t="s">
        <v>44</v>
      </c>
      <c r="Q136">
        <v>3</v>
      </c>
      <c r="R136" t="s">
        <v>38</v>
      </c>
      <c r="S136" s="6">
        <v>2290</v>
      </c>
      <c r="T136">
        <v>4279</v>
      </c>
      <c r="U136">
        <v>2</v>
      </c>
      <c r="V136" t="s">
        <v>39</v>
      </c>
      <c r="W136" t="s">
        <v>40</v>
      </c>
      <c r="X136">
        <v>13</v>
      </c>
      <c r="Y136">
        <v>3</v>
      </c>
      <c r="Z136">
        <v>4</v>
      </c>
      <c r="AA136">
        <v>80</v>
      </c>
      <c r="AB136">
        <v>0</v>
      </c>
      <c r="AC136">
        <v>6</v>
      </c>
      <c r="AD136">
        <v>3</v>
      </c>
      <c r="AE136">
        <v>3</v>
      </c>
      <c r="AF136">
        <v>0</v>
      </c>
      <c r="AG136">
        <v>0</v>
      </c>
      <c r="AH136">
        <v>0</v>
      </c>
      <c r="AI136">
        <v>0</v>
      </c>
    </row>
    <row r="137" spans="1:35" x14ac:dyDescent="0.3">
      <c r="A137">
        <v>24</v>
      </c>
      <c r="B137" t="s">
        <v>32</v>
      </c>
      <c r="C137" t="s">
        <v>33</v>
      </c>
      <c r="D137">
        <v>813</v>
      </c>
      <c r="E137" t="s">
        <v>42</v>
      </c>
      <c r="F137">
        <v>1</v>
      </c>
      <c r="G137">
        <v>3</v>
      </c>
      <c r="H137" t="s">
        <v>48</v>
      </c>
      <c r="I137">
        <v>1</v>
      </c>
      <c r="J137">
        <v>45</v>
      </c>
      <c r="K137">
        <v>2</v>
      </c>
      <c r="L137" s="17" t="s">
        <v>43</v>
      </c>
      <c r="M137">
        <v>61</v>
      </c>
      <c r="N137">
        <v>3</v>
      </c>
      <c r="O137">
        <v>1</v>
      </c>
      <c r="P137" t="s">
        <v>44</v>
      </c>
      <c r="Q137">
        <v>4</v>
      </c>
      <c r="R137" t="s">
        <v>45</v>
      </c>
      <c r="S137" s="6">
        <v>2293</v>
      </c>
      <c r="T137">
        <v>3020</v>
      </c>
      <c r="U137">
        <v>2</v>
      </c>
      <c r="V137" t="s">
        <v>39</v>
      </c>
      <c r="W137" t="s">
        <v>32</v>
      </c>
      <c r="X137">
        <v>16</v>
      </c>
      <c r="Y137">
        <v>3</v>
      </c>
      <c r="Z137">
        <v>1</v>
      </c>
      <c r="AA137">
        <v>80</v>
      </c>
      <c r="AB137">
        <v>1</v>
      </c>
      <c r="AC137">
        <v>6</v>
      </c>
      <c r="AD137">
        <v>2</v>
      </c>
      <c r="AE137">
        <v>2</v>
      </c>
      <c r="AF137">
        <v>2</v>
      </c>
      <c r="AG137">
        <v>0</v>
      </c>
      <c r="AH137">
        <v>2</v>
      </c>
      <c r="AI137">
        <v>0</v>
      </c>
    </row>
    <row r="138" spans="1:35" x14ac:dyDescent="0.3">
      <c r="A138">
        <v>26</v>
      </c>
      <c r="B138" t="s">
        <v>32</v>
      </c>
      <c r="C138" t="s">
        <v>33</v>
      </c>
      <c r="D138">
        <v>1357</v>
      </c>
      <c r="E138" t="s">
        <v>42</v>
      </c>
      <c r="F138">
        <v>25</v>
      </c>
      <c r="G138">
        <v>3</v>
      </c>
      <c r="H138" t="s">
        <v>35</v>
      </c>
      <c r="I138">
        <v>1</v>
      </c>
      <c r="J138">
        <v>55</v>
      </c>
      <c r="K138">
        <v>1</v>
      </c>
      <c r="L138" s="17" t="s">
        <v>43</v>
      </c>
      <c r="M138">
        <v>48</v>
      </c>
      <c r="N138">
        <v>1</v>
      </c>
      <c r="O138">
        <v>1</v>
      </c>
      <c r="P138" t="s">
        <v>47</v>
      </c>
      <c r="Q138">
        <v>3</v>
      </c>
      <c r="R138" t="s">
        <v>38</v>
      </c>
      <c r="S138" s="6">
        <v>2293</v>
      </c>
      <c r="T138">
        <v>10558</v>
      </c>
      <c r="U138">
        <v>1</v>
      </c>
      <c r="V138" t="s">
        <v>39</v>
      </c>
      <c r="W138" t="s">
        <v>40</v>
      </c>
      <c r="X138">
        <v>12</v>
      </c>
      <c r="Y138">
        <v>3</v>
      </c>
      <c r="Z138">
        <v>3</v>
      </c>
      <c r="AA138">
        <v>80</v>
      </c>
      <c r="AB138">
        <v>0</v>
      </c>
      <c r="AC138">
        <v>1</v>
      </c>
      <c r="AD138">
        <v>2</v>
      </c>
      <c r="AE138">
        <v>2</v>
      </c>
      <c r="AF138">
        <v>1</v>
      </c>
      <c r="AG138">
        <v>0</v>
      </c>
      <c r="AH138">
        <v>0</v>
      </c>
      <c r="AI138">
        <v>1</v>
      </c>
    </row>
    <row r="139" spans="1:35" x14ac:dyDescent="0.3">
      <c r="A139">
        <v>24</v>
      </c>
      <c r="B139" t="s">
        <v>40</v>
      </c>
      <c r="C139" t="s">
        <v>33</v>
      </c>
      <c r="D139">
        <v>350</v>
      </c>
      <c r="E139" t="s">
        <v>42</v>
      </c>
      <c r="F139">
        <v>21</v>
      </c>
      <c r="G139">
        <v>2</v>
      </c>
      <c r="H139" t="s">
        <v>57</v>
      </c>
      <c r="I139">
        <v>1</v>
      </c>
      <c r="J139">
        <v>1551</v>
      </c>
      <c r="K139">
        <v>3</v>
      </c>
      <c r="L139" s="17" t="s">
        <v>43</v>
      </c>
      <c r="M139">
        <v>57</v>
      </c>
      <c r="N139">
        <v>2</v>
      </c>
      <c r="O139">
        <v>1</v>
      </c>
      <c r="P139" t="s">
        <v>47</v>
      </c>
      <c r="Q139">
        <v>1</v>
      </c>
      <c r="R139" t="s">
        <v>49</v>
      </c>
      <c r="S139" s="6">
        <v>2296</v>
      </c>
      <c r="T139">
        <v>10036</v>
      </c>
      <c r="U139">
        <v>0</v>
      </c>
      <c r="V139" t="s">
        <v>39</v>
      </c>
      <c r="W139" t="s">
        <v>40</v>
      </c>
      <c r="X139">
        <v>14</v>
      </c>
      <c r="Y139">
        <v>3</v>
      </c>
      <c r="Z139">
        <v>2</v>
      </c>
      <c r="AA139">
        <v>80</v>
      </c>
      <c r="AB139">
        <v>3</v>
      </c>
      <c r="AC139">
        <v>2</v>
      </c>
      <c r="AD139">
        <v>3</v>
      </c>
      <c r="AE139">
        <v>3</v>
      </c>
      <c r="AF139">
        <v>1</v>
      </c>
      <c r="AG139">
        <v>1</v>
      </c>
      <c r="AH139">
        <v>0</v>
      </c>
      <c r="AI139">
        <v>0</v>
      </c>
    </row>
    <row r="140" spans="1:35" x14ac:dyDescent="0.3">
      <c r="A140">
        <v>29</v>
      </c>
      <c r="B140" t="s">
        <v>40</v>
      </c>
      <c r="C140" t="s">
        <v>33</v>
      </c>
      <c r="D140">
        <v>1090</v>
      </c>
      <c r="E140" t="s">
        <v>34</v>
      </c>
      <c r="F140">
        <v>10</v>
      </c>
      <c r="G140">
        <v>3</v>
      </c>
      <c r="H140" t="s">
        <v>56</v>
      </c>
      <c r="I140">
        <v>1</v>
      </c>
      <c r="J140">
        <v>766</v>
      </c>
      <c r="K140">
        <v>4</v>
      </c>
      <c r="L140" s="17" t="s">
        <v>43</v>
      </c>
      <c r="M140">
        <v>83</v>
      </c>
      <c r="N140">
        <v>3</v>
      </c>
      <c r="O140">
        <v>1</v>
      </c>
      <c r="P140" t="s">
        <v>54</v>
      </c>
      <c r="Q140">
        <v>2</v>
      </c>
      <c r="R140" t="s">
        <v>49</v>
      </c>
      <c r="S140" s="6">
        <v>2297</v>
      </c>
      <c r="T140">
        <v>17967</v>
      </c>
      <c r="U140">
        <v>1</v>
      </c>
      <c r="V140" t="s">
        <v>39</v>
      </c>
      <c r="W140" t="s">
        <v>40</v>
      </c>
      <c r="X140">
        <v>14</v>
      </c>
      <c r="Y140">
        <v>3</v>
      </c>
      <c r="Z140">
        <v>4</v>
      </c>
      <c r="AA140">
        <v>80</v>
      </c>
      <c r="AB140">
        <v>2</v>
      </c>
      <c r="AC140">
        <v>2</v>
      </c>
      <c r="AD140">
        <v>2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31</v>
      </c>
      <c r="B141" t="s">
        <v>32</v>
      </c>
      <c r="C141" t="s">
        <v>41</v>
      </c>
      <c r="D141">
        <v>1060</v>
      </c>
      <c r="E141" t="s">
        <v>34</v>
      </c>
      <c r="F141">
        <v>1</v>
      </c>
      <c r="G141">
        <v>3</v>
      </c>
      <c r="H141" t="s">
        <v>35</v>
      </c>
      <c r="I141">
        <v>1</v>
      </c>
      <c r="J141">
        <v>1331</v>
      </c>
      <c r="K141">
        <v>4</v>
      </c>
      <c r="L141" s="17" t="s">
        <v>36</v>
      </c>
      <c r="M141">
        <v>54</v>
      </c>
      <c r="N141">
        <v>3</v>
      </c>
      <c r="O141">
        <v>1</v>
      </c>
      <c r="P141" t="s">
        <v>54</v>
      </c>
      <c r="Q141">
        <v>2</v>
      </c>
      <c r="R141" t="s">
        <v>38</v>
      </c>
      <c r="S141" s="6">
        <v>2302</v>
      </c>
      <c r="T141">
        <v>8319</v>
      </c>
      <c r="U141">
        <v>1</v>
      </c>
      <c r="V141" t="s">
        <v>39</v>
      </c>
      <c r="W141" t="s">
        <v>32</v>
      </c>
      <c r="X141">
        <v>11</v>
      </c>
      <c r="Y141">
        <v>3</v>
      </c>
      <c r="Z141">
        <v>1</v>
      </c>
      <c r="AA141">
        <v>80</v>
      </c>
      <c r="AB141">
        <v>0</v>
      </c>
      <c r="AC141">
        <v>3</v>
      </c>
      <c r="AD141">
        <v>2</v>
      </c>
      <c r="AE141">
        <v>4</v>
      </c>
      <c r="AF141">
        <v>3</v>
      </c>
      <c r="AG141">
        <v>2</v>
      </c>
      <c r="AH141">
        <v>2</v>
      </c>
      <c r="AI141">
        <v>2</v>
      </c>
    </row>
    <row r="142" spans="1:35" x14ac:dyDescent="0.3">
      <c r="A142">
        <v>26</v>
      </c>
      <c r="B142" t="s">
        <v>40</v>
      </c>
      <c r="C142" t="s">
        <v>33</v>
      </c>
      <c r="D142">
        <v>390</v>
      </c>
      <c r="E142" t="s">
        <v>42</v>
      </c>
      <c r="F142">
        <v>17</v>
      </c>
      <c r="G142">
        <v>4</v>
      </c>
      <c r="H142" t="s">
        <v>48</v>
      </c>
      <c r="I142">
        <v>1</v>
      </c>
      <c r="J142">
        <v>1718</v>
      </c>
      <c r="K142">
        <v>4</v>
      </c>
      <c r="L142" s="17" t="s">
        <v>43</v>
      </c>
      <c r="M142">
        <v>62</v>
      </c>
      <c r="N142">
        <v>1</v>
      </c>
      <c r="O142">
        <v>1</v>
      </c>
      <c r="P142" t="s">
        <v>47</v>
      </c>
      <c r="Q142">
        <v>3</v>
      </c>
      <c r="R142" t="s">
        <v>45</v>
      </c>
      <c r="S142" s="6">
        <v>2305</v>
      </c>
      <c r="T142">
        <v>6217</v>
      </c>
      <c r="U142">
        <v>1</v>
      </c>
      <c r="V142" t="s">
        <v>39</v>
      </c>
      <c r="W142" t="s">
        <v>40</v>
      </c>
      <c r="X142">
        <v>15</v>
      </c>
      <c r="Y142">
        <v>3</v>
      </c>
      <c r="Z142">
        <v>3</v>
      </c>
      <c r="AA142">
        <v>80</v>
      </c>
      <c r="AB142">
        <v>3</v>
      </c>
      <c r="AC142">
        <v>3</v>
      </c>
      <c r="AD142">
        <v>3</v>
      </c>
      <c r="AE142">
        <v>4</v>
      </c>
      <c r="AF142">
        <v>3</v>
      </c>
      <c r="AG142">
        <v>2</v>
      </c>
      <c r="AH142">
        <v>0</v>
      </c>
      <c r="AI142">
        <v>2</v>
      </c>
    </row>
    <row r="143" spans="1:35" x14ac:dyDescent="0.3">
      <c r="A143">
        <v>53</v>
      </c>
      <c r="B143" t="s">
        <v>40</v>
      </c>
      <c r="C143" t="s">
        <v>33</v>
      </c>
      <c r="D143">
        <v>1436</v>
      </c>
      <c r="E143" t="s">
        <v>34</v>
      </c>
      <c r="F143">
        <v>6</v>
      </c>
      <c r="G143">
        <v>2</v>
      </c>
      <c r="H143" t="s">
        <v>56</v>
      </c>
      <c r="I143">
        <v>1</v>
      </c>
      <c r="J143">
        <v>205</v>
      </c>
      <c r="K143">
        <v>2</v>
      </c>
      <c r="L143" s="17" t="s">
        <v>43</v>
      </c>
      <c r="M143">
        <v>34</v>
      </c>
      <c r="N143">
        <v>3</v>
      </c>
      <c r="O143">
        <v>2</v>
      </c>
      <c r="P143" t="s">
        <v>54</v>
      </c>
      <c r="Q143">
        <v>3</v>
      </c>
      <c r="R143" t="s">
        <v>45</v>
      </c>
      <c r="S143" s="6">
        <v>2306</v>
      </c>
      <c r="T143">
        <v>16047</v>
      </c>
      <c r="U143">
        <v>2</v>
      </c>
      <c r="V143" t="s">
        <v>39</v>
      </c>
      <c r="W143" t="s">
        <v>32</v>
      </c>
      <c r="X143">
        <v>20</v>
      </c>
      <c r="Y143">
        <v>4</v>
      </c>
      <c r="Z143">
        <v>4</v>
      </c>
      <c r="AA143">
        <v>80</v>
      </c>
      <c r="AB143">
        <v>1</v>
      </c>
      <c r="AC143">
        <v>13</v>
      </c>
      <c r="AD143">
        <v>3</v>
      </c>
      <c r="AE143">
        <v>1</v>
      </c>
      <c r="AF143">
        <v>7</v>
      </c>
      <c r="AG143">
        <v>7</v>
      </c>
      <c r="AH143">
        <v>4</v>
      </c>
      <c r="AI143">
        <v>5</v>
      </c>
    </row>
    <row r="144" spans="1:35" x14ac:dyDescent="0.3">
      <c r="A144">
        <v>34</v>
      </c>
      <c r="B144" t="s">
        <v>32</v>
      </c>
      <c r="C144" t="s">
        <v>52</v>
      </c>
      <c r="D144">
        <v>967</v>
      </c>
      <c r="E144" t="s">
        <v>42</v>
      </c>
      <c r="F144">
        <v>16</v>
      </c>
      <c r="G144">
        <v>4</v>
      </c>
      <c r="H144" t="s">
        <v>57</v>
      </c>
      <c r="I144">
        <v>1</v>
      </c>
      <c r="J144">
        <v>1905</v>
      </c>
      <c r="K144">
        <v>4</v>
      </c>
      <c r="L144" s="17" t="s">
        <v>43</v>
      </c>
      <c r="M144">
        <v>85</v>
      </c>
      <c r="N144">
        <v>1</v>
      </c>
      <c r="O144">
        <v>1</v>
      </c>
      <c r="P144" t="s">
        <v>44</v>
      </c>
      <c r="Q144">
        <v>1</v>
      </c>
      <c r="R144" t="s">
        <v>45</v>
      </c>
      <c r="S144" s="6">
        <v>2307</v>
      </c>
      <c r="T144">
        <v>14460</v>
      </c>
      <c r="U144">
        <v>1</v>
      </c>
      <c r="V144" t="s">
        <v>39</v>
      </c>
      <c r="W144" t="s">
        <v>32</v>
      </c>
      <c r="X144">
        <v>23</v>
      </c>
      <c r="Y144">
        <v>4</v>
      </c>
      <c r="Z144">
        <v>2</v>
      </c>
      <c r="AA144">
        <v>80</v>
      </c>
      <c r="AB144">
        <v>1</v>
      </c>
      <c r="AC144">
        <v>5</v>
      </c>
      <c r="AD144">
        <v>2</v>
      </c>
      <c r="AE144">
        <v>3</v>
      </c>
      <c r="AF144">
        <v>5</v>
      </c>
      <c r="AG144">
        <v>2</v>
      </c>
      <c r="AH144">
        <v>3</v>
      </c>
      <c r="AI144">
        <v>0</v>
      </c>
    </row>
    <row r="145" spans="1:35" x14ac:dyDescent="0.3">
      <c r="A145">
        <v>34</v>
      </c>
      <c r="B145" t="s">
        <v>40</v>
      </c>
      <c r="C145" t="s">
        <v>33</v>
      </c>
      <c r="D145">
        <v>1440</v>
      </c>
      <c r="E145" t="s">
        <v>34</v>
      </c>
      <c r="F145">
        <v>7</v>
      </c>
      <c r="G145">
        <v>2</v>
      </c>
      <c r="H145" t="s">
        <v>57</v>
      </c>
      <c r="I145">
        <v>1</v>
      </c>
      <c r="J145">
        <v>1541</v>
      </c>
      <c r="K145">
        <v>2</v>
      </c>
      <c r="L145" s="17" t="s">
        <v>43</v>
      </c>
      <c r="M145">
        <v>55</v>
      </c>
      <c r="N145">
        <v>3</v>
      </c>
      <c r="O145">
        <v>1</v>
      </c>
      <c r="P145" t="s">
        <v>54</v>
      </c>
      <c r="Q145">
        <v>3</v>
      </c>
      <c r="R145" t="s">
        <v>45</v>
      </c>
      <c r="S145" s="6">
        <v>2308</v>
      </c>
      <c r="T145">
        <v>4944</v>
      </c>
      <c r="U145">
        <v>0</v>
      </c>
      <c r="V145" t="s">
        <v>39</v>
      </c>
      <c r="W145" t="s">
        <v>32</v>
      </c>
      <c r="X145">
        <v>25</v>
      </c>
      <c r="Y145">
        <v>4</v>
      </c>
      <c r="Z145">
        <v>2</v>
      </c>
      <c r="AA145">
        <v>80</v>
      </c>
      <c r="AB145">
        <v>1</v>
      </c>
      <c r="AC145">
        <v>12</v>
      </c>
      <c r="AD145">
        <v>4</v>
      </c>
      <c r="AE145">
        <v>3</v>
      </c>
      <c r="AF145">
        <v>11</v>
      </c>
      <c r="AG145">
        <v>10</v>
      </c>
      <c r="AH145">
        <v>5</v>
      </c>
      <c r="AI145">
        <v>7</v>
      </c>
    </row>
    <row r="146" spans="1:35" x14ac:dyDescent="0.3">
      <c r="A146">
        <v>34</v>
      </c>
      <c r="B146" t="s">
        <v>40</v>
      </c>
      <c r="C146" t="s">
        <v>33</v>
      </c>
      <c r="D146">
        <v>629</v>
      </c>
      <c r="E146" t="s">
        <v>42</v>
      </c>
      <c r="F146">
        <v>27</v>
      </c>
      <c r="G146">
        <v>2</v>
      </c>
      <c r="H146" t="s">
        <v>48</v>
      </c>
      <c r="I146">
        <v>1</v>
      </c>
      <c r="J146">
        <v>247</v>
      </c>
      <c r="K146">
        <v>4</v>
      </c>
      <c r="L146" s="17" t="s">
        <v>36</v>
      </c>
      <c r="M146">
        <v>95</v>
      </c>
      <c r="N146">
        <v>3</v>
      </c>
      <c r="O146">
        <v>1</v>
      </c>
      <c r="P146" t="s">
        <v>44</v>
      </c>
      <c r="Q146">
        <v>2</v>
      </c>
      <c r="R146" t="s">
        <v>38</v>
      </c>
      <c r="S146" s="6">
        <v>2311</v>
      </c>
      <c r="T146">
        <v>5711</v>
      </c>
      <c r="U146">
        <v>2</v>
      </c>
      <c r="V146" t="s">
        <v>39</v>
      </c>
      <c r="W146" t="s">
        <v>40</v>
      </c>
      <c r="X146">
        <v>15</v>
      </c>
      <c r="Y146">
        <v>3</v>
      </c>
      <c r="Z146">
        <v>4</v>
      </c>
      <c r="AA146">
        <v>80</v>
      </c>
      <c r="AB146">
        <v>0</v>
      </c>
      <c r="AC146">
        <v>9</v>
      </c>
      <c r="AD146">
        <v>3</v>
      </c>
      <c r="AE146">
        <v>3</v>
      </c>
      <c r="AF146">
        <v>3</v>
      </c>
      <c r="AG146">
        <v>2</v>
      </c>
      <c r="AH146">
        <v>1</v>
      </c>
      <c r="AI146">
        <v>2</v>
      </c>
    </row>
    <row r="147" spans="1:35" x14ac:dyDescent="0.3">
      <c r="A147">
        <v>33</v>
      </c>
      <c r="B147" t="s">
        <v>32</v>
      </c>
      <c r="C147" t="s">
        <v>33</v>
      </c>
      <c r="D147">
        <v>1017</v>
      </c>
      <c r="E147" t="s">
        <v>42</v>
      </c>
      <c r="F147">
        <v>25</v>
      </c>
      <c r="G147">
        <v>3</v>
      </c>
      <c r="H147" t="s">
        <v>48</v>
      </c>
      <c r="I147">
        <v>1</v>
      </c>
      <c r="J147">
        <v>1108</v>
      </c>
      <c r="K147">
        <v>1</v>
      </c>
      <c r="L147" s="17" t="s">
        <v>43</v>
      </c>
      <c r="M147">
        <v>55</v>
      </c>
      <c r="N147">
        <v>2</v>
      </c>
      <c r="O147">
        <v>1</v>
      </c>
      <c r="P147" t="s">
        <v>44</v>
      </c>
      <c r="Q147">
        <v>2</v>
      </c>
      <c r="R147" t="s">
        <v>38</v>
      </c>
      <c r="S147" s="6">
        <v>2313</v>
      </c>
      <c r="T147">
        <v>2993</v>
      </c>
      <c r="U147">
        <v>4</v>
      </c>
      <c r="V147" t="s">
        <v>39</v>
      </c>
      <c r="W147" t="s">
        <v>32</v>
      </c>
      <c r="X147">
        <v>20</v>
      </c>
      <c r="Y147">
        <v>4</v>
      </c>
      <c r="Z147">
        <v>2</v>
      </c>
      <c r="AA147">
        <v>80</v>
      </c>
      <c r="AB147">
        <v>0</v>
      </c>
      <c r="AC147">
        <v>5</v>
      </c>
      <c r="AD147">
        <v>0</v>
      </c>
      <c r="AE147">
        <v>3</v>
      </c>
      <c r="AF147">
        <v>2</v>
      </c>
      <c r="AG147">
        <v>2</v>
      </c>
      <c r="AH147">
        <v>2</v>
      </c>
      <c r="AI147">
        <v>2</v>
      </c>
    </row>
    <row r="148" spans="1:35" x14ac:dyDescent="0.3">
      <c r="A148">
        <v>32</v>
      </c>
      <c r="B148" t="s">
        <v>40</v>
      </c>
      <c r="C148" t="s">
        <v>52</v>
      </c>
      <c r="D148">
        <v>300</v>
      </c>
      <c r="E148" t="s">
        <v>42</v>
      </c>
      <c r="F148">
        <v>1</v>
      </c>
      <c r="G148">
        <v>3</v>
      </c>
      <c r="H148" t="s">
        <v>35</v>
      </c>
      <c r="I148">
        <v>1</v>
      </c>
      <c r="J148">
        <v>882</v>
      </c>
      <c r="K148">
        <v>4</v>
      </c>
      <c r="L148" s="17" t="s">
        <v>43</v>
      </c>
      <c r="M148">
        <v>61</v>
      </c>
      <c r="N148">
        <v>3</v>
      </c>
      <c r="O148">
        <v>1</v>
      </c>
      <c r="P148" t="s">
        <v>47</v>
      </c>
      <c r="Q148">
        <v>4</v>
      </c>
      <c r="R148" t="s">
        <v>49</v>
      </c>
      <c r="S148" s="6">
        <v>2314</v>
      </c>
      <c r="T148">
        <v>9148</v>
      </c>
      <c r="U148">
        <v>0</v>
      </c>
      <c r="V148" t="s">
        <v>39</v>
      </c>
      <c r="W148" t="s">
        <v>40</v>
      </c>
      <c r="X148">
        <v>12</v>
      </c>
      <c r="Y148">
        <v>3</v>
      </c>
      <c r="Z148">
        <v>2</v>
      </c>
      <c r="AA148">
        <v>80</v>
      </c>
      <c r="AB148">
        <v>1</v>
      </c>
      <c r="AC148">
        <v>4</v>
      </c>
      <c r="AD148">
        <v>2</v>
      </c>
      <c r="AE148">
        <v>3</v>
      </c>
      <c r="AF148">
        <v>3</v>
      </c>
      <c r="AG148">
        <v>0</v>
      </c>
      <c r="AH148">
        <v>0</v>
      </c>
      <c r="AI148">
        <v>2</v>
      </c>
    </row>
    <row r="149" spans="1:35" x14ac:dyDescent="0.3">
      <c r="A149">
        <v>27</v>
      </c>
      <c r="B149" t="s">
        <v>40</v>
      </c>
      <c r="C149" t="s">
        <v>33</v>
      </c>
      <c r="D149">
        <v>618</v>
      </c>
      <c r="E149" t="s">
        <v>42</v>
      </c>
      <c r="F149">
        <v>4</v>
      </c>
      <c r="G149">
        <v>3</v>
      </c>
      <c r="H149" t="s">
        <v>35</v>
      </c>
      <c r="I149">
        <v>1</v>
      </c>
      <c r="J149">
        <v>933</v>
      </c>
      <c r="K149">
        <v>2</v>
      </c>
      <c r="L149" s="17" t="s">
        <v>36</v>
      </c>
      <c r="M149">
        <v>76</v>
      </c>
      <c r="N149">
        <v>3</v>
      </c>
      <c r="O149">
        <v>1</v>
      </c>
      <c r="P149" t="s">
        <v>44</v>
      </c>
      <c r="Q149">
        <v>3</v>
      </c>
      <c r="R149" t="s">
        <v>38</v>
      </c>
      <c r="S149" s="6">
        <v>2318</v>
      </c>
      <c r="T149">
        <v>17808</v>
      </c>
      <c r="U149">
        <v>1</v>
      </c>
      <c r="V149" t="s">
        <v>39</v>
      </c>
      <c r="W149" t="s">
        <v>40</v>
      </c>
      <c r="X149">
        <v>19</v>
      </c>
      <c r="Y149">
        <v>3</v>
      </c>
      <c r="Z149">
        <v>3</v>
      </c>
      <c r="AA149">
        <v>80</v>
      </c>
      <c r="AB149">
        <v>0</v>
      </c>
      <c r="AC149">
        <v>1</v>
      </c>
      <c r="AD149">
        <v>2</v>
      </c>
      <c r="AE149">
        <v>3</v>
      </c>
      <c r="AF149">
        <v>1</v>
      </c>
      <c r="AG149">
        <v>1</v>
      </c>
      <c r="AH149">
        <v>0</v>
      </c>
      <c r="AI149">
        <v>0</v>
      </c>
    </row>
    <row r="150" spans="1:35" x14ac:dyDescent="0.3">
      <c r="A150">
        <v>29</v>
      </c>
      <c r="B150" t="s">
        <v>32</v>
      </c>
      <c r="C150" t="s">
        <v>33</v>
      </c>
      <c r="D150">
        <v>805</v>
      </c>
      <c r="E150" t="s">
        <v>42</v>
      </c>
      <c r="F150">
        <v>1</v>
      </c>
      <c r="G150">
        <v>2</v>
      </c>
      <c r="H150" t="s">
        <v>35</v>
      </c>
      <c r="I150">
        <v>1</v>
      </c>
      <c r="J150">
        <v>816</v>
      </c>
      <c r="K150">
        <v>2</v>
      </c>
      <c r="L150" s="17" t="s">
        <v>36</v>
      </c>
      <c r="M150">
        <v>36</v>
      </c>
      <c r="N150">
        <v>2</v>
      </c>
      <c r="O150">
        <v>1</v>
      </c>
      <c r="P150" t="s">
        <v>47</v>
      </c>
      <c r="Q150">
        <v>1</v>
      </c>
      <c r="R150" t="s">
        <v>45</v>
      </c>
      <c r="S150" s="6">
        <v>2319</v>
      </c>
      <c r="T150">
        <v>6689</v>
      </c>
      <c r="U150">
        <v>1</v>
      </c>
      <c r="V150" t="s">
        <v>39</v>
      </c>
      <c r="W150" t="s">
        <v>32</v>
      </c>
      <c r="X150">
        <v>11</v>
      </c>
      <c r="Y150">
        <v>3</v>
      </c>
      <c r="Z150">
        <v>4</v>
      </c>
      <c r="AA150">
        <v>80</v>
      </c>
      <c r="AB150">
        <v>1</v>
      </c>
      <c r="AC150">
        <v>1</v>
      </c>
      <c r="AD150">
        <v>1</v>
      </c>
      <c r="AE150">
        <v>3</v>
      </c>
      <c r="AF150">
        <v>1</v>
      </c>
      <c r="AG150">
        <v>0</v>
      </c>
      <c r="AH150">
        <v>0</v>
      </c>
      <c r="AI150">
        <v>0</v>
      </c>
    </row>
    <row r="151" spans="1:35" x14ac:dyDescent="0.3">
      <c r="A151">
        <v>31</v>
      </c>
      <c r="B151" t="s">
        <v>32</v>
      </c>
      <c r="C151" t="s">
        <v>52</v>
      </c>
      <c r="D151">
        <v>335</v>
      </c>
      <c r="E151" t="s">
        <v>42</v>
      </c>
      <c r="F151">
        <v>9</v>
      </c>
      <c r="G151">
        <v>2</v>
      </c>
      <c r="H151" t="s">
        <v>48</v>
      </c>
      <c r="I151">
        <v>1</v>
      </c>
      <c r="J151">
        <v>991</v>
      </c>
      <c r="K151">
        <v>3</v>
      </c>
      <c r="L151" s="17" t="s">
        <v>43</v>
      </c>
      <c r="M151">
        <v>46</v>
      </c>
      <c r="N151">
        <v>2</v>
      </c>
      <c r="O151">
        <v>1</v>
      </c>
      <c r="P151" t="s">
        <v>44</v>
      </c>
      <c r="Q151">
        <v>1</v>
      </c>
      <c r="R151" t="s">
        <v>38</v>
      </c>
      <c r="S151" s="6">
        <v>2321</v>
      </c>
      <c r="T151">
        <v>10322</v>
      </c>
      <c r="U151">
        <v>0</v>
      </c>
      <c r="V151" t="s">
        <v>39</v>
      </c>
      <c r="W151" t="s">
        <v>32</v>
      </c>
      <c r="X151">
        <v>22</v>
      </c>
      <c r="Y151">
        <v>4</v>
      </c>
      <c r="Z151">
        <v>1</v>
      </c>
      <c r="AA151">
        <v>80</v>
      </c>
      <c r="AB151">
        <v>0</v>
      </c>
      <c r="AC151">
        <v>4</v>
      </c>
      <c r="AD151">
        <v>0</v>
      </c>
      <c r="AE151">
        <v>3</v>
      </c>
      <c r="AF151">
        <v>3</v>
      </c>
      <c r="AG151">
        <v>2</v>
      </c>
      <c r="AH151">
        <v>1</v>
      </c>
      <c r="AI151">
        <v>2</v>
      </c>
    </row>
    <row r="152" spans="1:35" x14ac:dyDescent="0.3">
      <c r="A152">
        <v>23</v>
      </c>
      <c r="B152" t="s">
        <v>40</v>
      </c>
      <c r="C152" t="s">
        <v>33</v>
      </c>
      <c r="D152">
        <v>541</v>
      </c>
      <c r="E152" t="s">
        <v>34</v>
      </c>
      <c r="F152">
        <v>2</v>
      </c>
      <c r="G152">
        <v>1</v>
      </c>
      <c r="H152" t="s">
        <v>57</v>
      </c>
      <c r="I152">
        <v>1</v>
      </c>
      <c r="J152">
        <v>113</v>
      </c>
      <c r="K152">
        <v>3</v>
      </c>
      <c r="L152" s="17" t="s">
        <v>43</v>
      </c>
      <c r="M152">
        <v>62</v>
      </c>
      <c r="N152">
        <v>3</v>
      </c>
      <c r="O152">
        <v>1</v>
      </c>
      <c r="P152" t="s">
        <v>54</v>
      </c>
      <c r="Q152">
        <v>1</v>
      </c>
      <c r="R152" t="s">
        <v>49</v>
      </c>
      <c r="S152" s="6">
        <v>2322</v>
      </c>
      <c r="T152">
        <v>9518</v>
      </c>
      <c r="U152">
        <v>3</v>
      </c>
      <c r="V152" t="s">
        <v>39</v>
      </c>
      <c r="W152" t="s">
        <v>40</v>
      </c>
      <c r="X152">
        <v>13</v>
      </c>
      <c r="Y152">
        <v>3</v>
      </c>
      <c r="Z152">
        <v>3</v>
      </c>
      <c r="AA152">
        <v>80</v>
      </c>
      <c r="AB152">
        <v>1</v>
      </c>
      <c r="AC152">
        <v>3</v>
      </c>
      <c r="AD152">
        <v>3</v>
      </c>
      <c r="AE152">
        <v>3</v>
      </c>
      <c r="AF152">
        <v>0</v>
      </c>
      <c r="AG152">
        <v>0</v>
      </c>
      <c r="AH152">
        <v>0</v>
      </c>
      <c r="AI152">
        <v>0</v>
      </c>
    </row>
    <row r="153" spans="1:35" x14ac:dyDescent="0.3">
      <c r="A153">
        <v>22</v>
      </c>
      <c r="B153" t="s">
        <v>40</v>
      </c>
      <c r="C153" t="s">
        <v>33</v>
      </c>
      <c r="D153">
        <v>1256</v>
      </c>
      <c r="E153" t="s">
        <v>42</v>
      </c>
      <c r="F153">
        <v>19</v>
      </c>
      <c r="G153">
        <v>1</v>
      </c>
      <c r="H153" t="s">
        <v>48</v>
      </c>
      <c r="I153">
        <v>1</v>
      </c>
      <c r="J153">
        <v>217</v>
      </c>
      <c r="K153">
        <v>3</v>
      </c>
      <c r="L153" s="17" t="s">
        <v>43</v>
      </c>
      <c r="M153">
        <v>80</v>
      </c>
      <c r="N153">
        <v>3</v>
      </c>
      <c r="O153">
        <v>1</v>
      </c>
      <c r="P153" t="s">
        <v>44</v>
      </c>
      <c r="Q153">
        <v>4</v>
      </c>
      <c r="R153" t="s">
        <v>45</v>
      </c>
      <c r="S153" s="6">
        <v>2323</v>
      </c>
      <c r="T153">
        <v>11992</v>
      </c>
      <c r="U153">
        <v>1</v>
      </c>
      <c r="V153" t="s">
        <v>39</v>
      </c>
      <c r="W153" t="s">
        <v>40</v>
      </c>
      <c r="X153">
        <v>24</v>
      </c>
      <c r="Y153">
        <v>4</v>
      </c>
      <c r="Z153">
        <v>1</v>
      </c>
      <c r="AA153">
        <v>80</v>
      </c>
      <c r="AB153">
        <v>2</v>
      </c>
      <c r="AC153">
        <v>2</v>
      </c>
      <c r="AD153">
        <v>6</v>
      </c>
      <c r="AE153">
        <v>3</v>
      </c>
      <c r="AF153">
        <v>2</v>
      </c>
      <c r="AG153">
        <v>2</v>
      </c>
      <c r="AH153">
        <v>2</v>
      </c>
      <c r="AI153">
        <v>2</v>
      </c>
    </row>
    <row r="154" spans="1:35" x14ac:dyDescent="0.3">
      <c r="A154">
        <v>20</v>
      </c>
      <c r="B154" t="s">
        <v>32</v>
      </c>
      <c r="C154" t="s">
        <v>41</v>
      </c>
      <c r="D154">
        <v>769</v>
      </c>
      <c r="E154" t="s">
        <v>34</v>
      </c>
      <c r="F154">
        <v>9</v>
      </c>
      <c r="G154">
        <v>3</v>
      </c>
      <c r="H154" t="s">
        <v>56</v>
      </c>
      <c r="I154">
        <v>1</v>
      </c>
      <c r="J154">
        <v>1077</v>
      </c>
      <c r="K154">
        <v>4</v>
      </c>
      <c r="L154" s="17" t="s">
        <v>36</v>
      </c>
      <c r="M154">
        <v>54</v>
      </c>
      <c r="N154">
        <v>3</v>
      </c>
      <c r="O154">
        <v>1</v>
      </c>
      <c r="P154" t="s">
        <v>54</v>
      </c>
      <c r="Q154">
        <v>4</v>
      </c>
      <c r="R154" t="s">
        <v>38</v>
      </c>
      <c r="S154" s="6">
        <v>2323</v>
      </c>
      <c r="T154">
        <v>17205</v>
      </c>
      <c r="U154">
        <v>1</v>
      </c>
      <c r="V154" t="s">
        <v>39</v>
      </c>
      <c r="W154" t="s">
        <v>32</v>
      </c>
      <c r="X154">
        <v>14</v>
      </c>
      <c r="Y154">
        <v>3</v>
      </c>
      <c r="Z154">
        <v>2</v>
      </c>
      <c r="AA154">
        <v>80</v>
      </c>
      <c r="AB154">
        <v>0</v>
      </c>
      <c r="AC154">
        <v>2</v>
      </c>
      <c r="AD154">
        <v>3</v>
      </c>
      <c r="AE154">
        <v>3</v>
      </c>
      <c r="AF154">
        <v>2</v>
      </c>
      <c r="AG154">
        <v>2</v>
      </c>
      <c r="AH154">
        <v>0</v>
      </c>
      <c r="AI154">
        <v>2</v>
      </c>
    </row>
    <row r="155" spans="1:35" x14ac:dyDescent="0.3">
      <c r="A155">
        <v>19</v>
      </c>
      <c r="B155" t="s">
        <v>32</v>
      </c>
      <c r="C155" t="s">
        <v>41</v>
      </c>
      <c r="D155">
        <v>602</v>
      </c>
      <c r="E155" t="s">
        <v>34</v>
      </c>
      <c r="F155">
        <v>1</v>
      </c>
      <c r="G155">
        <v>1</v>
      </c>
      <c r="H155" t="s">
        <v>57</v>
      </c>
      <c r="I155">
        <v>1</v>
      </c>
      <c r="J155">
        <v>235</v>
      </c>
      <c r="K155">
        <v>3</v>
      </c>
      <c r="L155" s="17" t="s">
        <v>36</v>
      </c>
      <c r="M155">
        <v>100</v>
      </c>
      <c r="N155">
        <v>1</v>
      </c>
      <c r="O155">
        <v>1</v>
      </c>
      <c r="P155" t="s">
        <v>54</v>
      </c>
      <c r="Q155">
        <v>1</v>
      </c>
      <c r="R155" t="s">
        <v>38</v>
      </c>
      <c r="S155" s="6">
        <v>2325</v>
      </c>
      <c r="T155">
        <v>20989</v>
      </c>
      <c r="U155">
        <v>0</v>
      </c>
      <c r="V155" t="s">
        <v>39</v>
      </c>
      <c r="W155" t="s">
        <v>40</v>
      </c>
      <c r="X155">
        <v>21</v>
      </c>
      <c r="Y155">
        <v>4</v>
      </c>
      <c r="Z155">
        <v>1</v>
      </c>
      <c r="AA155">
        <v>80</v>
      </c>
      <c r="AB155">
        <v>0</v>
      </c>
      <c r="AC155">
        <v>1</v>
      </c>
      <c r="AD155">
        <v>5</v>
      </c>
      <c r="AE155">
        <v>4</v>
      </c>
      <c r="AF155">
        <v>0</v>
      </c>
      <c r="AG155">
        <v>0</v>
      </c>
      <c r="AH155">
        <v>0</v>
      </c>
      <c r="AI155">
        <v>0</v>
      </c>
    </row>
    <row r="156" spans="1:35" x14ac:dyDescent="0.3">
      <c r="A156">
        <v>37</v>
      </c>
      <c r="B156" t="s">
        <v>40</v>
      </c>
      <c r="C156" t="s">
        <v>41</v>
      </c>
      <c r="D156">
        <v>889</v>
      </c>
      <c r="E156" t="s">
        <v>42</v>
      </c>
      <c r="F156">
        <v>9</v>
      </c>
      <c r="G156">
        <v>3</v>
      </c>
      <c r="H156" t="s">
        <v>48</v>
      </c>
      <c r="I156">
        <v>1</v>
      </c>
      <c r="J156">
        <v>403</v>
      </c>
      <c r="K156">
        <v>2</v>
      </c>
      <c r="L156" s="17" t="s">
        <v>43</v>
      </c>
      <c r="M156">
        <v>53</v>
      </c>
      <c r="N156">
        <v>3</v>
      </c>
      <c r="O156">
        <v>1</v>
      </c>
      <c r="P156" t="s">
        <v>44</v>
      </c>
      <c r="Q156">
        <v>4</v>
      </c>
      <c r="R156" t="s">
        <v>45</v>
      </c>
      <c r="S156" s="6">
        <v>2326</v>
      </c>
      <c r="T156">
        <v>11411</v>
      </c>
      <c r="U156">
        <v>1</v>
      </c>
      <c r="V156" t="s">
        <v>39</v>
      </c>
      <c r="W156" t="s">
        <v>32</v>
      </c>
      <c r="X156">
        <v>12</v>
      </c>
      <c r="Y156">
        <v>3</v>
      </c>
      <c r="Z156">
        <v>3</v>
      </c>
      <c r="AA156">
        <v>80</v>
      </c>
      <c r="AB156">
        <v>3</v>
      </c>
      <c r="AC156">
        <v>4</v>
      </c>
      <c r="AD156">
        <v>3</v>
      </c>
      <c r="AE156">
        <v>2</v>
      </c>
      <c r="AF156">
        <v>4</v>
      </c>
      <c r="AG156">
        <v>2</v>
      </c>
      <c r="AH156">
        <v>1</v>
      </c>
      <c r="AI156">
        <v>2</v>
      </c>
    </row>
    <row r="157" spans="1:35" x14ac:dyDescent="0.3">
      <c r="A157">
        <v>22</v>
      </c>
      <c r="B157" t="s">
        <v>40</v>
      </c>
      <c r="C157" t="s">
        <v>33</v>
      </c>
      <c r="D157">
        <v>1136</v>
      </c>
      <c r="E157" t="s">
        <v>42</v>
      </c>
      <c r="F157">
        <v>5</v>
      </c>
      <c r="G157">
        <v>3</v>
      </c>
      <c r="H157" t="s">
        <v>35</v>
      </c>
      <c r="I157">
        <v>1</v>
      </c>
      <c r="J157">
        <v>284</v>
      </c>
      <c r="K157">
        <v>4</v>
      </c>
      <c r="L157" s="17" t="s">
        <v>43</v>
      </c>
      <c r="M157">
        <v>60</v>
      </c>
      <c r="N157">
        <v>4</v>
      </c>
      <c r="O157">
        <v>1</v>
      </c>
      <c r="P157" t="s">
        <v>44</v>
      </c>
      <c r="Q157">
        <v>2</v>
      </c>
      <c r="R157" t="s">
        <v>49</v>
      </c>
      <c r="S157" s="6">
        <v>2328</v>
      </c>
      <c r="T157">
        <v>12392</v>
      </c>
      <c r="U157">
        <v>1</v>
      </c>
      <c r="V157" t="s">
        <v>39</v>
      </c>
      <c r="W157" t="s">
        <v>32</v>
      </c>
      <c r="X157">
        <v>16</v>
      </c>
      <c r="Y157">
        <v>3</v>
      </c>
      <c r="Z157">
        <v>1</v>
      </c>
      <c r="AA157">
        <v>80</v>
      </c>
      <c r="AB157">
        <v>1</v>
      </c>
      <c r="AC157">
        <v>4</v>
      </c>
      <c r="AD157">
        <v>2</v>
      </c>
      <c r="AE157">
        <v>2</v>
      </c>
      <c r="AF157">
        <v>4</v>
      </c>
      <c r="AG157">
        <v>2</v>
      </c>
      <c r="AH157">
        <v>2</v>
      </c>
      <c r="AI157">
        <v>2</v>
      </c>
    </row>
    <row r="158" spans="1:35" x14ac:dyDescent="0.3">
      <c r="A158">
        <v>31</v>
      </c>
      <c r="B158" t="s">
        <v>40</v>
      </c>
      <c r="C158" t="s">
        <v>33</v>
      </c>
      <c r="D158">
        <v>154</v>
      </c>
      <c r="E158" t="s">
        <v>34</v>
      </c>
      <c r="F158">
        <v>7</v>
      </c>
      <c r="G158">
        <v>4</v>
      </c>
      <c r="H158" t="s">
        <v>35</v>
      </c>
      <c r="I158">
        <v>1</v>
      </c>
      <c r="J158">
        <v>941</v>
      </c>
      <c r="K158">
        <v>2</v>
      </c>
      <c r="L158" s="17" t="s">
        <v>43</v>
      </c>
      <c r="M158">
        <v>41</v>
      </c>
      <c r="N158">
        <v>2</v>
      </c>
      <c r="O158">
        <v>1</v>
      </c>
      <c r="P158" t="s">
        <v>54</v>
      </c>
      <c r="Q158">
        <v>3</v>
      </c>
      <c r="R158" t="s">
        <v>45</v>
      </c>
      <c r="S158" s="6">
        <v>2329</v>
      </c>
      <c r="T158">
        <v>11737</v>
      </c>
      <c r="U158">
        <v>3</v>
      </c>
      <c r="V158" t="s">
        <v>39</v>
      </c>
      <c r="W158" t="s">
        <v>40</v>
      </c>
      <c r="X158">
        <v>15</v>
      </c>
      <c r="Y158">
        <v>3</v>
      </c>
      <c r="Z158">
        <v>2</v>
      </c>
      <c r="AA158">
        <v>80</v>
      </c>
      <c r="AB158">
        <v>0</v>
      </c>
      <c r="AC158">
        <v>13</v>
      </c>
      <c r="AD158">
        <v>2</v>
      </c>
      <c r="AE158">
        <v>4</v>
      </c>
      <c r="AF158">
        <v>7</v>
      </c>
      <c r="AG158">
        <v>7</v>
      </c>
      <c r="AH158">
        <v>5</v>
      </c>
      <c r="AI158">
        <v>2</v>
      </c>
    </row>
    <row r="159" spans="1:35" x14ac:dyDescent="0.3">
      <c r="A159">
        <v>32</v>
      </c>
      <c r="B159" t="s">
        <v>40</v>
      </c>
      <c r="C159" t="s">
        <v>52</v>
      </c>
      <c r="D159">
        <v>1184</v>
      </c>
      <c r="E159" t="s">
        <v>42</v>
      </c>
      <c r="F159">
        <v>1</v>
      </c>
      <c r="G159">
        <v>3</v>
      </c>
      <c r="H159" t="s">
        <v>35</v>
      </c>
      <c r="I159">
        <v>1</v>
      </c>
      <c r="J159">
        <v>951</v>
      </c>
      <c r="K159">
        <v>3</v>
      </c>
      <c r="L159" s="17" t="s">
        <v>36</v>
      </c>
      <c r="M159">
        <v>70</v>
      </c>
      <c r="N159">
        <v>2</v>
      </c>
      <c r="O159">
        <v>1</v>
      </c>
      <c r="P159" t="s">
        <v>47</v>
      </c>
      <c r="Q159">
        <v>2</v>
      </c>
      <c r="R159" t="s">
        <v>45</v>
      </c>
      <c r="S159" s="6">
        <v>2332</v>
      </c>
      <c r="T159">
        <v>3974</v>
      </c>
      <c r="U159">
        <v>6</v>
      </c>
      <c r="V159" t="s">
        <v>39</v>
      </c>
      <c r="W159" t="s">
        <v>40</v>
      </c>
      <c r="X159">
        <v>20</v>
      </c>
      <c r="Y159">
        <v>4</v>
      </c>
      <c r="Z159">
        <v>3</v>
      </c>
      <c r="AA159">
        <v>80</v>
      </c>
      <c r="AB159">
        <v>0</v>
      </c>
      <c r="AC159">
        <v>5</v>
      </c>
      <c r="AD159">
        <v>3</v>
      </c>
      <c r="AE159">
        <v>3</v>
      </c>
      <c r="AF159">
        <v>3</v>
      </c>
      <c r="AG159">
        <v>0</v>
      </c>
      <c r="AH159">
        <v>0</v>
      </c>
      <c r="AI159">
        <v>2</v>
      </c>
    </row>
    <row r="160" spans="1:35" x14ac:dyDescent="0.3">
      <c r="A160">
        <v>29</v>
      </c>
      <c r="B160" t="s">
        <v>32</v>
      </c>
      <c r="C160" t="s">
        <v>33</v>
      </c>
      <c r="D160">
        <v>350</v>
      </c>
      <c r="E160" t="s">
        <v>58</v>
      </c>
      <c r="F160">
        <v>13</v>
      </c>
      <c r="G160">
        <v>3</v>
      </c>
      <c r="H160" t="s">
        <v>58</v>
      </c>
      <c r="I160">
        <v>1</v>
      </c>
      <c r="J160">
        <v>1844</v>
      </c>
      <c r="K160">
        <v>1</v>
      </c>
      <c r="L160" s="17" t="s">
        <v>43</v>
      </c>
      <c r="M160">
        <v>56</v>
      </c>
      <c r="N160">
        <v>2</v>
      </c>
      <c r="O160">
        <v>1</v>
      </c>
      <c r="P160" t="s">
        <v>58</v>
      </c>
      <c r="Q160">
        <v>1</v>
      </c>
      <c r="R160" t="s">
        <v>49</v>
      </c>
      <c r="S160" s="6">
        <v>2335</v>
      </c>
      <c r="T160">
        <v>3157</v>
      </c>
      <c r="U160">
        <v>4</v>
      </c>
      <c r="V160" t="s">
        <v>39</v>
      </c>
      <c r="W160" t="s">
        <v>32</v>
      </c>
      <c r="X160">
        <v>15</v>
      </c>
      <c r="Y160">
        <v>3</v>
      </c>
      <c r="Z160">
        <v>4</v>
      </c>
      <c r="AA160">
        <v>80</v>
      </c>
      <c r="AB160">
        <v>3</v>
      </c>
      <c r="AC160">
        <v>4</v>
      </c>
      <c r="AD160">
        <v>3</v>
      </c>
      <c r="AE160">
        <v>3</v>
      </c>
      <c r="AF160">
        <v>2</v>
      </c>
      <c r="AG160">
        <v>2</v>
      </c>
      <c r="AH160">
        <v>2</v>
      </c>
      <c r="AI160">
        <v>0</v>
      </c>
    </row>
    <row r="161" spans="1:35" x14ac:dyDescent="0.3">
      <c r="A161">
        <v>56</v>
      </c>
      <c r="B161" t="s">
        <v>32</v>
      </c>
      <c r="C161" t="s">
        <v>33</v>
      </c>
      <c r="D161">
        <v>310</v>
      </c>
      <c r="E161" t="s">
        <v>42</v>
      </c>
      <c r="F161">
        <v>7</v>
      </c>
      <c r="G161">
        <v>2</v>
      </c>
      <c r="H161" t="s">
        <v>57</v>
      </c>
      <c r="I161">
        <v>1</v>
      </c>
      <c r="J161">
        <v>2032</v>
      </c>
      <c r="K161">
        <v>4</v>
      </c>
      <c r="L161" s="17" t="s">
        <v>43</v>
      </c>
      <c r="M161">
        <v>72</v>
      </c>
      <c r="N161">
        <v>3</v>
      </c>
      <c r="O161">
        <v>1</v>
      </c>
      <c r="P161" t="s">
        <v>47</v>
      </c>
      <c r="Q161">
        <v>3</v>
      </c>
      <c r="R161" t="s">
        <v>45</v>
      </c>
      <c r="S161" s="6">
        <v>2339</v>
      </c>
      <c r="T161">
        <v>3666</v>
      </c>
      <c r="U161">
        <v>8</v>
      </c>
      <c r="V161" t="s">
        <v>39</v>
      </c>
      <c r="W161" t="s">
        <v>40</v>
      </c>
      <c r="X161">
        <v>11</v>
      </c>
      <c r="Y161">
        <v>3</v>
      </c>
      <c r="Z161">
        <v>4</v>
      </c>
      <c r="AA161">
        <v>80</v>
      </c>
      <c r="AB161">
        <v>1</v>
      </c>
      <c r="AC161">
        <v>14</v>
      </c>
      <c r="AD161">
        <v>4</v>
      </c>
      <c r="AE161">
        <v>1</v>
      </c>
      <c r="AF161">
        <v>10</v>
      </c>
      <c r="AG161">
        <v>9</v>
      </c>
      <c r="AH161">
        <v>9</v>
      </c>
      <c r="AI161">
        <v>8</v>
      </c>
    </row>
    <row r="162" spans="1:35" x14ac:dyDescent="0.3">
      <c r="A162">
        <v>29</v>
      </c>
      <c r="B162" t="s">
        <v>40</v>
      </c>
      <c r="C162" t="s">
        <v>33</v>
      </c>
      <c r="D162">
        <v>665</v>
      </c>
      <c r="E162" t="s">
        <v>42</v>
      </c>
      <c r="F162">
        <v>15</v>
      </c>
      <c r="G162">
        <v>3</v>
      </c>
      <c r="H162" t="s">
        <v>35</v>
      </c>
      <c r="I162">
        <v>1</v>
      </c>
      <c r="J162">
        <v>346</v>
      </c>
      <c r="K162">
        <v>3</v>
      </c>
      <c r="L162" s="17" t="s">
        <v>43</v>
      </c>
      <c r="M162">
        <v>60</v>
      </c>
      <c r="N162">
        <v>3</v>
      </c>
      <c r="O162">
        <v>1</v>
      </c>
      <c r="P162" t="s">
        <v>44</v>
      </c>
      <c r="Q162">
        <v>4</v>
      </c>
      <c r="R162" t="s">
        <v>38</v>
      </c>
      <c r="S162" s="6">
        <v>2340</v>
      </c>
      <c r="T162">
        <v>22673</v>
      </c>
      <c r="U162">
        <v>1</v>
      </c>
      <c r="V162" t="s">
        <v>39</v>
      </c>
      <c r="W162" t="s">
        <v>40</v>
      </c>
      <c r="X162">
        <v>19</v>
      </c>
      <c r="Y162">
        <v>3</v>
      </c>
      <c r="Z162">
        <v>1</v>
      </c>
      <c r="AA162">
        <v>80</v>
      </c>
      <c r="AB162">
        <v>0</v>
      </c>
      <c r="AC162">
        <v>6</v>
      </c>
      <c r="AD162">
        <v>1</v>
      </c>
      <c r="AE162">
        <v>3</v>
      </c>
      <c r="AF162">
        <v>6</v>
      </c>
      <c r="AG162">
        <v>5</v>
      </c>
      <c r="AH162">
        <v>1</v>
      </c>
      <c r="AI162">
        <v>5</v>
      </c>
    </row>
    <row r="163" spans="1:35" x14ac:dyDescent="0.3">
      <c r="A163">
        <v>26</v>
      </c>
      <c r="B163" t="s">
        <v>32</v>
      </c>
      <c r="C163" t="s">
        <v>33</v>
      </c>
      <c r="D163">
        <v>471</v>
      </c>
      <c r="E163" t="s">
        <v>42</v>
      </c>
      <c r="F163">
        <v>24</v>
      </c>
      <c r="G163">
        <v>3</v>
      </c>
      <c r="H163" t="s">
        <v>57</v>
      </c>
      <c r="I163">
        <v>1</v>
      </c>
      <c r="J163">
        <v>622</v>
      </c>
      <c r="K163">
        <v>3</v>
      </c>
      <c r="L163" s="17" t="s">
        <v>43</v>
      </c>
      <c r="M163">
        <v>66</v>
      </c>
      <c r="N163">
        <v>1</v>
      </c>
      <c r="O163">
        <v>1</v>
      </c>
      <c r="P163" t="s">
        <v>47</v>
      </c>
      <c r="Q163">
        <v>4</v>
      </c>
      <c r="R163" t="s">
        <v>38</v>
      </c>
      <c r="S163" s="6">
        <v>2340</v>
      </c>
      <c r="T163">
        <v>23213</v>
      </c>
      <c r="U163">
        <v>1</v>
      </c>
      <c r="V163" t="s">
        <v>39</v>
      </c>
      <c r="W163" t="s">
        <v>32</v>
      </c>
      <c r="X163">
        <v>18</v>
      </c>
      <c r="Y163">
        <v>3</v>
      </c>
      <c r="Z163">
        <v>2</v>
      </c>
      <c r="AA163">
        <v>80</v>
      </c>
      <c r="AB163">
        <v>0</v>
      </c>
      <c r="AC163">
        <v>1</v>
      </c>
      <c r="AD163">
        <v>3</v>
      </c>
      <c r="AE163">
        <v>1</v>
      </c>
      <c r="AF163">
        <v>1</v>
      </c>
      <c r="AG163">
        <v>0</v>
      </c>
      <c r="AH163">
        <v>0</v>
      </c>
      <c r="AI163">
        <v>0</v>
      </c>
    </row>
    <row r="164" spans="1:35" x14ac:dyDescent="0.3">
      <c r="A164">
        <v>27</v>
      </c>
      <c r="B164" t="s">
        <v>40</v>
      </c>
      <c r="C164" t="s">
        <v>33</v>
      </c>
      <c r="D164">
        <v>1240</v>
      </c>
      <c r="E164" t="s">
        <v>42</v>
      </c>
      <c r="F164">
        <v>2</v>
      </c>
      <c r="G164">
        <v>4</v>
      </c>
      <c r="H164" t="s">
        <v>35</v>
      </c>
      <c r="I164">
        <v>1</v>
      </c>
      <c r="J164">
        <v>54</v>
      </c>
      <c r="K164">
        <v>4</v>
      </c>
      <c r="L164" s="17" t="s">
        <v>36</v>
      </c>
      <c r="M164">
        <v>33</v>
      </c>
      <c r="N164">
        <v>3</v>
      </c>
      <c r="O164">
        <v>1</v>
      </c>
      <c r="P164" t="s">
        <v>47</v>
      </c>
      <c r="Q164">
        <v>1</v>
      </c>
      <c r="R164" t="s">
        <v>49</v>
      </c>
      <c r="S164" s="6">
        <v>2341</v>
      </c>
      <c r="T164">
        <v>19715</v>
      </c>
      <c r="U164">
        <v>1</v>
      </c>
      <c r="V164" t="s">
        <v>39</v>
      </c>
      <c r="W164" t="s">
        <v>40</v>
      </c>
      <c r="X164">
        <v>13</v>
      </c>
      <c r="Y164">
        <v>3</v>
      </c>
      <c r="Z164">
        <v>4</v>
      </c>
      <c r="AA164">
        <v>80</v>
      </c>
      <c r="AB164">
        <v>1</v>
      </c>
      <c r="AC164">
        <v>1</v>
      </c>
      <c r="AD164">
        <v>6</v>
      </c>
      <c r="AE164">
        <v>3</v>
      </c>
      <c r="AF164">
        <v>1</v>
      </c>
      <c r="AG164">
        <v>0</v>
      </c>
      <c r="AH164">
        <v>0</v>
      </c>
      <c r="AI164">
        <v>0</v>
      </c>
    </row>
    <row r="165" spans="1:35" x14ac:dyDescent="0.3">
      <c r="A165">
        <v>40</v>
      </c>
      <c r="B165" t="s">
        <v>40</v>
      </c>
      <c r="C165" t="s">
        <v>33</v>
      </c>
      <c r="D165">
        <v>804</v>
      </c>
      <c r="E165" t="s">
        <v>42</v>
      </c>
      <c r="F165">
        <v>2</v>
      </c>
      <c r="G165">
        <v>1</v>
      </c>
      <c r="H165" t="s">
        <v>48</v>
      </c>
      <c r="I165">
        <v>1</v>
      </c>
      <c r="J165">
        <v>763</v>
      </c>
      <c r="K165">
        <v>4</v>
      </c>
      <c r="L165" s="17" t="s">
        <v>36</v>
      </c>
      <c r="M165">
        <v>86</v>
      </c>
      <c r="N165">
        <v>2</v>
      </c>
      <c r="O165">
        <v>1</v>
      </c>
      <c r="P165" t="s">
        <v>44</v>
      </c>
      <c r="Q165">
        <v>4</v>
      </c>
      <c r="R165" t="s">
        <v>38</v>
      </c>
      <c r="S165" s="6">
        <v>2342</v>
      </c>
      <c r="T165">
        <v>22929</v>
      </c>
      <c r="U165">
        <v>0</v>
      </c>
      <c r="V165" t="s">
        <v>39</v>
      </c>
      <c r="W165" t="s">
        <v>32</v>
      </c>
      <c r="X165">
        <v>20</v>
      </c>
      <c r="Y165">
        <v>4</v>
      </c>
      <c r="Z165">
        <v>4</v>
      </c>
      <c r="AA165">
        <v>80</v>
      </c>
      <c r="AB165">
        <v>0</v>
      </c>
      <c r="AC165">
        <v>5</v>
      </c>
      <c r="AD165">
        <v>2</v>
      </c>
      <c r="AE165">
        <v>2</v>
      </c>
      <c r="AF165">
        <v>4</v>
      </c>
      <c r="AG165">
        <v>2</v>
      </c>
      <c r="AH165">
        <v>2</v>
      </c>
      <c r="AI165">
        <v>3</v>
      </c>
    </row>
    <row r="166" spans="1:35" x14ac:dyDescent="0.3">
      <c r="A166">
        <v>36</v>
      </c>
      <c r="B166" t="s">
        <v>40</v>
      </c>
      <c r="C166" t="s">
        <v>33</v>
      </c>
      <c r="D166">
        <v>1278</v>
      </c>
      <c r="E166" t="s">
        <v>58</v>
      </c>
      <c r="F166">
        <v>8</v>
      </c>
      <c r="G166">
        <v>3</v>
      </c>
      <c r="H166" t="s">
        <v>35</v>
      </c>
      <c r="I166">
        <v>1</v>
      </c>
      <c r="J166">
        <v>878</v>
      </c>
      <c r="K166">
        <v>1</v>
      </c>
      <c r="L166" s="17" t="s">
        <v>43</v>
      </c>
      <c r="M166">
        <v>77</v>
      </c>
      <c r="N166">
        <v>2</v>
      </c>
      <c r="O166">
        <v>1</v>
      </c>
      <c r="P166" t="s">
        <v>58</v>
      </c>
      <c r="Q166">
        <v>1</v>
      </c>
      <c r="R166" t="s">
        <v>45</v>
      </c>
      <c r="S166" s="6">
        <v>2342</v>
      </c>
      <c r="T166">
        <v>8635</v>
      </c>
      <c r="U166">
        <v>0</v>
      </c>
      <c r="V166" t="s">
        <v>39</v>
      </c>
      <c r="W166" t="s">
        <v>40</v>
      </c>
      <c r="X166">
        <v>21</v>
      </c>
      <c r="Y166">
        <v>4</v>
      </c>
      <c r="Z166">
        <v>3</v>
      </c>
      <c r="AA166">
        <v>80</v>
      </c>
      <c r="AB166">
        <v>0</v>
      </c>
      <c r="AC166">
        <v>6</v>
      </c>
      <c r="AD166">
        <v>3</v>
      </c>
      <c r="AE166">
        <v>3</v>
      </c>
      <c r="AF166">
        <v>5</v>
      </c>
      <c r="AG166">
        <v>4</v>
      </c>
      <c r="AH166">
        <v>0</v>
      </c>
      <c r="AI166">
        <v>3</v>
      </c>
    </row>
    <row r="167" spans="1:35" x14ac:dyDescent="0.3">
      <c r="A167">
        <v>33</v>
      </c>
      <c r="B167" t="s">
        <v>40</v>
      </c>
      <c r="C167" t="s">
        <v>52</v>
      </c>
      <c r="D167">
        <v>1038</v>
      </c>
      <c r="E167" t="s">
        <v>34</v>
      </c>
      <c r="F167">
        <v>8</v>
      </c>
      <c r="G167">
        <v>1</v>
      </c>
      <c r="H167" t="s">
        <v>35</v>
      </c>
      <c r="I167">
        <v>1</v>
      </c>
      <c r="J167">
        <v>1044</v>
      </c>
      <c r="K167">
        <v>2</v>
      </c>
      <c r="L167" s="17" t="s">
        <v>36</v>
      </c>
      <c r="M167">
        <v>88</v>
      </c>
      <c r="N167">
        <v>2</v>
      </c>
      <c r="O167">
        <v>1</v>
      </c>
      <c r="P167" t="s">
        <v>54</v>
      </c>
      <c r="Q167">
        <v>4</v>
      </c>
      <c r="R167" t="s">
        <v>38</v>
      </c>
      <c r="S167" s="6">
        <v>2342</v>
      </c>
      <c r="T167">
        <v>21437</v>
      </c>
      <c r="U167">
        <v>0</v>
      </c>
      <c r="V167" t="s">
        <v>39</v>
      </c>
      <c r="W167" t="s">
        <v>40</v>
      </c>
      <c r="X167">
        <v>19</v>
      </c>
      <c r="Y167">
        <v>3</v>
      </c>
      <c r="Z167">
        <v>4</v>
      </c>
      <c r="AA167">
        <v>80</v>
      </c>
      <c r="AB167">
        <v>0</v>
      </c>
      <c r="AC167">
        <v>3</v>
      </c>
      <c r="AD167">
        <v>2</v>
      </c>
      <c r="AE167">
        <v>2</v>
      </c>
      <c r="AF167">
        <v>2</v>
      </c>
      <c r="AG167">
        <v>2</v>
      </c>
      <c r="AH167">
        <v>2</v>
      </c>
      <c r="AI167">
        <v>2</v>
      </c>
    </row>
    <row r="168" spans="1:35" x14ac:dyDescent="0.3">
      <c r="A168">
        <v>44</v>
      </c>
      <c r="B168" t="s">
        <v>32</v>
      </c>
      <c r="C168" t="s">
        <v>41</v>
      </c>
      <c r="D168">
        <v>429</v>
      </c>
      <c r="E168" t="s">
        <v>42</v>
      </c>
      <c r="F168">
        <v>1</v>
      </c>
      <c r="G168">
        <v>2</v>
      </c>
      <c r="H168" t="s">
        <v>48</v>
      </c>
      <c r="I168">
        <v>1</v>
      </c>
      <c r="J168">
        <v>1792</v>
      </c>
      <c r="K168">
        <v>3</v>
      </c>
      <c r="L168" s="17" t="s">
        <v>43</v>
      </c>
      <c r="M168">
        <v>99</v>
      </c>
      <c r="N168">
        <v>3</v>
      </c>
      <c r="O168">
        <v>1</v>
      </c>
      <c r="P168" t="s">
        <v>44</v>
      </c>
      <c r="Q168">
        <v>2</v>
      </c>
      <c r="R168" t="s">
        <v>49</v>
      </c>
      <c r="S168" s="6">
        <v>2342</v>
      </c>
      <c r="T168">
        <v>11092</v>
      </c>
      <c r="U168">
        <v>1</v>
      </c>
      <c r="V168" t="s">
        <v>39</v>
      </c>
      <c r="W168" t="s">
        <v>32</v>
      </c>
      <c r="X168">
        <v>12</v>
      </c>
      <c r="Y168">
        <v>3</v>
      </c>
      <c r="Z168">
        <v>3</v>
      </c>
      <c r="AA168">
        <v>80</v>
      </c>
      <c r="AB168">
        <v>3</v>
      </c>
      <c r="AC168">
        <v>6</v>
      </c>
      <c r="AD168">
        <v>2</v>
      </c>
      <c r="AE168">
        <v>2</v>
      </c>
      <c r="AF168">
        <v>5</v>
      </c>
      <c r="AG168">
        <v>3</v>
      </c>
      <c r="AH168">
        <v>2</v>
      </c>
      <c r="AI168">
        <v>3</v>
      </c>
    </row>
    <row r="169" spans="1:35" x14ac:dyDescent="0.3">
      <c r="A169">
        <v>40</v>
      </c>
      <c r="B169" t="s">
        <v>40</v>
      </c>
      <c r="C169" t="s">
        <v>33</v>
      </c>
      <c r="D169">
        <v>896</v>
      </c>
      <c r="E169" t="s">
        <v>42</v>
      </c>
      <c r="F169">
        <v>2</v>
      </c>
      <c r="G169">
        <v>3</v>
      </c>
      <c r="H169" t="s">
        <v>48</v>
      </c>
      <c r="I169">
        <v>1</v>
      </c>
      <c r="J169">
        <v>1474</v>
      </c>
      <c r="K169">
        <v>3</v>
      </c>
      <c r="L169" s="17" t="s">
        <v>43</v>
      </c>
      <c r="M169">
        <v>68</v>
      </c>
      <c r="N169">
        <v>3</v>
      </c>
      <c r="O169">
        <v>1</v>
      </c>
      <c r="P169" t="s">
        <v>44</v>
      </c>
      <c r="Q169">
        <v>3</v>
      </c>
      <c r="R169" t="s">
        <v>49</v>
      </c>
      <c r="S169" s="6">
        <v>2345</v>
      </c>
      <c r="T169">
        <v>8045</v>
      </c>
      <c r="U169">
        <v>2</v>
      </c>
      <c r="V169" t="s">
        <v>39</v>
      </c>
      <c r="W169" t="s">
        <v>40</v>
      </c>
      <c r="X169">
        <v>14</v>
      </c>
      <c r="Y169">
        <v>3</v>
      </c>
      <c r="Z169">
        <v>3</v>
      </c>
      <c r="AA169">
        <v>80</v>
      </c>
      <c r="AB169">
        <v>1</v>
      </c>
      <c r="AC169">
        <v>8</v>
      </c>
      <c r="AD169">
        <v>3</v>
      </c>
      <c r="AE169">
        <v>4</v>
      </c>
      <c r="AF169">
        <v>3</v>
      </c>
      <c r="AG169">
        <v>1</v>
      </c>
      <c r="AH169">
        <v>1</v>
      </c>
      <c r="AI169">
        <v>2</v>
      </c>
    </row>
    <row r="170" spans="1:35" x14ac:dyDescent="0.3">
      <c r="A170">
        <v>45</v>
      </c>
      <c r="B170" t="s">
        <v>40</v>
      </c>
      <c r="C170" t="s">
        <v>33</v>
      </c>
      <c r="D170">
        <v>194</v>
      </c>
      <c r="E170" t="s">
        <v>42</v>
      </c>
      <c r="F170">
        <v>9</v>
      </c>
      <c r="G170">
        <v>3</v>
      </c>
      <c r="H170" t="s">
        <v>35</v>
      </c>
      <c r="I170">
        <v>1</v>
      </c>
      <c r="J170">
        <v>206</v>
      </c>
      <c r="K170">
        <v>2</v>
      </c>
      <c r="L170" s="17" t="s">
        <v>43</v>
      </c>
      <c r="M170">
        <v>60</v>
      </c>
      <c r="N170">
        <v>3</v>
      </c>
      <c r="O170">
        <v>2</v>
      </c>
      <c r="P170" t="s">
        <v>47</v>
      </c>
      <c r="Q170">
        <v>2</v>
      </c>
      <c r="R170" t="s">
        <v>49</v>
      </c>
      <c r="S170" s="6">
        <v>2348</v>
      </c>
      <c r="T170">
        <v>10901</v>
      </c>
      <c r="U170">
        <v>8</v>
      </c>
      <c r="V170" t="s">
        <v>39</v>
      </c>
      <c r="W170" t="s">
        <v>40</v>
      </c>
      <c r="X170">
        <v>18</v>
      </c>
      <c r="Y170">
        <v>3</v>
      </c>
      <c r="Z170">
        <v>3</v>
      </c>
      <c r="AA170">
        <v>80</v>
      </c>
      <c r="AB170">
        <v>1</v>
      </c>
      <c r="AC170">
        <v>20</v>
      </c>
      <c r="AD170">
        <v>2</v>
      </c>
      <c r="AE170">
        <v>1</v>
      </c>
      <c r="AF170">
        <v>17</v>
      </c>
      <c r="AG170">
        <v>9</v>
      </c>
      <c r="AH170">
        <v>0</v>
      </c>
      <c r="AI170">
        <v>15</v>
      </c>
    </row>
    <row r="171" spans="1:35" x14ac:dyDescent="0.3">
      <c r="A171">
        <v>34</v>
      </c>
      <c r="B171" t="s">
        <v>32</v>
      </c>
      <c r="C171" t="s">
        <v>41</v>
      </c>
      <c r="D171">
        <v>296</v>
      </c>
      <c r="E171" t="s">
        <v>34</v>
      </c>
      <c r="F171">
        <v>6</v>
      </c>
      <c r="G171">
        <v>2</v>
      </c>
      <c r="H171" t="s">
        <v>56</v>
      </c>
      <c r="I171">
        <v>1</v>
      </c>
      <c r="J171">
        <v>555</v>
      </c>
      <c r="K171">
        <v>4</v>
      </c>
      <c r="L171" s="17" t="s">
        <v>36</v>
      </c>
      <c r="M171">
        <v>33</v>
      </c>
      <c r="N171">
        <v>1</v>
      </c>
      <c r="O171">
        <v>1</v>
      </c>
      <c r="P171" t="s">
        <v>54</v>
      </c>
      <c r="Q171">
        <v>3</v>
      </c>
      <c r="R171" t="s">
        <v>49</v>
      </c>
      <c r="S171" s="6">
        <v>2351</v>
      </c>
      <c r="T171">
        <v>12253</v>
      </c>
      <c r="U171">
        <v>0</v>
      </c>
      <c r="V171" t="s">
        <v>39</v>
      </c>
      <c r="W171" t="s">
        <v>40</v>
      </c>
      <c r="X171">
        <v>16</v>
      </c>
      <c r="Y171">
        <v>3</v>
      </c>
      <c r="Z171">
        <v>4</v>
      </c>
      <c r="AA171">
        <v>80</v>
      </c>
      <c r="AB171">
        <v>1</v>
      </c>
      <c r="AC171">
        <v>3</v>
      </c>
      <c r="AD171">
        <v>3</v>
      </c>
      <c r="AE171">
        <v>2</v>
      </c>
      <c r="AF171">
        <v>2</v>
      </c>
      <c r="AG171">
        <v>2</v>
      </c>
      <c r="AH171">
        <v>1</v>
      </c>
      <c r="AI171">
        <v>0</v>
      </c>
    </row>
    <row r="172" spans="1:35" x14ac:dyDescent="0.3">
      <c r="A172">
        <v>31</v>
      </c>
      <c r="B172" t="s">
        <v>40</v>
      </c>
      <c r="C172" t="s">
        <v>33</v>
      </c>
      <c r="D172">
        <v>1222</v>
      </c>
      <c r="E172" t="s">
        <v>42</v>
      </c>
      <c r="F172">
        <v>11</v>
      </c>
      <c r="G172">
        <v>4</v>
      </c>
      <c r="H172" t="s">
        <v>35</v>
      </c>
      <c r="I172">
        <v>1</v>
      </c>
      <c r="J172">
        <v>895</v>
      </c>
      <c r="K172">
        <v>4</v>
      </c>
      <c r="L172" s="17" t="s">
        <v>43</v>
      </c>
      <c r="M172">
        <v>48</v>
      </c>
      <c r="N172">
        <v>3</v>
      </c>
      <c r="O172">
        <v>1</v>
      </c>
      <c r="P172" t="s">
        <v>44</v>
      </c>
      <c r="Q172">
        <v>4</v>
      </c>
      <c r="R172" t="s">
        <v>45</v>
      </c>
      <c r="S172" s="6">
        <v>2356</v>
      </c>
      <c r="T172">
        <v>14871</v>
      </c>
      <c r="U172">
        <v>3</v>
      </c>
      <c r="V172" t="s">
        <v>39</v>
      </c>
      <c r="W172" t="s">
        <v>32</v>
      </c>
      <c r="X172">
        <v>19</v>
      </c>
      <c r="Y172">
        <v>3</v>
      </c>
      <c r="Z172">
        <v>2</v>
      </c>
      <c r="AA172">
        <v>80</v>
      </c>
      <c r="AB172">
        <v>1</v>
      </c>
      <c r="AC172">
        <v>8</v>
      </c>
      <c r="AD172">
        <v>2</v>
      </c>
      <c r="AE172">
        <v>3</v>
      </c>
      <c r="AF172">
        <v>6</v>
      </c>
      <c r="AG172">
        <v>4</v>
      </c>
      <c r="AH172">
        <v>0</v>
      </c>
      <c r="AI172">
        <v>2</v>
      </c>
    </row>
    <row r="173" spans="1:35" x14ac:dyDescent="0.3">
      <c r="A173">
        <v>44</v>
      </c>
      <c r="B173" t="s">
        <v>32</v>
      </c>
      <c r="C173" t="s">
        <v>33</v>
      </c>
      <c r="D173">
        <v>935</v>
      </c>
      <c r="E173" t="s">
        <v>42</v>
      </c>
      <c r="F173">
        <v>3</v>
      </c>
      <c r="G173">
        <v>3</v>
      </c>
      <c r="H173" t="s">
        <v>35</v>
      </c>
      <c r="I173">
        <v>1</v>
      </c>
      <c r="J173">
        <v>1333</v>
      </c>
      <c r="K173">
        <v>1</v>
      </c>
      <c r="L173" s="17" t="s">
        <v>43</v>
      </c>
      <c r="M173">
        <v>89</v>
      </c>
      <c r="N173">
        <v>3</v>
      </c>
      <c r="O173">
        <v>1</v>
      </c>
      <c r="P173" t="s">
        <v>47</v>
      </c>
      <c r="Q173">
        <v>1</v>
      </c>
      <c r="R173" t="s">
        <v>45</v>
      </c>
      <c r="S173" s="6">
        <v>2362</v>
      </c>
      <c r="T173">
        <v>14669</v>
      </c>
      <c r="U173">
        <v>4</v>
      </c>
      <c r="V173" t="s">
        <v>39</v>
      </c>
      <c r="W173" t="s">
        <v>40</v>
      </c>
      <c r="X173">
        <v>12</v>
      </c>
      <c r="Y173">
        <v>3</v>
      </c>
      <c r="Z173">
        <v>3</v>
      </c>
      <c r="AA173">
        <v>80</v>
      </c>
      <c r="AB173">
        <v>0</v>
      </c>
      <c r="AC173">
        <v>10</v>
      </c>
      <c r="AD173">
        <v>4</v>
      </c>
      <c r="AE173">
        <v>4</v>
      </c>
      <c r="AF173">
        <v>3</v>
      </c>
      <c r="AG173">
        <v>2</v>
      </c>
      <c r="AH173">
        <v>1</v>
      </c>
      <c r="AI173">
        <v>2</v>
      </c>
    </row>
    <row r="174" spans="1:35" x14ac:dyDescent="0.3">
      <c r="A174">
        <v>29</v>
      </c>
      <c r="B174" t="s">
        <v>32</v>
      </c>
      <c r="C174" t="s">
        <v>33</v>
      </c>
      <c r="D174">
        <v>224</v>
      </c>
      <c r="E174" t="s">
        <v>42</v>
      </c>
      <c r="F174">
        <v>1</v>
      </c>
      <c r="G174">
        <v>4</v>
      </c>
      <c r="H174" t="s">
        <v>57</v>
      </c>
      <c r="I174">
        <v>1</v>
      </c>
      <c r="J174">
        <v>1522</v>
      </c>
      <c r="K174">
        <v>1</v>
      </c>
      <c r="L174" s="17" t="s">
        <v>43</v>
      </c>
      <c r="M174">
        <v>100</v>
      </c>
      <c r="N174">
        <v>2</v>
      </c>
      <c r="O174">
        <v>1</v>
      </c>
      <c r="P174" t="s">
        <v>44</v>
      </c>
      <c r="Q174">
        <v>1</v>
      </c>
      <c r="R174" t="s">
        <v>38</v>
      </c>
      <c r="S174" s="6">
        <v>2362</v>
      </c>
      <c r="T174">
        <v>7568</v>
      </c>
      <c r="U174">
        <v>6</v>
      </c>
      <c r="V174" t="s">
        <v>39</v>
      </c>
      <c r="W174" t="s">
        <v>40</v>
      </c>
      <c r="X174">
        <v>13</v>
      </c>
      <c r="Y174">
        <v>3</v>
      </c>
      <c r="Z174">
        <v>3</v>
      </c>
      <c r="AA174">
        <v>80</v>
      </c>
      <c r="AB174">
        <v>0</v>
      </c>
      <c r="AC174">
        <v>11</v>
      </c>
      <c r="AD174">
        <v>2</v>
      </c>
      <c r="AE174">
        <v>1</v>
      </c>
      <c r="AF174">
        <v>9</v>
      </c>
      <c r="AG174">
        <v>7</v>
      </c>
      <c r="AH174">
        <v>0</v>
      </c>
      <c r="AI174">
        <v>7</v>
      </c>
    </row>
    <row r="175" spans="1:35" x14ac:dyDescent="0.3">
      <c r="A175">
        <v>26</v>
      </c>
      <c r="B175" t="s">
        <v>32</v>
      </c>
      <c r="C175" t="s">
        <v>41</v>
      </c>
      <c r="D175">
        <v>887</v>
      </c>
      <c r="E175" t="s">
        <v>42</v>
      </c>
      <c r="F175">
        <v>5</v>
      </c>
      <c r="G175">
        <v>2</v>
      </c>
      <c r="H175" t="s">
        <v>48</v>
      </c>
      <c r="I175">
        <v>1</v>
      </c>
      <c r="J175">
        <v>848</v>
      </c>
      <c r="K175">
        <v>3</v>
      </c>
      <c r="L175" s="17" t="s">
        <v>36</v>
      </c>
      <c r="M175">
        <v>88</v>
      </c>
      <c r="N175">
        <v>2</v>
      </c>
      <c r="O175">
        <v>1</v>
      </c>
      <c r="P175" t="s">
        <v>44</v>
      </c>
      <c r="Q175">
        <v>3</v>
      </c>
      <c r="R175" t="s">
        <v>45</v>
      </c>
      <c r="S175" s="6">
        <v>2366</v>
      </c>
      <c r="T175">
        <v>20898</v>
      </c>
      <c r="U175">
        <v>1</v>
      </c>
      <c r="V175" t="s">
        <v>39</v>
      </c>
      <c r="W175" t="s">
        <v>32</v>
      </c>
      <c r="X175">
        <v>14</v>
      </c>
      <c r="Y175">
        <v>3</v>
      </c>
      <c r="Z175">
        <v>1</v>
      </c>
      <c r="AA175">
        <v>80</v>
      </c>
      <c r="AB175">
        <v>1</v>
      </c>
      <c r="AC175">
        <v>8</v>
      </c>
      <c r="AD175">
        <v>2</v>
      </c>
      <c r="AE175">
        <v>3</v>
      </c>
      <c r="AF175">
        <v>8</v>
      </c>
      <c r="AG175">
        <v>7</v>
      </c>
      <c r="AH175">
        <v>1</v>
      </c>
      <c r="AI175">
        <v>7</v>
      </c>
    </row>
    <row r="176" spans="1:35" x14ac:dyDescent="0.3">
      <c r="A176">
        <v>48</v>
      </c>
      <c r="B176" t="s">
        <v>40</v>
      </c>
      <c r="C176" t="s">
        <v>33</v>
      </c>
      <c r="D176">
        <v>1108</v>
      </c>
      <c r="E176" t="s">
        <v>42</v>
      </c>
      <c r="F176">
        <v>15</v>
      </c>
      <c r="G176">
        <v>4</v>
      </c>
      <c r="H176" t="s">
        <v>46</v>
      </c>
      <c r="I176">
        <v>1</v>
      </c>
      <c r="J176">
        <v>1576</v>
      </c>
      <c r="K176">
        <v>3</v>
      </c>
      <c r="L176" s="17" t="s">
        <v>36</v>
      </c>
      <c r="M176">
        <v>65</v>
      </c>
      <c r="N176">
        <v>3</v>
      </c>
      <c r="O176">
        <v>1</v>
      </c>
      <c r="P176" t="s">
        <v>44</v>
      </c>
      <c r="Q176">
        <v>1</v>
      </c>
      <c r="R176" t="s">
        <v>45</v>
      </c>
      <c r="S176" s="6">
        <v>2367</v>
      </c>
      <c r="T176">
        <v>16530</v>
      </c>
      <c r="U176">
        <v>8</v>
      </c>
      <c r="V176" t="s">
        <v>39</v>
      </c>
      <c r="W176" t="s">
        <v>40</v>
      </c>
      <c r="X176">
        <v>12</v>
      </c>
      <c r="Y176">
        <v>3</v>
      </c>
      <c r="Z176">
        <v>4</v>
      </c>
      <c r="AA176">
        <v>80</v>
      </c>
      <c r="AB176">
        <v>1</v>
      </c>
      <c r="AC176">
        <v>10</v>
      </c>
      <c r="AD176">
        <v>3</v>
      </c>
      <c r="AE176">
        <v>2</v>
      </c>
      <c r="AF176">
        <v>8</v>
      </c>
      <c r="AG176">
        <v>2</v>
      </c>
      <c r="AH176">
        <v>7</v>
      </c>
      <c r="AI176">
        <v>6</v>
      </c>
    </row>
    <row r="177" spans="1:35" x14ac:dyDescent="0.3">
      <c r="A177">
        <v>28</v>
      </c>
      <c r="B177" t="s">
        <v>32</v>
      </c>
      <c r="C177" t="s">
        <v>33</v>
      </c>
      <c r="D177">
        <v>1404</v>
      </c>
      <c r="E177" t="s">
        <v>42</v>
      </c>
      <c r="F177">
        <v>17</v>
      </c>
      <c r="G177">
        <v>3</v>
      </c>
      <c r="H177" t="s">
        <v>57</v>
      </c>
      <c r="I177">
        <v>1</v>
      </c>
      <c r="J177">
        <v>1960</v>
      </c>
      <c r="K177">
        <v>3</v>
      </c>
      <c r="L177" s="17" t="s">
        <v>43</v>
      </c>
      <c r="M177">
        <v>32</v>
      </c>
      <c r="N177">
        <v>2</v>
      </c>
      <c r="O177">
        <v>1</v>
      </c>
      <c r="P177" t="s">
        <v>47</v>
      </c>
      <c r="Q177">
        <v>4</v>
      </c>
      <c r="R177" t="s">
        <v>49</v>
      </c>
      <c r="S177" s="6">
        <v>2367</v>
      </c>
      <c r="T177">
        <v>18779</v>
      </c>
      <c r="U177">
        <v>5</v>
      </c>
      <c r="V177" t="s">
        <v>39</v>
      </c>
      <c r="W177" t="s">
        <v>40</v>
      </c>
      <c r="X177">
        <v>12</v>
      </c>
      <c r="Y177">
        <v>3</v>
      </c>
      <c r="Z177">
        <v>1</v>
      </c>
      <c r="AA177">
        <v>80</v>
      </c>
      <c r="AB177">
        <v>1</v>
      </c>
      <c r="AC177">
        <v>6</v>
      </c>
      <c r="AD177">
        <v>2</v>
      </c>
      <c r="AE177">
        <v>2</v>
      </c>
      <c r="AF177">
        <v>4</v>
      </c>
      <c r="AG177">
        <v>1</v>
      </c>
      <c r="AH177">
        <v>0</v>
      </c>
      <c r="AI177">
        <v>3</v>
      </c>
    </row>
    <row r="178" spans="1:35" x14ac:dyDescent="0.3">
      <c r="A178">
        <v>26</v>
      </c>
      <c r="B178" t="s">
        <v>40</v>
      </c>
      <c r="C178" t="s">
        <v>33</v>
      </c>
      <c r="D178">
        <v>841</v>
      </c>
      <c r="E178" t="s">
        <v>42</v>
      </c>
      <c r="F178">
        <v>6</v>
      </c>
      <c r="G178">
        <v>3</v>
      </c>
      <c r="H178" t="s">
        <v>46</v>
      </c>
      <c r="I178">
        <v>1</v>
      </c>
      <c r="J178">
        <v>164</v>
      </c>
      <c r="K178">
        <v>3</v>
      </c>
      <c r="L178" s="17" t="s">
        <v>36</v>
      </c>
      <c r="M178">
        <v>46</v>
      </c>
      <c r="N178">
        <v>2</v>
      </c>
      <c r="O178">
        <v>1</v>
      </c>
      <c r="P178" t="s">
        <v>44</v>
      </c>
      <c r="Q178">
        <v>2</v>
      </c>
      <c r="R178" t="s">
        <v>45</v>
      </c>
      <c r="S178" s="6">
        <v>2368</v>
      </c>
      <c r="T178">
        <v>23300</v>
      </c>
      <c r="U178">
        <v>1</v>
      </c>
      <c r="V178" t="s">
        <v>39</v>
      </c>
      <c r="W178" t="s">
        <v>40</v>
      </c>
      <c r="X178">
        <v>19</v>
      </c>
      <c r="Y178">
        <v>3</v>
      </c>
      <c r="Z178">
        <v>3</v>
      </c>
      <c r="AA178">
        <v>80</v>
      </c>
      <c r="AB178">
        <v>0</v>
      </c>
      <c r="AC178">
        <v>5</v>
      </c>
      <c r="AD178">
        <v>3</v>
      </c>
      <c r="AE178">
        <v>2</v>
      </c>
      <c r="AF178">
        <v>5</v>
      </c>
      <c r="AG178">
        <v>4</v>
      </c>
      <c r="AH178">
        <v>4</v>
      </c>
      <c r="AI178">
        <v>3</v>
      </c>
    </row>
    <row r="179" spans="1:35" x14ac:dyDescent="0.3">
      <c r="A179">
        <v>32</v>
      </c>
      <c r="B179" t="s">
        <v>40</v>
      </c>
      <c r="C179" t="s">
        <v>33</v>
      </c>
      <c r="D179">
        <v>1062</v>
      </c>
      <c r="E179" t="s">
        <v>42</v>
      </c>
      <c r="F179">
        <v>2</v>
      </c>
      <c r="G179">
        <v>3</v>
      </c>
      <c r="H179" t="s">
        <v>48</v>
      </c>
      <c r="I179">
        <v>1</v>
      </c>
      <c r="J179">
        <v>471</v>
      </c>
      <c r="K179">
        <v>3</v>
      </c>
      <c r="L179" s="17" t="s">
        <v>36</v>
      </c>
      <c r="M179">
        <v>75</v>
      </c>
      <c r="N179">
        <v>3</v>
      </c>
      <c r="O179">
        <v>1</v>
      </c>
      <c r="P179" t="s">
        <v>47</v>
      </c>
      <c r="Q179">
        <v>2</v>
      </c>
      <c r="R179" t="s">
        <v>45</v>
      </c>
      <c r="S179" s="6">
        <v>2370</v>
      </c>
      <c r="T179">
        <v>3956</v>
      </c>
      <c r="U179">
        <v>1</v>
      </c>
      <c r="V179" t="s">
        <v>39</v>
      </c>
      <c r="W179" t="s">
        <v>40</v>
      </c>
      <c r="X179">
        <v>13</v>
      </c>
      <c r="Y179">
        <v>3</v>
      </c>
      <c r="Z179">
        <v>3</v>
      </c>
      <c r="AA179">
        <v>80</v>
      </c>
      <c r="AB179">
        <v>1</v>
      </c>
      <c r="AC179">
        <v>8</v>
      </c>
      <c r="AD179">
        <v>4</v>
      </c>
      <c r="AE179">
        <v>3</v>
      </c>
      <c r="AF179">
        <v>8</v>
      </c>
      <c r="AG179">
        <v>0</v>
      </c>
      <c r="AH179">
        <v>0</v>
      </c>
      <c r="AI179">
        <v>7</v>
      </c>
    </row>
    <row r="180" spans="1:35" x14ac:dyDescent="0.3">
      <c r="A180">
        <v>42</v>
      </c>
      <c r="B180" t="s">
        <v>40</v>
      </c>
      <c r="C180" t="s">
        <v>33</v>
      </c>
      <c r="D180">
        <v>603</v>
      </c>
      <c r="E180" t="s">
        <v>42</v>
      </c>
      <c r="F180">
        <v>7</v>
      </c>
      <c r="G180">
        <v>4</v>
      </c>
      <c r="H180" t="s">
        <v>48</v>
      </c>
      <c r="I180">
        <v>1</v>
      </c>
      <c r="J180">
        <v>1292</v>
      </c>
      <c r="K180">
        <v>2</v>
      </c>
      <c r="L180" s="17" t="s">
        <v>36</v>
      </c>
      <c r="M180">
        <v>78</v>
      </c>
      <c r="N180">
        <v>4</v>
      </c>
      <c r="O180">
        <v>2</v>
      </c>
      <c r="P180" t="s">
        <v>44</v>
      </c>
      <c r="Q180">
        <v>2</v>
      </c>
      <c r="R180" t="s">
        <v>45</v>
      </c>
      <c r="S180" s="6">
        <v>2372</v>
      </c>
      <c r="T180">
        <v>5628</v>
      </c>
      <c r="U180">
        <v>6</v>
      </c>
      <c r="V180" t="s">
        <v>39</v>
      </c>
      <c r="W180" t="s">
        <v>32</v>
      </c>
      <c r="X180">
        <v>16</v>
      </c>
      <c r="Y180">
        <v>3</v>
      </c>
      <c r="Z180">
        <v>4</v>
      </c>
      <c r="AA180">
        <v>80</v>
      </c>
      <c r="AB180">
        <v>0</v>
      </c>
      <c r="AC180">
        <v>18</v>
      </c>
      <c r="AD180">
        <v>2</v>
      </c>
      <c r="AE180">
        <v>3</v>
      </c>
      <c r="AF180">
        <v>1</v>
      </c>
      <c r="AG180">
        <v>0</v>
      </c>
      <c r="AH180">
        <v>0</v>
      </c>
      <c r="AI180">
        <v>0</v>
      </c>
    </row>
    <row r="181" spans="1:35" x14ac:dyDescent="0.3">
      <c r="A181">
        <v>58</v>
      </c>
      <c r="B181" t="s">
        <v>40</v>
      </c>
      <c r="C181" t="s">
        <v>33</v>
      </c>
      <c r="D181">
        <v>848</v>
      </c>
      <c r="E181" t="s">
        <v>42</v>
      </c>
      <c r="F181">
        <v>23</v>
      </c>
      <c r="G181">
        <v>4</v>
      </c>
      <c r="H181" t="s">
        <v>35</v>
      </c>
      <c r="I181">
        <v>1</v>
      </c>
      <c r="J181">
        <v>1308</v>
      </c>
      <c r="K181">
        <v>1</v>
      </c>
      <c r="L181" s="17" t="s">
        <v>43</v>
      </c>
      <c r="M181">
        <v>88</v>
      </c>
      <c r="N181">
        <v>3</v>
      </c>
      <c r="O181">
        <v>1</v>
      </c>
      <c r="P181" t="s">
        <v>44</v>
      </c>
      <c r="Q181">
        <v>3</v>
      </c>
      <c r="R181" t="s">
        <v>49</v>
      </c>
      <c r="S181" s="6">
        <v>2372</v>
      </c>
      <c r="T181">
        <v>26076</v>
      </c>
      <c r="U181">
        <v>1</v>
      </c>
      <c r="V181" t="s">
        <v>39</v>
      </c>
      <c r="W181" t="s">
        <v>40</v>
      </c>
      <c r="X181">
        <v>12</v>
      </c>
      <c r="Y181">
        <v>3</v>
      </c>
      <c r="Z181">
        <v>4</v>
      </c>
      <c r="AA181">
        <v>80</v>
      </c>
      <c r="AB181">
        <v>2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2</v>
      </c>
    </row>
    <row r="182" spans="1:35" x14ac:dyDescent="0.3">
      <c r="A182">
        <v>26</v>
      </c>
      <c r="B182" t="s">
        <v>32</v>
      </c>
      <c r="C182" t="s">
        <v>33</v>
      </c>
      <c r="D182">
        <v>1449</v>
      </c>
      <c r="E182" t="s">
        <v>42</v>
      </c>
      <c r="F182">
        <v>16</v>
      </c>
      <c r="G182">
        <v>4</v>
      </c>
      <c r="H182" t="s">
        <v>48</v>
      </c>
      <c r="I182">
        <v>1</v>
      </c>
      <c r="J182">
        <v>394</v>
      </c>
      <c r="K182">
        <v>1</v>
      </c>
      <c r="L182" s="17" t="s">
        <v>43</v>
      </c>
      <c r="M182">
        <v>45</v>
      </c>
      <c r="N182">
        <v>3</v>
      </c>
      <c r="O182">
        <v>1</v>
      </c>
      <c r="P182" t="s">
        <v>47</v>
      </c>
      <c r="Q182">
        <v>2</v>
      </c>
      <c r="R182" t="s">
        <v>49</v>
      </c>
      <c r="S182" s="6">
        <v>2373</v>
      </c>
      <c r="T182">
        <v>14180</v>
      </c>
      <c r="U182">
        <v>2</v>
      </c>
      <c r="V182" t="s">
        <v>39</v>
      </c>
      <c r="W182" t="s">
        <v>32</v>
      </c>
      <c r="X182">
        <v>13</v>
      </c>
      <c r="Y182">
        <v>3</v>
      </c>
      <c r="Z182">
        <v>4</v>
      </c>
      <c r="AA182">
        <v>80</v>
      </c>
      <c r="AB182">
        <v>1</v>
      </c>
      <c r="AC182">
        <v>5</v>
      </c>
      <c r="AD182">
        <v>2</v>
      </c>
      <c r="AE182">
        <v>3</v>
      </c>
      <c r="AF182">
        <v>3</v>
      </c>
      <c r="AG182">
        <v>2</v>
      </c>
      <c r="AH182">
        <v>0</v>
      </c>
      <c r="AI182">
        <v>2</v>
      </c>
    </row>
    <row r="183" spans="1:35" x14ac:dyDescent="0.3">
      <c r="A183">
        <v>35</v>
      </c>
      <c r="B183" t="s">
        <v>40</v>
      </c>
      <c r="C183" t="s">
        <v>41</v>
      </c>
      <c r="D183">
        <v>636</v>
      </c>
      <c r="E183" t="s">
        <v>42</v>
      </c>
      <c r="F183">
        <v>4</v>
      </c>
      <c r="G183">
        <v>4</v>
      </c>
      <c r="H183" t="s">
        <v>46</v>
      </c>
      <c r="I183">
        <v>1</v>
      </c>
      <c r="J183">
        <v>1185</v>
      </c>
      <c r="K183">
        <v>4</v>
      </c>
      <c r="L183" s="17" t="s">
        <v>43</v>
      </c>
      <c r="M183">
        <v>47</v>
      </c>
      <c r="N183">
        <v>2</v>
      </c>
      <c r="O183">
        <v>1</v>
      </c>
      <c r="P183" t="s">
        <v>47</v>
      </c>
      <c r="Q183">
        <v>4</v>
      </c>
      <c r="R183" t="s">
        <v>45</v>
      </c>
      <c r="S183" s="6">
        <v>2376</v>
      </c>
      <c r="T183">
        <v>26537</v>
      </c>
      <c r="U183">
        <v>1</v>
      </c>
      <c r="V183" t="s">
        <v>39</v>
      </c>
      <c r="W183" t="s">
        <v>40</v>
      </c>
      <c r="X183">
        <v>13</v>
      </c>
      <c r="Y183">
        <v>3</v>
      </c>
      <c r="Z183">
        <v>2</v>
      </c>
      <c r="AA183">
        <v>80</v>
      </c>
      <c r="AB183">
        <v>1</v>
      </c>
      <c r="AC183">
        <v>2</v>
      </c>
      <c r="AD183">
        <v>2</v>
      </c>
      <c r="AE183">
        <v>4</v>
      </c>
      <c r="AF183">
        <v>2</v>
      </c>
      <c r="AG183">
        <v>2</v>
      </c>
      <c r="AH183">
        <v>2</v>
      </c>
      <c r="AI183">
        <v>2</v>
      </c>
    </row>
    <row r="184" spans="1:35" x14ac:dyDescent="0.3">
      <c r="A184">
        <v>28</v>
      </c>
      <c r="B184" t="s">
        <v>40</v>
      </c>
      <c r="C184" t="s">
        <v>33</v>
      </c>
      <c r="D184">
        <v>995</v>
      </c>
      <c r="E184" t="s">
        <v>42</v>
      </c>
      <c r="F184">
        <v>9</v>
      </c>
      <c r="G184">
        <v>3</v>
      </c>
      <c r="H184" t="s">
        <v>48</v>
      </c>
      <c r="I184">
        <v>1</v>
      </c>
      <c r="J184">
        <v>930</v>
      </c>
      <c r="K184">
        <v>3</v>
      </c>
      <c r="L184" s="17" t="s">
        <v>36</v>
      </c>
      <c r="M184">
        <v>77</v>
      </c>
      <c r="N184">
        <v>3</v>
      </c>
      <c r="O184">
        <v>1</v>
      </c>
      <c r="P184" t="s">
        <v>44</v>
      </c>
      <c r="Q184">
        <v>3</v>
      </c>
      <c r="R184" t="s">
        <v>49</v>
      </c>
      <c r="S184" s="6">
        <v>2377</v>
      </c>
      <c r="T184">
        <v>9834</v>
      </c>
      <c r="U184">
        <v>5</v>
      </c>
      <c r="V184" t="s">
        <v>39</v>
      </c>
      <c r="W184" t="s">
        <v>40</v>
      </c>
      <c r="X184">
        <v>18</v>
      </c>
      <c r="Y184">
        <v>3</v>
      </c>
      <c r="Z184">
        <v>2</v>
      </c>
      <c r="AA184">
        <v>80</v>
      </c>
      <c r="AB184">
        <v>1</v>
      </c>
      <c r="AC184">
        <v>6</v>
      </c>
      <c r="AD184">
        <v>2</v>
      </c>
      <c r="AE184">
        <v>3</v>
      </c>
      <c r="AF184">
        <v>2</v>
      </c>
      <c r="AG184">
        <v>2</v>
      </c>
      <c r="AH184">
        <v>2</v>
      </c>
      <c r="AI184">
        <v>2</v>
      </c>
    </row>
    <row r="185" spans="1:35" x14ac:dyDescent="0.3">
      <c r="A185">
        <v>26</v>
      </c>
      <c r="B185" t="s">
        <v>32</v>
      </c>
      <c r="C185" t="s">
        <v>33</v>
      </c>
      <c r="D185">
        <v>1330</v>
      </c>
      <c r="E185" t="s">
        <v>42</v>
      </c>
      <c r="F185">
        <v>21</v>
      </c>
      <c r="G185">
        <v>3</v>
      </c>
      <c r="H185" t="s">
        <v>48</v>
      </c>
      <c r="I185">
        <v>1</v>
      </c>
      <c r="J185">
        <v>1107</v>
      </c>
      <c r="K185">
        <v>1</v>
      </c>
      <c r="L185" s="17" t="s">
        <v>43</v>
      </c>
      <c r="M185">
        <v>37</v>
      </c>
      <c r="N185">
        <v>3</v>
      </c>
      <c r="O185">
        <v>1</v>
      </c>
      <c r="P185" t="s">
        <v>47</v>
      </c>
      <c r="Q185">
        <v>3</v>
      </c>
      <c r="R185" t="s">
        <v>49</v>
      </c>
      <c r="S185" s="6">
        <v>2377</v>
      </c>
      <c r="T185">
        <v>19373</v>
      </c>
      <c r="U185">
        <v>1</v>
      </c>
      <c r="V185" t="s">
        <v>39</v>
      </c>
      <c r="W185" t="s">
        <v>40</v>
      </c>
      <c r="X185">
        <v>20</v>
      </c>
      <c r="Y185">
        <v>4</v>
      </c>
      <c r="Z185">
        <v>3</v>
      </c>
      <c r="AA185">
        <v>80</v>
      </c>
      <c r="AB185">
        <v>1</v>
      </c>
      <c r="AC185">
        <v>1</v>
      </c>
      <c r="AD185">
        <v>0</v>
      </c>
      <c r="AE185">
        <v>2</v>
      </c>
      <c r="AF185">
        <v>1</v>
      </c>
      <c r="AG185">
        <v>1</v>
      </c>
      <c r="AH185">
        <v>0</v>
      </c>
      <c r="AI185">
        <v>0</v>
      </c>
    </row>
    <row r="186" spans="1:35" x14ac:dyDescent="0.3">
      <c r="A186">
        <v>27</v>
      </c>
      <c r="B186" t="s">
        <v>40</v>
      </c>
      <c r="C186" t="s">
        <v>41</v>
      </c>
      <c r="D186">
        <v>1297</v>
      </c>
      <c r="E186" t="s">
        <v>42</v>
      </c>
      <c r="F186">
        <v>5</v>
      </c>
      <c r="G186">
        <v>2</v>
      </c>
      <c r="H186" t="s">
        <v>35</v>
      </c>
      <c r="I186">
        <v>1</v>
      </c>
      <c r="J186">
        <v>1850</v>
      </c>
      <c r="K186">
        <v>4</v>
      </c>
      <c r="L186" s="17" t="s">
        <v>36</v>
      </c>
      <c r="M186">
        <v>53</v>
      </c>
      <c r="N186">
        <v>3</v>
      </c>
      <c r="O186">
        <v>1</v>
      </c>
      <c r="P186" t="s">
        <v>47</v>
      </c>
      <c r="Q186">
        <v>4</v>
      </c>
      <c r="R186" t="s">
        <v>38</v>
      </c>
      <c r="S186" s="6">
        <v>2379</v>
      </c>
      <c r="T186">
        <v>19826</v>
      </c>
      <c r="U186">
        <v>0</v>
      </c>
      <c r="V186" t="s">
        <v>39</v>
      </c>
      <c r="W186" t="s">
        <v>32</v>
      </c>
      <c r="X186">
        <v>14</v>
      </c>
      <c r="Y186">
        <v>3</v>
      </c>
      <c r="Z186">
        <v>3</v>
      </c>
      <c r="AA186">
        <v>80</v>
      </c>
      <c r="AB186">
        <v>0</v>
      </c>
      <c r="AC186">
        <v>6</v>
      </c>
      <c r="AD186">
        <v>3</v>
      </c>
      <c r="AE186">
        <v>2</v>
      </c>
      <c r="AF186">
        <v>5</v>
      </c>
      <c r="AG186">
        <v>4</v>
      </c>
      <c r="AH186">
        <v>0</v>
      </c>
      <c r="AI186">
        <v>2</v>
      </c>
    </row>
    <row r="187" spans="1:35" x14ac:dyDescent="0.3">
      <c r="A187">
        <v>58</v>
      </c>
      <c r="B187" t="s">
        <v>32</v>
      </c>
      <c r="C187" t="s">
        <v>41</v>
      </c>
      <c r="D187">
        <v>781</v>
      </c>
      <c r="E187" t="s">
        <v>42</v>
      </c>
      <c r="F187">
        <v>2</v>
      </c>
      <c r="G187">
        <v>1</v>
      </c>
      <c r="H187" t="s">
        <v>35</v>
      </c>
      <c r="I187">
        <v>1</v>
      </c>
      <c r="J187">
        <v>918</v>
      </c>
      <c r="K187">
        <v>4</v>
      </c>
      <c r="L187" s="17" t="s">
        <v>43</v>
      </c>
      <c r="M187">
        <v>57</v>
      </c>
      <c r="N187">
        <v>2</v>
      </c>
      <c r="O187">
        <v>1</v>
      </c>
      <c r="P187" t="s">
        <v>47</v>
      </c>
      <c r="Q187">
        <v>4</v>
      </c>
      <c r="R187" t="s">
        <v>49</v>
      </c>
      <c r="S187" s="6">
        <v>2380</v>
      </c>
      <c r="T187">
        <v>13384</v>
      </c>
      <c r="U187">
        <v>9</v>
      </c>
      <c r="V187" t="s">
        <v>39</v>
      </c>
      <c r="W187" t="s">
        <v>32</v>
      </c>
      <c r="X187">
        <v>14</v>
      </c>
      <c r="Y187">
        <v>3</v>
      </c>
      <c r="Z187">
        <v>4</v>
      </c>
      <c r="AA187">
        <v>80</v>
      </c>
      <c r="AB187">
        <v>1</v>
      </c>
      <c r="AC187">
        <v>3</v>
      </c>
      <c r="AD187">
        <v>3</v>
      </c>
      <c r="AE187">
        <v>2</v>
      </c>
      <c r="AF187">
        <v>1</v>
      </c>
      <c r="AG187">
        <v>0</v>
      </c>
      <c r="AH187">
        <v>0</v>
      </c>
      <c r="AI187">
        <v>0</v>
      </c>
    </row>
    <row r="188" spans="1:35" x14ac:dyDescent="0.3">
      <c r="A188">
        <v>50</v>
      </c>
      <c r="B188" t="s">
        <v>40</v>
      </c>
      <c r="C188" t="s">
        <v>33</v>
      </c>
      <c r="D188">
        <v>804</v>
      </c>
      <c r="E188" t="s">
        <v>42</v>
      </c>
      <c r="F188">
        <v>9</v>
      </c>
      <c r="G188">
        <v>3</v>
      </c>
      <c r="H188" t="s">
        <v>35</v>
      </c>
      <c r="I188">
        <v>1</v>
      </c>
      <c r="J188">
        <v>1030</v>
      </c>
      <c r="K188">
        <v>1</v>
      </c>
      <c r="L188" s="17" t="s">
        <v>43</v>
      </c>
      <c r="M188">
        <v>64</v>
      </c>
      <c r="N188">
        <v>3</v>
      </c>
      <c r="O188">
        <v>1</v>
      </c>
      <c r="P188" t="s">
        <v>47</v>
      </c>
      <c r="Q188">
        <v>4</v>
      </c>
      <c r="R188" t="s">
        <v>45</v>
      </c>
      <c r="S188" s="6">
        <v>2380</v>
      </c>
      <c r="T188">
        <v>20165</v>
      </c>
      <c r="U188">
        <v>4</v>
      </c>
      <c r="V188" t="s">
        <v>39</v>
      </c>
      <c r="W188" t="s">
        <v>40</v>
      </c>
      <c r="X188">
        <v>18</v>
      </c>
      <c r="Y188">
        <v>3</v>
      </c>
      <c r="Z188">
        <v>2</v>
      </c>
      <c r="AA188">
        <v>80</v>
      </c>
      <c r="AB188">
        <v>0</v>
      </c>
      <c r="AC188">
        <v>8</v>
      </c>
      <c r="AD188">
        <v>5</v>
      </c>
      <c r="AE188">
        <v>3</v>
      </c>
      <c r="AF188">
        <v>1</v>
      </c>
      <c r="AG188">
        <v>0</v>
      </c>
      <c r="AH188">
        <v>0</v>
      </c>
      <c r="AI188">
        <v>0</v>
      </c>
    </row>
    <row r="189" spans="1:35" x14ac:dyDescent="0.3">
      <c r="A189">
        <v>21</v>
      </c>
      <c r="B189" t="s">
        <v>40</v>
      </c>
      <c r="C189" t="s">
        <v>33</v>
      </c>
      <c r="D189">
        <v>501</v>
      </c>
      <c r="E189" t="s">
        <v>34</v>
      </c>
      <c r="F189">
        <v>5</v>
      </c>
      <c r="G189">
        <v>1</v>
      </c>
      <c r="H189" t="s">
        <v>48</v>
      </c>
      <c r="I189">
        <v>1</v>
      </c>
      <c r="J189">
        <v>2021</v>
      </c>
      <c r="K189">
        <v>3</v>
      </c>
      <c r="L189" s="17" t="s">
        <v>43</v>
      </c>
      <c r="M189">
        <v>58</v>
      </c>
      <c r="N189">
        <v>3</v>
      </c>
      <c r="O189">
        <v>1</v>
      </c>
      <c r="P189" t="s">
        <v>54</v>
      </c>
      <c r="Q189">
        <v>1</v>
      </c>
      <c r="R189" t="s">
        <v>38</v>
      </c>
      <c r="S189" s="6">
        <v>2380</v>
      </c>
      <c r="T189">
        <v>25479</v>
      </c>
      <c r="U189">
        <v>1</v>
      </c>
      <c r="V189" t="s">
        <v>39</v>
      </c>
      <c r="W189" t="s">
        <v>32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2</v>
      </c>
      <c r="AD189">
        <v>6</v>
      </c>
      <c r="AE189">
        <v>3</v>
      </c>
      <c r="AF189">
        <v>2</v>
      </c>
      <c r="AG189">
        <v>2</v>
      </c>
      <c r="AH189">
        <v>1</v>
      </c>
      <c r="AI189">
        <v>2</v>
      </c>
    </row>
    <row r="190" spans="1:35" x14ac:dyDescent="0.3">
      <c r="A190">
        <v>40</v>
      </c>
      <c r="B190" t="s">
        <v>40</v>
      </c>
      <c r="C190" t="s">
        <v>33</v>
      </c>
      <c r="D190">
        <v>329</v>
      </c>
      <c r="E190" t="s">
        <v>42</v>
      </c>
      <c r="F190">
        <v>1</v>
      </c>
      <c r="G190">
        <v>4</v>
      </c>
      <c r="H190" t="s">
        <v>35</v>
      </c>
      <c r="I190">
        <v>1</v>
      </c>
      <c r="J190">
        <v>1361</v>
      </c>
      <c r="K190">
        <v>2</v>
      </c>
      <c r="L190" s="17" t="s">
        <v>43</v>
      </c>
      <c r="M190">
        <v>88</v>
      </c>
      <c r="N190">
        <v>3</v>
      </c>
      <c r="O190">
        <v>1</v>
      </c>
      <c r="P190" t="s">
        <v>47</v>
      </c>
      <c r="Q190">
        <v>2</v>
      </c>
      <c r="R190" t="s">
        <v>45</v>
      </c>
      <c r="S190" s="6">
        <v>2387</v>
      </c>
      <c r="T190">
        <v>6762</v>
      </c>
      <c r="U190">
        <v>3</v>
      </c>
      <c r="V190" t="s">
        <v>39</v>
      </c>
      <c r="W190" t="s">
        <v>40</v>
      </c>
      <c r="X190">
        <v>22</v>
      </c>
      <c r="Y190">
        <v>4</v>
      </c>
      <c r="Z190">
        <v>3</v>
      </c>
      <c r="AA190">
        <v>80</v>
      </c>
      <c r="AB190">
        <v>1</v>
      </c>
      <c r="AC190">
        <v>7</v>
      </c>
      <c r="AD190">
        <v>3</v>
      </c>
      <c r="AE190">
        <v>3</v>
      </c>
      <c r="AF190">
        <v>4</v>
      </c>
      <c r="AG190">
        <v>2</v>
      </c>
      <c r="AH190">
        <v>0</v>
      </c>
      <c r="AI190">
        <v>3</v>
      </c>
    </row>
    <row r="191" spans="1:35" x14ac:dyDescent="0.3">
      <c r="A191">
        <v>29</v>
      </c>
      <c r="B191" t="s">
        <v>32</v>
      </c>
      <c r="C191" t="s">
        <v>33</v>
      </c>
      <c r="D191">
        <v>896</v>
      </c>
      <c r="E191" t="s">
        <v>42</v>
      </c>
      <c r="F191">
        <v>18</v>
      </c>
      <c r="G191">
        <v>1</v>
      </c>
      <c r="H191" t="s">
        <v>48</v>
      </c>
      <c r="I191">
        <v>1</v>
      </c>
      <c r="J191">
        <v>315</v>
      </c>
      <c r="K191">
        <v>3</v>
      </c>
      <c r="L191" s="17" t="s">
        <v>43</v>
      </c>
      <c r="M191">
        <v>86</v>
      </c>
      <c r="N191">
        <v>2</v>
      </c>
      <c r="O191">
        <v>1</v>
      </c>
      <c r="P191" t="s">
        <v>44</v>
      </c>
      <c r="Q191">
        <v>4</v>
      </c>
      <c r="R191" t="s">
        <v>38</v>
      </c>
      <c r="S191" s="6">
        <v>2389</v>
      </c>
      <c r="T191">
        <v>14961</v>
      </c>
      <c r="U191">
        <v>1</v>
      </c>
      <c r="V191" t="s">
        <v>39</v>
      </c>
      <c r="W191" t="s">
        <v>32</v>
      </c>
      <c r="X191">
        <v>13</v>
      </c>
      <c r="Y191">
        <v>3</v>
      </c>
      <c r="Z191">
        <v>3</v>
      </c>
      <c r="AA191">
        <v>80</v>
      </c>
      <c r="AB191">
        <v>0</v>
      </c>
      <c r="AC191">
        <v>4</v>
      </c>
      <c r="AD191">
        <v>3</v>
      </c>
      <c r="AE191">
        <v>2</v>
      </c>
      <c r="AF191">
        <v>4</v>
      </c>
      <c r="AG191">
        <v>3</v>
      </c>
      <c r="AH191">
        <v>0</v>
      </c>
      <c r="AI191">
        <v>1</v>
      </c>
    </row>
    <row r="192" spans="1:35" x14ac:dyDescent="0.3">
      <c r="A192">
        <v>27</v>
      </c>
      <c r="B192" t="s">
        <v>32</v>
      </c>
      <c r="C192" t="s">
        <v>33</v>
      </c>
      <c r="D192">
        <v>135</v>
      </c>
      <c r="E192" t="s">
        <v>42</v>
      </c>
      <c r="F192">
        <v>17</v>
      </c>
      <c r="G192">
        <v>4</v>
      </c>
      <c r="H192" t="s">
        <v>35</v>
      </c>
      <c r="I192">
        <v>1</v>
      </c>
      <c r="J192">
        <v>1405</v>
      </c>
      <c r="K192">
        <v>4</v>
      </c>
      <c r="L192" s="17" t="s">
        <v>36</v>
      </c>
      <c r="M192">
        <v>51</v>
      </c>
      <c r="N192">
        <v>3</v>
      </c>
      <c r="O192">
        <v>1</v>
      </c>
      <c r="P192" t="s">
        <v>44</v>
      </c>
      <c r="Q192">
        <v>3</v>
      </c>
      <c r="R192" t="s">
        <v>38</v>
      </c>
      <c r="S192" s="6">
        <v>2394</v>
      </c>
      <c r="T192">
        <v>25681</v>
      </c>
      <c r="U192">
        <v>1</v>
      </c>
      <c r="V192" t="s">
        <v>39</v>
      </c>
      <c r="W192" t="s">
        <v>32</v>
      </c>
      <c r="X192">
        <v>13</v>
      </c>
      <c r="Y192">
        <v>3</v>
      </c>
      <c r="Z192">
        <v>4</v>
      </c>
      <c r="AA192">
        <v>80</v>
      </c>
      <c r="AB192">
        <v>0</v>
      </c>
      <c r="AC192">
        <v>8</v>
      </c>
      <c r="AD192">
        <v>2</v>
      </c>
      <c r="AE192">
        <v>3</v>
      </c>
      <c r="AF192">
        <v>8</v>
      </c>
      <c r="AG192">
        <v>2</v>
      </c>
      <c r="AH192">
        <v>7</v>
      </c>
      <c r="AI192">
        <v>7</v>
      </c>
    </row>
    <row r="193" spans="1:35" x14ac:dyDescent="0.3">
      <c r="A193">
        <v>22</v>
      </c>
      <c r="B193" t="s">
        <v>32</v>
      </c>
      <c r="C193" t="s">
        <v>33</v>
      </c>
      <c r="D193">
        <v>1294</v>
      </c>
      <c r="E193" t="s">
        <v>42</v>
      </c>
      <c r="F193">
        <v>8</v>
      </c>
      <c r="G193">
        <v>1</v>
      </c>
      <c r="H193" t="s">
        <v>48</v>
      </c>
      <c r="I193">
        <v>1</v>
      </c>
      <c r="J193">
        <v>1783</v>
      </c>
      <c r="K193">
        <v>3</v>
      </c>
      <c r="L193" s="17" t="s">
        <v>36</v>
      </c>
      <c r="M193">
        <v>79</v>
      </c>
      <c r="N193">
        <v>3</v>
      </c>
      <c r="O193">
        <v>1</v>
      </c>
      <c r="P193" t="s">
        <v>47</v>
      </c>
      <c r="Q193">
        <v>1</v>
      </c>
      <c r="R193" t="s">
        <v>45</v>
      </c>
      <c r="S193" s="6">
        <v>2398</v>
      </c>
      <c r="T193">
        <v>15999</v>
      </c>
      <c r="U193">
        <v>1</v>
      </c>
      <c r="V193" t="s">
        <v>39</v>
      </c>
      <c r="W193" t="s">
        <v>32</v>
      </c>
      <c r="X193">
        <v>17</v>
      </c>
      <c r="Y193">
        <v>3</v>
      </c>
      <c r="Z193">
        <v>3</v>
      </c>
      <c r="AA193">
        <v>80</v>
      </c>
      <c r="AB193">
        <v>0</v>
      </c>
      <c r="AC193">
        <v>1</v>
      </c>
      <c r="AD193">
        <v>6</v>
      </c>
      <c r="AE193">
        <v>3</v>
      </c>
      <c r="AF193">
        <v>1</v>
      </c>
      <c r="AG193">
        <v>0</v>
      </c>
      <c r="AH193">
        <v>0</v>
      </c>
      <c r="AI193">
        <v>0</v>
      </c>
    </row>
    <row r="194" spans="1:35" x14ac:dyDescent="0.3">
      <c r="A194">
        <v>24</v>
      </c>
      <c r="B194" t="s">
        <v>40</v>
      </c>
      <c r="C194" t="s">
        <v>41</v>
      </c>
      <c r="D194">
        <v>535</v>
      </c>
      <c r="E194" t="s">
        <v>34</v>
      </c>
      <c r="F194">
        <v>24</v>
      </c>
      <c r="G194">
        <v>3</v>
      </c>
      <c r="H194" t="s">
        <v>48</v>
      </c>
      <c r="I194">
        <v>1</v>
      </c>
      <c r="J194">
        <v>632</v>
      </c>
      <c r="K194">
        <v>4</v>
      </c>
      <c r="L194" s="17" t="s">
        <v>43</v>
      </c>
      <c r="M194">
        <v>38</v>
      </c>
      <c r="N194">
        <v>3</v>
      </c>
      <c r="O194">
        <v>1</v>
      </c>
      <c r="P194" t="s">
        <v>54</v>
      </c>
      <c r="Q194">
        <v>4</v>
      </c>
      <c r="R194" t="s">
        <v>45</v>
      </c>
      <c r="S194" s="6">
        <v>2400</v>
      </c>
      <c r="T194">
        <v>5530</v>
      </c>
      <c r="U194">
        <v>0</v>
      </c>
      <c r="V194" t="s">
        <v>39</v>
      </c>
      <c r="W194" t="s">
        <v>40</v>
      </c>
      <c r="X194">
        <v>13</v>
      </c>
      <c r="Y194">
        <v>3</v>
      </c>
      <c r="Z194">
        <v>3</v>
      </c>
      <c r="AA194">
        <v>80</v>
      </c>
      <c r="AB194">
        <v>2</v>
      </c>
      <c r="AC194">
        <v>3</v>
      </c>
      <c r="AD194">
        <v>3</v>
      </c>
      <c r="AE194">
        <v>3</v>
      </c>
      <c r="AF194">
        <v>2</v>
      </c>
      <c r="AG194">
        <v>2</v>
      </c>
      <c r="AH194">
        <v>2</v>
      </c>
      <c r="AI194">
        <v>1</v>
      </c>
    </row>
    <row r="195" spans="1:35" x14ac:dyDescent="0.3">
      <c r="A195">
        <v>39</v>
      </c>
      <c r="B195" t="s">
        <v>32</v>
      </c>
      <c r="C195" t="s">
        <v>33</v>
      </c>
      <c r="D195">
        <v>1122</v>
      </c>
      <c r="E195" t="s">
        <v>42</v>
      </c>
      <c r="F195">
        <v>6</v>
      </c>
      <c r="G195">
        <v>3</v>
      </c>
      <c r="H195" t="s">
        <v>48</v>
      </c>
      <c r="I195">
        <v>1</v>
      </c>
      <c r="J195">
        <v>932</v>
      </c>
      <c r="K195">
        <v>4</v>
      </c>
      <c r="L195" s="17" t="s">
        <v>43</v>
      </c>
      <c r="M195">
        <v>70</v>
      </c>
      <c r="N195">
        <v>3</v>
      </c>
      <c r="O195">
        <v>1</v>
      </c>
      <c r="P195" t="s">
        <v>47</v>
      </c>
      <c r="Q195">
        <v>1</v>
      </c>
      <c r="R195" t="s">
        <v>45</v>
      </c>
      <c r="S195" s="6">
        <v>2404</v>
      </c>
      <c r="T195">
        <v>4303</v>
      </c>
      <c r="U195">
        <v>7</v>
      </c>
      <c r="V195" t="s">
        <v>39</v>
      </c>
      <c r="W195" t="s">
        <v>32</v>
      </c>
      <c r="X195">
        <v>21</v>
      </c>
      <c r="Y195">
        <v>4</v>
      </c>
      <c r="Z195">
        <v>4</v>
      </c>
      <c r="AA195">
        <v>80</v>
      </c>
      <c r="AB195">
        <v>0</v>
      </c>
      <c r="AC195">
        <v>8</v>
      </c>
      <c r="AD195">
        <v>2</v>
      </c>
      <c r="AE195">
        <v>1</v>
      </c>
      <c r="AF195">
        <v>2</v>
      </c>
      <c r="AG195">
        <v>2</v>
      </c>
      <c r="AH195">
        <v>2</v>
      </c>
      <c r="AI195">
        <v>2</v>
      </c>
    </row>
    <row r="196" spans="1:35" x14ac:dyDescent="0.3">
      <c r="A196">
        <v>29</v>
      </c>
      <c r="B196" t="s">
        <v>32</v>
      </c>
      <c r="C196" t="s">
        <v>33</v>
      </c>
      <c r="D196">
        <v>906</v>
      </c>
      <c r="E196" t="s">
        <v>42</v>
      </c>
      <c r="F196">
        <v>10</v>
      </c>
      <c r="G196">
        <v>3</v>
      </c>
      <c r="H196" t="s">
        <v>35</v>
      </c>
      <c r="I196">
        <v>1</v>
      </c>
      <c r="J196">
        <v>994</v>
      </c>
      <c r="K196">
        <v>4</v>
      </c>
      <c r="L196" s="17" t="s">
        <v>36</v>
      </c>
      <c r="M196">
        <v>92</v>
      </c>
      <c r="N196">
        <v>2</v>
      </c>
      <c r="O196">
        <v>1</v>
      </c>
      <c r="P196" t="s">
        <v>44</v>
      </c>
      <c r="Q196">
        <v>1</v>
      </c>
      <c r="R196" t="s">
        <v>38</v>
      </c>
      <c r="S196" s="6">
        <v>2404</v>
      </c>
      <c r="T196">
        <v>11479</v>
      </c>
      <c r="U196">
        <v>6</v>
      </c>
      <c r="V196" t="s">
        <v>39</v>
      </c>
      <c r="W196" t="s">
        <v>32</v>
      </c>
      <c r="X196">
        <v>20</v>
      </c>
      <c r="Y196">
        <v>4</v>
      </c>
      <c r="Z196">
        <v>3</v>
      </c>
      <c r="AA196">
        <v>80</v>
      </c>
      <c r="AB196">
        <v>0</v>
      </c>
      <c r="AC196">
        <v>3</v>
      </c>
      <c r="AD196">
        <v>5</v>
      </c>
      <c r="AE196">
        <v>3</v>
      </c>
      <c r="AF196">
        <v>0</v>
      </c>
      <c r="AG196">
        <v>0</v>
      </c>
      <c r="AH196">
        <v>0</v>
      </c>
      <c r="AI196">
        <v>0</v>
      </c>
    </row>
    <row r="197" spans="1:35" x14ac:dyDescent="0.3">
      <c r="A197">
        <v>35</v>
      </c>
      <c r="B197" t="s">
        <v>40</v>
      </c>
      <c r="C197" t="s">
        <v>33</v>
      </c>
      <c r="D197">
        <v>660</v>
      </c>
      <c r="E197" t="s">
        <v>34</v>
      </c>
      <c r="F197">
        <v>7</v>
      </c>
      <c r="G197">
        <v>1</v>
      </c>
      <c r="H197" t="s">
        <v>35</v>
      </c>
      <c r="I197">
        <v>1</v>
      </c>
      <c r="J197">
        <v>1492</v>
      </c>
      <c r="K197">
        <v>4</v>
      </c>
      <c r="L197" s="17" t="s">
        <v>43</v>
      </c>
      <c r="M197">
        <v>76</v>
      </c>
      <c r="N197">
        <v>3</v>
      </c>
      <c r="O197">
        <v>1</v>
      </c>
      <c r="P197" t="s">
        <v>54</v>
      </c>
      <c r="Q197">
        <v>3</v>
      </c>
      <c r="R197" t="s">
        <v>45</v>
      </c>
      <c r="S197" s="6">
        <v>2404</v>
      </c>
      <c r="T197">
        <v>16192</v>
      </c>
      <c r="U197">
        <v>1</v>
      </c>
      <c r="V197" t="s">
        <v>39</v>
      </c>
      <c r="W197" t="s">
        <v>40</v>
      </c>
      <c r="X197">
        <v>13</v>
      </c>
      <c r="Y197">
        <v>3</v>
      </c>
      <c r="Z197">
        <v>1</v>
      </c>
      <c r="AA197">
        <v>80</v>
      </c>
      <c r="AB197">
        <v>1</v>
      </c>
      <c r="AC197">
        <v>1</v>
      </c>
      <c r="AD197">
        <v>3</v>
      </c>
      <c r="AE197">
        <v>3</v>
      </c>
      <c r="AF197">
        <v>1</v>
      </c>
      <c r="AG197">
        <v>0</v>
      </c>
      <c r="AH197">
        <v>0</v>
      </c>
      <c r="AI197">
        <v>0</v>
      </c>
    </row>
    <row r="198" spans="1:35" x14ac:dyDescent="0.3">
      <c r="A198">
        <v>38</v>
      </c>
      <c r="B198" t="s">
        <v>40</v>
      </c>
      <c r="C198" t="s">
        <v>41</v>
      </c>
      <c r="D198">
        <v>653</v>
      </c>
      <c r="E198" t="s">
        <v>42</v>
      </c>
      <c r="F198">
        <v>29</v>
      </c>
      <c r="G198">
        <v>5</v>
      </c>
      <c r="H198" t="s">
        <v>35</v>
      </c>
      <c r="I198">
        <v>1</v>
      </c>
      <c r="J198">
        <v>79</v>
      </c>
      <c r="K198">
        <v>4</v>
      </c>
      <c r="L198" s="17" t="s">
        <v>36</v>
      </c>
      <c r="M198">
        <v>50</v>
      </c>
      <c r="N198">
        <v>3</v>
      </c>
      <c r="O198">
        <v>2</v>
      </c>
      <c r="P198" t="s">
        <v>47</v>
      </c>
      <c r="Q198">
        <v>4</v>
      </c>
      <c r="R198" t="s">
        <v>38</v>
      </c>
      <c r="S198" s="6">
        <v>2406</v>
      </c>
      <c r="T198">
        <v>5456</v>
      </c>
      <c r="U198">
        <v>1</v>
      </c>
      <c r="V198" t="s">
        <v>39</v>
      </c>
      <c r="W198" t="s">
        <v>40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2</v>
      </c>
      <c r="AE198">
        <v>3</v>
      </c>
      <c r="AF198">
        <v>10</v>
      </c>
      <c r="AG198">
        <v>3</v>
      </c>
      <c r="AH198">
        <v>9</v>
      </c>
      <c r="AI198">
        <v>9</v>
      </c>
    </row>
    <row r="199" spans="1:35" x14ac:dyDescent="0.3">
      <c r="A199">
        <v>40</v>
      </c>
      <c r="B199" t="s">
        <v>40</v>
      </c>
      <c r="C199" t="s">
        <v>33</v>
      </c>
      <c r="D199">
        <v>543</v>
      </c>
      <c r="E199" t="s">
        <v>42</v>
      </c>
      <c r="F199">
        <v>1</v>
      </c>
      <c r="G199">
        <v>4</v>
      </c>
      <c r="H199" t="s">
        <v>35</v>
      </c>
      <c r="I199">
        <v>1</v>
      </c>
      <c r="J199">
        <v>2012</v>
      </c>
      <c r="K199">
        <v>1</v>
      </c>
      <c r="L199" s="17" t="s">
        <v>43</v>
      </c>
      <c r="M199">
        <v>83</v>
      </c>
      <c r="N199">
        <v>3</v>
      </c>
      <c r="O199">
        <v>1</v>
      </c>
      <c r="P199" t="s">
        <v>47</v>
      </c>
      <c r="Q199">
        <v>4</v>
      </c>
      <c r="R199" t="s">
        <v>45</v>
      </c>
      <c r="S199" s="6">
        <v>2406</v>
      </c>
      <c r="T199">
        <v>4060</v>
      </c>
      <c r="U199">
        <v>8</v>
      </c>
      <c r="V199" t="s">
        <v>39</v>
      </c>
      <c r="W199" t="s">
        <v>40</v>
      </c>
      <c r="X199">
        <v>19</v>
      </c>
      <c r="Y199">
        <v>3</v>
      </c>
      <c r="Z199">
        <v>3</v>
      </c>
      <c r="AA199">
        <v>80</v>
      </c>
      <c r="AB199">
        <v>2</v>
      </c>
      <c r="AC199">
        <v>8</v>
      </c>
      <c r="AD199">
        <v>3</v>
      </c>
      <c r="AE199">
        <v>2</v>
      </c>
      <c r="AF199">
        <v>1</v>
      </c>
      <c r="AG199">
        <v>0</v>
      </c>
      <c r="AH199">
        <v>0</v>
      </c>
      <c r="AI199">
        <v>0</v>
      </c>
    </row>
    <row r="200" spans="1:35" x14ac:dyDescent="0.3">
      <c r="A200">
        <v>28</v>
      </c>
      <c r="B200" t="s">
        <v>32</v>
      </c>
      <c r="C200" t="s">
        <v>33</v>
      </c>
      <c r="D200">
        <v>329</v>
      </c>
      <c r="E200" t="s">
        <v>42</v>
      </c>
      <c r="F200">
        <v>24</v>
      </c>
      <c r="G200">
        <v>3</v>
      </c>
      <c r="H200" t="s">
        <v>48</v>
      </c>
      <c r="I200">
        <v>1</v>
      </c>
      <c r="J200">
        <v>1604</v>
      </c>
      <c r="K200">
        <v>3</v>
      </c>
      <c r="L200" s="17" t="s">
        <v>43</v>
      </c>
      <c r="M200">
        <v>51</v>
      </c>
      <c r="N200">
        <v>3</v>
      </c>
      <c r="O200">
        <v>1</v>
      </c>
      <c r="P200" t="s">
        <v>47</v>
      </c>
      <c r="Q200">
        <v>2</v>
      </c>
      <c r="R200" t="s">
        <v>45</v>
      </c>
      <c r="S200" s="6">
        <v>2408</v>
      </c>
      <c r="T200">
        <v>7324</v>
      </c>
      <c r="U200">
        <v>1</v>
      </c>
      <c r="V200" t="s">
        <v>39</v>
      </c>
      <c r="W200" t="s">
        <v>32</v>
      </c>
      <c r="X200">
        <v>17</v>
      </c>
      <c r="Y200">
        <v>3</v>
      </c>
      <c r="Z200">
        <v>3</v>
      </c>
      <c r="AA200">
        <v>80</v>
      </c>
      <c r="AB200">
        <v>3</v>
      </c>
      <c r="AC200">
        <v>1</v>
      </c>
      <c r="AD200">
        <v>3</v>
      </c>
      <c r="AE200">
        <v>3</v>
      </c>
      <c r="AF200">
        <v>1</v>
      </c>
      <c r="AG200">
        <v>1</v>
      </c>
      <c r="AH200">
        <v>0</v>
      </c>
      <c r="AI200">
        <v>0</v>
      </c>
    </row>
    <row r="201" spans="1:35" x14ac:dyDescent="0.3">
      <c r="A201">
        <v>25</v>
      </c>
      <c r="B201" t="s">
        <v>32</v>
      </c>
      <c r="C201" t="s">
        <v>33</v>
      </c>
      <c r="D201">
        <v>867</v>
      </c>
      <c r="E201" t="s">
        <v>34</v>
      </c>
      <c r="F201">
        <v>19</v>
      </c>
      <c r="G201">
        <v>2</v>
      </c>
      <c r="H201" t="s">
        <v>56</v>
      </c>
      <c r="I201">
        <v>1</v>
      </c>
      <c r="J201">
        <v>952</v>
      </c>
      <c r="K201">
        <v>3</v>
      </c>
      <c r="L201" s="17" t="s">
        <v>43</v>
      </c>
      <c r="M201">
        <v>36</v>
      </c>
      <c r="N201">
        <v>2</v>
      </c>
      <c r="O201">
        <v>1</v>
      </c>
      <c r="P201" t="s">
        <v>54</v>
      </c>
      <c r="Q201">
        <v>2</v>
      </c>
      <c r="R201" t="s">
        <v>45</v>
      </c>
      <c r="S201" s="6">
        <v>2413</v>
      </c>
      <c r="T201">
        <v>18798</v>
      </c>
      <c r="U201">
        <v>1</v>
      </c>
      <c r="V201" t="s">
        <v>39</v>
      </c>
      <c r="W201" t="s">
        <v>32</v>
      </c>
      <c r="X201">
        <v>18</v>
      </c>
      <c r="Y201">
        <v>3</v>
      </c>
      <c r="Z201">
        <v>3</v>
      </c>
      <c r="AA201">
        <v>80</v>
      </c>
      <c r="AB201">
        <v>3</v>
      </c>
      <c r="AC201">
        <v>1</v>
      </c>
      <c r="AD201">
        <v>2</v>
      </c>
      <c r="AE201">
        <v>3</v>
      </c>
      <c r="AF201">
        <v>1</v>
      </c>
      <c r="AG201">
        <v>0</v>
      </c>
      <c r="AH201">
        <v>0</v>
      </c>
      <c r="AI201">
        <v>0</v>
      </c>
    </row>
    <row r="202" spans="1:35" x14ac:dyDescent="0.3">
      <c r="A202">
        <v>30</v>
      </c>
      <c r="B202" t="s">
        <v>32</v>
      </c>
      <c r="C202" t="s">
        <v>41</v>
      </c>
      <c r="D202">
        <v>109</v>
      </c>
      <c r="E202" t="s">
        <v>42</v>
      </c>
      <c r="F202">
        <v>5</v>
      </c>
      <c r="G202">
        <v>3</v>
      </c>
      <c r="H202" t="s">
        <v>48</v>
      </c>
      <c r="I202">
        <v>1</v>
      </c>
      <c r="J202">
        <v>1017</v>
      </c>
      <c r="K202">
        <v>2</v>
      </c>
      <c r="L202" s="17" t="s">
        <v>36</v>
      </c>
      <c r="M202">
        <v>60</v>
      </c>
      <c r="N202">
        <v>3</v>
      </c>
      <c r="O202">
        <v>1</v>
      </c>
      <c r="P202" t="s">
        <v>47</v>
      </c>
      <c r="Q202">
        <v>2</v>
      </c>
      <c r="R202" t="s">
        <v>38</v>
      </c>
      <c r="S202" s="6">
        <v>2422</v>
      </c>
      <c r="T202">
        <v>25725</v>
      </c>
      <c r="U202">
        <v>0</v>
      </c>
      <c r="V202" t="s">
        <v>39</v>
      </c>
      <c r="W202" t="s">
        <v>40</v>
      </c>
      <c r="X202">
        <v>17</v>
      </c>
      <c r="Y202">
        <v>3</v>
      </c>
      <c r="Z202">
        <v>1</v>
      </c>
      <c r="AA202">
        <v>80</v>
      </c>
      <c r="AB202">
        <v>0</v>
      </c>
      <c r="AC202">
        <v>4</v>
      </c>
      <c r="AD202">
        <v>3</v>
      </c>
      <c r="AE202">
        <v>3</v>
      </c>
      <c r="AF202">
        <v>3</v>
      </c>
      <c r="AG202">
        <v>2</v>
      </c>
      <c r="AH202">
        <v>1</v>
      </c>
      <c r="AI202">
        <v>2</v>
      </c>
    </row>
    <row r="203" spans="1:35" x14ac:dyDescent="0.3">
      <c r="A203">
        <v>35</v>
      </c>
      <c r="B203" t="s">
        <v>40</v>
      </c>
      <c r="C203" t="s">
        <v>33</v>
      </c>
      <c r="D203">
        <v>809</v>
      </c>
      <c r="E203" t="s">
        <v>42</v>
      </c>
      <c r="F203">
        <v>16</v>
      </c>
      <c r="G203">
        <v>3</v>
      </c>
      <c r="H203" t="s">
        <v>48</v>
      </c>
      <c r="I203">
        <v>1</v>
      </c>
      <c r="J203">
        <v>14</v>
      </c>
      <c r="K203">
        <v>1</v>
      </c>
      <c r="L203" s="17" t="s">
        <v>43</v>
      </c>
      <c r="M203">
        <v>84</v>
      </c>
      <c r="N203">
        <v>4</v>
      </c>
      <c r="O203">
        <v>1</v>
      </c>
      <c r="P203" t="s">
        <v>47</v>
      </c>
      <c r="Q203">
        <v>2</v>
      </c>
      <c r="R203" t="s">
        <v>45</v>
      </c>
      <c r="S203" s="6">
        <v>2426</v>
      </c>
      <c r="T203">
        <v>16479</v>
      </c>
      <c r="U203">
        <v>0</v>
      </c>
      <c r="V203" t="s">
        <v>39</v>
      </c>
      <c r="W203" t="s">
        <v>40</v>
      </c>
      <c r="X203">
        <v>13</v>
      </c>
      <c r="Y203">
        <v>3</v>
      </c>
      <c r="Z203">
        <v>3</v>
      </c>
      <c r="AA203">
        <v>80</v>
      </c>
      <c r="AB203">
        <v>1</v>
      </c>
      <c r="AC203">
        <v>6</v>
      </c>
      <c r="AD203">
        <v>5</v>
      </c>
      <c r="AE203">
        <v>3</v>
      </c>
      <c r="AF203">
        <v>5</v>
      </c>
      <c r="AG203">
        <v>4</v>
      </c>
      <c r="AH203">
        <v>0</v>
      </c>
      <c r="AI203">
        <v>3</v>
      </c>
    </row>
    <row r="204" spans="1:35" x14ac:dyDescent="0.3">
      <c r="A204">
        <v>35</v>
      </c>
      <c r="B204" t="s">
        <v>40</v>
      </c>
      <c r="C204" t="s">
        <v>33</v>
      </c>
      <c r="D204">
        <v>1402</v>
      </c>
      <c r="E204" t="s">
        <v>34</v>
      </c>
      <c r="F204">
        <v>28</v>
      </c>
      <c r="G204">
        <v>4</v>
      </c>
      <c r="H204" t="s">
        <v>35</v>
      </c>
      <c r="I204">
        <v>1</v>
      </c>
      <c r="J204">
        <v>1554</v>
      </c>
      <c r="K204">
        <v>2</v>
      </c>
      <c r="L204" s="17" t="s">
        <v>36</v>
      </c>
      <c r="M204">
        <v>98</v>
      </c>
      <c r="N204">
        <v>2</v>
      </c>
      <c r="O204">
        <v>1</v>
      </c>
      <c r="P204" t="s">
        <v>54</v>
      </c>
      <c r="Q204">
        <v>3</v>
      </c>
      <c r="R204" t="s">
        <v>45</v>
      </c>
      <c r="S204" s="6">
        <v>2430</v>
      </c>
      <c r="T204">
        <v>26204</v>
      </c>
      <c r="U204">
        <v>0</v>
      </c>
      <c r="V204" t="s">
        <v>39</v>
      </c>
      <c r="W204" t="s">
        <v>40</v>
      </c>
      <c r="X204">
        <v>23</v>
      </c>
      <c r="Y204">
        <v>4</v>
      </c>
      <c r="Z204">
        <v>1</v>
      </c>
      <c r="AA204">
        <v>80</v>
      </c>
      <c r="AB204">
        <v>2</v>
      </c>
      <c r="AC204">
        <v>6</v>
      </c>
      <c r="AD204">
        <v>5</v>
      </c>
      <c r="AE204">
        <v>3</v>
      </c>
      <c r="AF204">
        <v>5</v>
      </c>
      <c r="AG204">
        <v>3</v>
      </c>
      <c r="AH204">
        <v>4</v>
      </c>
      <c r="AI204">
        <v>2</v>
      </c>
    </row>
    <row r="205" spans="1:35" x14ac:dyDescent="0.3">
      <c r="A205">
        <v>32</v>
      </c>
      <c r="B205" t="s">
        <v>32</v>
      </c>
      <c r="C205" t="s">
        <v>41</v>
      </c>
      <c r="D205">
        <v>238</v>
      </c>
      <c r="E205" t="s">
        <v>42</v>
      </c>
      <c r="F205">
        <v>5</v>
      </c>
      <c r="G205">
        <v>2</v>
      </c>
      <c r="H205" t="s">
        <v>35</v>
      </c>
      <c r="I205">
        <v>1</v>
      </c>
      <c r="J205">
        <v>1939</v>
      </c>
      <c r="K205">
        <v>1</v>
      </c>
      <c r="L205" s="17" t="s">
        <v>36</v>
      </c>
      <c r="M205">
        <v>47</v>
      </c>
      <c r="N205">
        <v>4</v>
      </c>
      <c r="O205">
        <v>1</v>
      </c>
      <c r="P205" t="s">
        <v>44</v>
      </c>
      <c r="Q205">
        <v>3</v>
      </c>
      <c r="R205" t="s">
        <v>38</v>
      </c>
      <c r="S205" s="6">
        <v>2432</v>
      </c>
      <c r="T205">
        <v>15318</v>
      </c>
      <c r="U205">
        <v>3</v>
      </c>
      <c r="V205" t="s">
        <v>39</v>
      </c>
      <c r="W205" t="s">
        <v>32</v>
      </c>
      <c r="X205">
        <v>14</v>
      </c>
      <c r="Y205">
        <v>3</v>
      </c>
      <c r="Z205">
        <v>1</v>
      </c>
      <c r="AA205">
        <v>80</v>
      </c>
      <c r="AB205">
        <v>0</v>
      </c>
      <c r="AC205">
        <v>8</v>
      </c>
      <c r="AD205">
        <v>2</v>
      </c>
      <c r="AE205">
        <v>3</v>
      </c>
      <c r="AF205">
        <v>4</v>
      </c>
      <c r="AG205">
        <v>1</v>
      </c>
      <c r="AH205">
        <v>0</v>
      </c>
      <c r="AI205">
        <v>3</v>
      </c>
    </row>
    <row r="206" spans="1:35" x14ac:dyDescent="0.3">
      <c r="A206">
        <v>33</v>
      </c>
      <c r="B206" t="s">
        <v>32</v>
      </c>
      <c r="C206" t="s">
        <v>33</v>
      </c>
      <c r="D206">
        <v>813</v>
      </c>
      <c r="E206" t="s">
        <v>42</v>
      </c>
      <c r="F206">
        <v>14</v>
      </c>
      <c r="G206">
        <v>3</v>
      </c>
      <c r="H206" t="s">
        <v>48</v>
      </c>
      <c r="I206">
        <v>1</v>
      </c>
      <c r="J206">
        <v>325</v>
      </c>
      <c r="K206">
        <v>3</v>
      </c>
      <c r="L206" s="17" t="s">
        <v>43</v>
      </c>
      <c r="M206">
        <v>58</v>
      </c>
      <c r="N206">
        <v>3</v>
      </c>
      <c r="O206">
        <v>1</v>
      </c>
      <c r="P206" t="s">
        <v>47</v>
      </c>
      <c r="Q206">
        <v>4</v>
      </c>
      <c r="R206" t="s">
        <v>45</v>
      </c>
      <c r="S206" s="6">
        <v>2436</v>
      </c>
      <c r="T206">
        <v>22149</v>
      </c>
      <c r="U206">
        <v>5</v>
      </c>
      <c r="V206" t="s">
        <v>39</v>
      </c>
      <c r="W206" t="s">
        <v>32</v>
      </c>
      <c r="X206">
        <v>13</v>
      </c>
      <c r="Y206">
        <v>3</v>
      </c>
      <c r="Z206">
        <v>3</v>
      </c>
      <c r="AA206">
        <v>80</v>
      </c>
      <c r="AB206">
        <v>1</v>
      </c>
      <c r="AC206">
        <v>8</v>
      </c>
      <c r="AD206">
        <v>2</v>
      </c>
      <c r="AE206">
        <v>1</v>
      </c>
      <c r="AF206">
        <v>5</v>
      </c>
      <c r="AG206">
        <v>4</v>
      </c>
      <c r="AH206">
        <v>0</v>
      </c>
      <c r="AI206">
        <v>4</v>
      </c>
    </row>
    <row r="207" spans="1:35" x14ac:dyDescent="0.3">
      <c r="A207">
        <v>44</v>
      </c>
      <c r="B207" t="s">
        <v>40</v>
      </c>
      <c r="C207" t="s">
        <v>33</v>
      </c>
      <c r="D207">
        <v>1037</v>
      </c>
      <c r="E207" t="s">
        <v>42</v>
      </c>
      <c r="F207">
        <v>1</v>
      </c>
      <c r="G207">
        <v>3</v>
      </c>
      <c r="H207" t="s">
        <v>48</v>
      </c>
      <c r="I207">
        <v>1</v>
      </c>
      <c r="J207">
        <v>2020</v>
      </c>
      <c r="K207">
        <v>2</v>
      </c>
      <c r="L207" s="17" t="s">
        <v>43</v>
      </c>
      <c r="M207">
        <v>42</v>
      </c>
      <c r="N207">
        <v>3</v>
      </c>
      <c r="O207">
        <v>1</v>
      </c>
      <c r="P207" t="s">
        <v>44</v>
      </c>
      <c r="Q207">
        <v>4</v>
      </c>
      <c r="R207" t="s">
        <v>38</v>
      </c>
      <c r="S207" s="6">
        <v>2436</v>
      </c>
      <c r="T207">
        <v>13422</v>
      </c>
      <c r="U207">
        <v>6</v>
      </c>
      <c r="V207" t="s">
        <v>39</v>
      </c>
      <c r="W207" t="s">
        <v>32</v>
      </c>
      <c r="X207">
        <v>12</v>
      </c>
      <c r="Y207">
        <v>3</v>
      </c>
      <c r="Z207">
        <v>3</v>
      </c>
      <c r="AA207">
        <v>80</v>
      </c>
      <c r="AB207">
        <v>0</v>
      </c>
      <c r="AC207">
        <v>6</v>
      </c>
      <c r="AD207">
        <v>2</v>
      </c>
      <c r="AE207">
        <v>3</v>
      </c>
      <c r="AF207">
        <v>4</v>
      </c>
      <c r="AG207">
        <v>3</v>
      </c>
      <c r="AH207">
        <v>1</v>
      </c>
      <c r="AI207">
        <v>2</v>
      </c>
    </row>
    <row r="208" spans="1:35" x14ac:dyDescent="0.3">
      <c r="A208">
        <v>43</v>
      </c>
      <c r="B208" t="s">
        <v>32</v>
      </c>
      <c r="C208" t="s">
        <v>41</v>
      </c>
      <c r="D208">
        <v>807</v>
      </c>
      <c r="E208" t="s">
        <v>42</v>
      </c>
      <c r="F208">
        <v>17</v>
      </c>
      <c r="G208">
        <v>3</v>
      </c>
      <c r="H208" t="s">
        <v>57</v>
      </c>
      <c r="I208">
        <v>1</v>
      </c>
      <c r="J208">
        <v>1767</v>
      </c>
      <c r="K208">
        <v>3</v>
      </c>
      <c r="L208" s="17" t="s">
        <v>43</v>
      </c>
      <c r="M208">
        <v>38</v>
      </c>
      <c r="N208">
        <v>2</v>
      </c>
      <c r="O208">
        <v>1</v>
      </c>
      <c r="P208" t="s">
        <v>44</v>
      </c>
      <c r="Q208">
        <v>3</v>
      </c>
      <c r="R208" t="s">
        <v>45</v>
      </c>
      <c r="S208" s="6">
        <v>2437</v>
      </c>
      <c r="T208">
        <v>15587</v>
      </c>
      <c r="U208">
        <v>9</v>
      </c>
      <c r="V208" t="s">
        <v>39</v>
      </c>
      <c r="W208" t="s">
        <v>32</v>
      </c>
      <c r="X208">
        <v>16</v>
      </c>
      <c r="Y208">
        <v>3</v>
      </c>
      <c r="Z208">
        <v>4</v>
      </c>
      <c r="AA208">
        <v>80</v>
      </c>
      <c r="AB208">
        <v>1</v>
      </c>
      <c r="AC208">
        <v>6</v>
      </c>
      <c r="AD208">
        <v>4</v>
      </c>
      <c r="AE208">
        <v>3</v>
      </c>
      <c r="AF208">
        <v>1</v>
      </c>
      <c r="AG208">
        <v>0</v>
      </c>
      <c r="AH208">
        <v>0</v>
      </c>
      <c r="AI208">
        <v>0</v>
      </c>
    </row>
    <row r="209" spans="1:35" x14ac:dyDescent="0.3">
      <c r="A209">
        <v>43</v>
      </c>
      <c r="B209" t="s">
        <v>40</v>
      </c>
      <c r="C209" t="s">
        <v>52</v>
      </c>
      <c r="D209">
        <v>343</v>
      </c>
      <c r="E209" t="s">
        <v>42</v>
      </c>
      <c r="F209">
        <v>9</v>
      </c>
      <c r="G209">
        <v>3</v>
      </c>
      <c r="H209" t="s">
        <v>35</v>
      </c>
      <c r="I209">
        <v>1</v>
      </c>
      <c r="J209">
        <v>1813</v>
      </c>
      <c r="K209">
        <v>1</v>
      </c>
      <c r="L209" s="17" t="s">
        <v>43</v>
      </c>
      <c r="M209">
        <v>52</v>
      </c>
      <c r="N209">
        <v>3</v>
      </c>
      <c r="O209">
        <v>1</v>
      </c>
      <c r="P209" t="s">
        <v>44</v>
      </c>
      <c r="Q209">
        <v>3</v>
      </c>
      <c r="R209" t="s">
        <v>38</v>
      </c>
      <c r="S209" s="6">
        <v>2438</v>
      </c>
      <c r="T209">
        <v>24978</v>
      </c>
      <c r="U209">
        <v>4</v>
      </c>
      <c r="V209" t="s">
        <v>39</v>
      </c>
      <c r="W209" t="s">
        <v>40</v>
      </c>
      <c r="X209">
        <v>13</v>
      </c>
      <c r="Y209">
        <v>3</v>
      </c>
      <c r="Z209">
        <v>3</v>
      </c>
      <c r="AA209">
        <v>80</v>
      </c>
      <c r="AB209">
        <v>0</v>
      </c>
      <c r="AC209">
        <v>7</v>
      </c>
      <c r="AD209">
        <v>2</v>
      </c>
      <c r="AE209">
        <v>2</v>
      </c>
      <c r="AF209">
        <v>3</v>
      </c>
      <c r="AG209">
        <v>2</v>
      </c>
      <c r="AH209">
        <v>1</v>
      </c>
      <c r="AI209">
        <v>2</v>
      </c>
    </row>
    <row r="210" spans="1:35" x14ac:dyDescent="0.3">
      <c r="A210">
        <v>29</v>
      </c>
      <c r="B210" t="s">
        <v>32</v>
      </c>
      <c r="C210" t="s">
        <v>41</v>
      </c>
      <c r="D210">
        <v>459</v>
      </c>
      <c r="E210" t="s">
        <v>42</v>
      </c>
      <c r="F210">
        <v>24</v>
      </c>
      <c r="G210">
        <v>2</v>
      </c>
      <c r="H210" t="s">
        <v>35</v>
      </c>
      <c r="I210">
        <v>1</v>
      </c>
      <c r="J210">
        <v>1868</v>
      </c>
      <c r="K210">
        <v>4</v>
      </c>
      <c r="L210" s="17" t="s">
        <v>43</v>
      </c>
      <c r="M210">
        <v>73</v>
      </c>
      <c r="N210">
        <v>2</v>
      </c>
      <c r="O210">
        <v>1</v>
      </c>
      <c r="P210" t="s">
        <v>44</v>
      </c>
      <c r="Q210">
        <v>4</v>
      </c>
      <c r="R210" t="s">
        <v>38</v>
      </c>
      <c r="S210" s="6">
        <v>2439</v>
      </c>
      <c r="T210">
        <v>14753</v>
      </c>
      <c r="U210">
        <v>1</v>
      </c>
      <c r="V210" t="s">
        <v>39</v>
      </c>
      <c r="W210" t="s">
        <v>32</v>
      </c>
      <c r="X210">
        <v>24</v>
      </c>
      <c r="Y210">
        <v>4</v>
      </c>
      <c r="Z210">
        <v>2</v>
      </c>
      <c r="AA210">
        <v>80</v>
      </c>
      <c r="AB210">
        <v>0</v>
      </c>
      <c r="AC210">
        <v>1</v>
      </c>
      <c r="AD210">
        <v>3</v>
      </c>
      <c r="AE210">
        <v>2</v>
      </c>
      <c r="AF210">
        <v>1</v>
      </c>
      <c r="AG210">
        <v>0</v>
      </c>
      <c r="AH210">
        <v>1</v>
      </c>
      <c r="AI210">
        <v>0</v>
      </c>
    </row>
    <row r="211" spans="1:35" x14ac:dyDescent="0.3">
      <c r="A211">
        <v>32</v>
      </c>
      <c r="B211" t="s">
        <v>40</v>
      </c>
      <c r="C211" t="s">
        <v>33</v>
      </c>
      <c r="D211">
        <v>529</v>
      </c>
      <c r="E211" t="s">
        <v>42</v>
      </c>
      <c r="F211">
        <v>2</v>
      </c>
      <c r="G211">
        <v>3</v>
      </c>
      <c r="H211" t="s">
        <v>57</v>
      </c>
      <c r="I211">
        <v>1</v>
      </c>
      <c r="J211">
        <v>2038</v>
      </c>
      <c r="K211">
        <v>4</v>
      </c>
      <c r="L211" s="17" t="s">
        <v>43</v>
      </c>
      <c r="M211">
        <v>78</v>
      </c>
      <c r="N211">
        <v>3</v>
      </c>
      <c r="O211">
        <v>1</v>
      </c>
      <c r="P211" t="s">
        <v>44</v>
      </c>
      <c r="Q211">
        <v>1</v>
      </c>
      <c r="R211" t="s">
        <v>38</v>
      </c>
      <c r="S211" s="6">
        <v>2439</v>
      </c>
      <c r="T211">
        <v>11288</v>
      </c>
      <c r="U211">
        <v>1</v>
      </c>
      <c r="V211" t="s">
        <v>39</v>
      </c>
      <c r="W211" t="s">
        <v>40</v>
      </c>
      <c r="X211">
        <v>14</v>
      </c>
      <c r="Y211">
        <v>3</v>
      </c>
      <c r="Z211">
        <v>4</v>
      </c>
      <c r="AA211">
        <v>80</v>
      </c>
      <c r="AB211">
        <v>0</v>
      </c>
      <c r="AC211">
        <v>4</v>
      </c>
      <c r="AD211">
        <v>4</v>
      </c>
      <c r="AE211">
        <v>3</v>
      </c>
      <c r="AF211">
        <v>4</v>
      </c>
      <c r="AG211">
        <v>2</v>
      </c>
      <c r="AH211">
        <v>1</v>
      </c>
      <c r="AI211">
        <v>2</v>
      </c>
    </row>
    <row r="212" spans="1:35" x14ac:dyDescent="0.3">
      <c r="A212">
        <v>38</v>
      </c>
      <c r="B212" t="s">
        <v>40</v>
      </c>
      <c r="C212" t="s">
        <v>41</v>
      </c>
      <c r="D212">
        <v>148</v>
      </c>
      <c r="E212" t="s">
        <v>42</v>
      </c>
      <c r="F212">
        <v>2</v>
      </c>
      <c r="G212">
        <v>3</v>
      </c>
      <c r="H212" t="s">
        <v>48</v>
      </c>
      <c r="I212">
        <v>1</v>
      </c>
      <c r="J212">
        <v>1675</v>
      </c>
      <c r="K212">
        <v>4</v>
      </c>
      <c r="L212" s="17" t="s">
        <v>36</v>
      </c>
      <c r="M212">
        <v>42</v>
      </c>
      <c r="N212">
        <v>2</v>
      </c>
      <c r="O212">
        <v>1</v>
      </c>
      <c r="P212" t="s">
        <v>47</v>
      </c>
      <c r="Q212">
        <v>2</v>
      </c>
      <c r="R212" t="s">
        <v>38</v>
      </c>
      <c r="S212" s="6">
        <v>2440</v>
      </c>
      <c r="T212">
        <v>23826</v>
      </c>
      <c r="U212">
        <v>1</v>
      </c>
      <c r="V212" t="s">
        <v>39</v>
      </c>
      <c r="W212" t="s">
        <v>40</v>
      </c>
      <c r="X212">
        <v>22</v>
      </c>
      <c r="Y212">
        <v>4</v>
      </c>
      <c r="Z212">
        <v>2</v>
      </c>
      <c r="AA212">
        <v>80</v>
      </c>
      <c r="AB212">
        <v>0</v>
      </c>
      <c r="AC212">
        <v>4</v>
      </c>
      <c r="AD212">
        <v>3</v>
      </c>
      <c r="AE212">
        <v>3</v>
      </c>
      <c r="AF212">
        <v>4</v>
      </c>
      <c r="AG212">
        <v>3</v>
      </c>
      <c r="AH212">
        <v>3</v>
      </c>
      <c r="AI212">
        <v>3</v>
      </c>
    </row>
    <row r="213" spans="1:35" x14ac:dyDescent="0.3">
      <c r="A213">
        <v>53</v>
      </c>
      <c r="B213" t="s">
        <v>40</v>
      </c>
      <c r="C213" t="s">
        <v>33</v>
      </c>
      <c r="D213">
        <v>346</v>
      </c>
      <c r="E213" t="s">
        <v>42</v>
      </c>
      <c r="F213">
        <v>6</v>
      </c>
      <c r="G213">
        <v>3</v>
      </c>
      <c r="H213" t="s">
        <v>35</v>
      </c>
      <c r="I213">
        <v>1</v>
      </c>
      <c r="J213">
        <v>769</v>
      </c>
      <c r="K213">
        <v>4</v>
      </c>
      <c r="L213" s="17" t="s">
        <v>43</v>
      </c>
      <c r="M213">
        <v>86</v>
      </c>
      <c r="N213">
        <v>3</v>
      </c>
      <c r="O213">
        <v>2</v>
      </c>
      <c r="P213" t="s">
        <v>47</v>
      </c>
      <c r="Q213">
        <v>4</v>
      </c>
      <c r="R213" t="s">
        <v>38</v>
      </c>
      <c r="S213" s="6">
        <v>2450</v>
      </c>
      <c r="T213">
        <v>10919</v>
      </c>
      <c r="U213">
        <v>2</v>
      </c>
      <c r="V213" t="s">
        <v>39</v>
      </c>
      <c r="W213" t="s">
        <v>40</v>
      </c>
      <c r="X213">
        <v>17</v>
      </c>
      <c r="Y213">
        <v>3</v>
      </c>
      <c r="Z213">
        <v>4</v>
      </c>
      <c r="AA213">
        <v>80</v>
      </c>
      <c r="AB213">
        <v>0</v>
      </c>
      <c r="AC213">
        <v>19</v>
      </c>
      <c r="AD213">
        <v>4</v>
      </c>
      <c r="AE213">
        <v>3</v>
      </c>
      <c r="AF213">
        <v>2</v>
      </c>
      <c r="AG213">
        <v>2</v>
      </c>
      <c r="AH213">
        <v>2</v>
      </c>
      <c r="AI213">
        <v>2</v>
      </c>
    </row>
    <row r="214" spans="1:35" x14ac:dyDescent="0.3">
      <c r="A214">
        <v>35</v>
      </c>
      <c r="B214" t="s">
        <v>40</v>
      </c>
      <c r="C214" t="s">
        <v>33</v>
      </c>
      <c r="D214">
        <v>992</v>
      </c>
      <c r="E214" t="s">
        <v>42</v>
      </c>
      <c r="F214">
        <v>1</v>
      </c>
      <c r="G214">
        <v>3</v>
      </c>
      <c r="H214" t="s">
        <v>48</v>
      </c>
      <c r="I214">
        <v>1</v>
      </c>
      <c r="J214">
        <v>1564</v>
      </c>
      <c r="K214">
        <v>4</v>
      </c>
      <c r="L214" s="17" t="s">
        <v>43</v>
      </c>
      <c r="M214">
        <v>68</v>
      </c>
      <c r="N214">
        <v>2</v>
      </c>
      <c r="O214">
        <v>1</v>
      </c>
      <c r="P214" t="s">
        <v>47</v>
      </c>
      <c r="Q214">
        <v>1</v>
      </c>
      <c r="R214" t="s">
        <v>38</v>
      </c>
      <c r="S214" s="6">
        <v>2450</v>
      </c>
      <c r="T214">
        <v>21731</v>
      </c>
      <c r="U214">
        <v>1</v>
      </c>
      <c r="V214" t="s">
        <v>39</v>
      </c>
      <c r="W214" t="s">
        <v>40</v>
      </c>
      <c r="X214">
        <v>19</v>
      </c>
      <c r="Y214">
        <v>3</v>
      </c>
      <c r="Z214">
        <v>2</v>
      </c>
      <c r="AA214">
        <v>80</v>
      </c>
      <c r="AB214">
        <v>0</v>
      </c>
      <c r="AC214">
        <v>3</v>
      </c>
      <c r="AD214">
        <v>3</v>
      </c>
      <c r="AE214">
        <v>3</v>
      </c>
      <c r="AF214">
        <v>3</v>
      </c>
      <c r="AG214">
        <v>0</v>
      </c>
      <c r="AH214">
        <v>1</v>
      </c>
      <c r="AI214">
        <v>2</v>
      </c>
    </row>
    <row r="215" spans="1:35" x14ac:dyDescent="0.3">
      <c r="A215">
        <v>41</v>
      </c>
      <c r="B215" t="s">
        <v>40</v>
      </c>
      <c r="C215" t="s">
        <v>33</v>
      </c>
      <c r="D215">
        <v>465</v>
      </c>
      <c r="E215" t="s">
        <v>42</v>
      </c>
      <c r="F215">
        <v>14</v>
      </c>
      <c r="G215">
        <v>3</v>
      </c>
      <c r="H215" t="s">
        <v>35</v>
      </c>
      <c r="I215">
        <v>1</v>
      </c>
      <c r="J215">
        <v>227</v>
      </c>
      <c r="K215">
        <v>1</v>
      </c>
      <c r="L215" s="17" t="s">
        <v>43</v>
      </c>
      <c r="M215">
        <v>56</v>
      </c>
      <c r="N215">
        <v>3</v>
      </c>
      <c r="O215">
        <v>1</v>
      </c>
      <c r="P215" t="s">
        <v>44</v>
      </c>
      <c r="Q215">
        <v>3</v>
      </c>
      <c r="R215" t="s">
        <v>49</v>
      </c>
      <c r="S215" s="6">
        <v>2451</v>
      </c>
      <c r="T215">
        <v>4609</v>
      </c>
      <c r="U215">
        <v>4</v>
      </c>
      <c r="V215" t="s">
        <v>39</v>
      </c>
      <c r="W215" t="s">
        <v>40</v>
      </c>
      <c r="X215">
        <v>12</v>
      </c>
      <c r="Y215">
        <v>3</v>
      </c>
      <c r="Z215">
        <v>1</v>
      </c>
      <c r="AA215">
        <v>80</v>
      </c>
      <c r="AB215">
        <v>1</v>
      </c>
      <c r="AC215">
        <v>13</v>
      </c>
      <c r="AD215">
        <v>2</v>
      </c>
      <c r="AE215">
        <v>3</v>
      </c>
      <c r="AF215">
        <v>9</v>
      </c>
      <c r="AG215">
        <v>8</v>
      </c>
      <c r="AH215">
        <v>1</v>
      </c>
      <c r="AI215">
        <v>8</v>
      </c>
    </row>
    <row r="216" spans="1:35" x14ac:dyDescent="0.3">
      <c r="A216">
        <v>22</v>
      </c>
      <c r="B216" t="s">
        <v>40</v>
      </c>
      <c r="C216" t="s">
        <v>33</v>
      </c>
      <c r="D216">
        <v>217</v>
      </c>
      <c r="E216" t="s">
        <v>42</v>
      </c>
      <c r="F216">
        <v>8</v>
      </c>
      <c r="G216">
        <v>1</v>
      </c>
      <c r="H216" t="s">
        <v>35</v>
      </c>
      <c r="I216">
        <v>1</v>
      </c>
      <c r="J216">
        <v>1019</v>
      </c>
      <c r="K216">
        <v>2</v>
      </c>
      <c r="L216" s="17" t="s">
        <v>43</v>
      </c>
      <c r="M216">
        <v>94</v>
      </c>
      <c r="N216">
        <v>1</v>
      </c>
      <c r="O216">
        <v>1</v>
      </c>
      <c r="P216" t="s">
        <v>47</v>
      </c>
      <c r="Q216">
        <v>1</v>
      </c>
      <c r="R216" t="s">
        <v>45</v>
      </c>
      <c r="S216" s="6">
        <v>2451</v>
      </c>
      <c r="T216">
        <v>6881</v>
      </c>
      <c r="U216">
        <v>1</v>
      </c>
      <c r="V216" t="s">
        <v>39</v>
      </c>
      <c r="W216" t="s">
        <v>40</v>
      </c>
      <c r="X216">
        <v>15</v>
      </c>
      <c r="Y216">
        <v>3</v>
      </c>
      <c r="Z216">
        <v>1</v>
      </c>
      <c r="AA216">
        <v>80</v>
      </c>
      <c r="AB216">
        <v>1</v>
      </c>
      <c r="AC216">
        <v>4</v>
      </c>
      <c r="AD216">
        <v>3</v>
      </c>
      <c r="AE216">
        <v>2</v>
      </c>
      <c r="AF216">
        <v>4</v>
      </c>
      <c r="AG216">
        <v>3</v>
      </c>
      <c r="AH216">
        <v>1</v>
      </c>
      <c r="AI216">
        <v>1</v>
      </c>
    </row>
    <row r="217" spans="1:35" x14ac:dyDescent="0.3">
      <c r="A217">
        <v>29</v>
      </c>
      <c r="B217" t="s">
        <v>40</v>
      </c>
      <c r="C217" t="s">
        <v>33</v>
      </c>
      <c r="D217">
        <v>598</v>
      </c>
      <c r="E217" t="s">
        <v>42</v>
      </c>
      <c r="F217">
        <v>9</v>
      </c>
      <c r="G217">
        <v>3</v>
      </c>
      <c r="H217" t="s">
        <v>35</v>
      </c>
      <c r="I217">
        <v>1</v>
      </c>
      <c r="J217">
        <v>1558</v>
      </c>
      <c r="K217">
        <v>3</v>
      </c>
      <c r="L217" s="17" t="s">
        <v>43</v>
      </c>
      <c r="M217">
        <v>91</v>
      </c>
      <c r="N217">
        <v>4</v>
      </c>
      <c r="O217">
        <v>1</v>
      </c>
      <c r="P217" t="s">
        <v>44</v>
      </c>
      <c r="Q217">
        <v>3</v>
      </c>
      <c r="R217" t="s">
        <v>45</v>
      </c>
      <c r="S217" s="6">
        <v>2451</v>
      </c>
      <c r="T217">
        <v>22376</v>
      </c>
      <c r="U217">
        <v>6</v>
      </c>
      <c r="V217" t="s">
        <v>39</v>
      </c>
      <c r="W217" t="s">
        <v>40</v>
      </c>
      <c r="X217">
        <v>18</v>
      </c>
      <c r="Y217">
        <v>3</v>
      </c>
      <c r="Z217">
        <v>1</v>
      </c>
      <c r="AA217">
        <v>80</v>
      </c>
      <c r="AB217">
        <v>2</v>
      </c>
      <c r="AC217">
        <v>5</v>
      </c>
      <c r="AD217">
        <v>2</v>
      </c>
      <c r="AE217">
        <v>2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43</v>
      </c>
      <c r="B218" t="s">
        <v>40</v>
      </c>
      <c r="C218" t="s">
        <v>41</v>
      </c>
      <c r="D218">
        <v>185</v>
      </c>
      <c r="E218" t="s">
        <v>42</v>
      </c>
      <c r="F218">
        <v>10</v>
      </c>
      <c r="G218">
        <v>4</v>
      </c>
      <c r="H218" t="s">
        <v>35</v>
      </c>
      <c r="I218">
        <v>1</v>
      </c>
      <c r="J218">
        <v>430</v>
      </c>
      <c r="K218">
        <v>3</v>
      </c>
      <c r="L218" s="17" t="s">
        <v>36</v>
      </c>
      <c r="M218">
        <v>33</v>
      </c>
      <c r="N218">
        <v>3</v>
      </c>
      <c r="O218">
        <v>1</v>
      </c>
      <c r="P218" t="s">
        <v>47</v>
      </c>
      <c r="Q218">
        <v>4</v>
      </c>
      <c r="R218" t="s">
        <v>38</v>
      </c>
      <c r="S218" s="6">
        <v>2455</v>
      </c>
      <c r="T218">
        <v>10675</v>
      </c>
      <c r="U218">
        <v>0</v>
      </c>
      <c r="V218" t="s">
        <v>39</v>
      </c>
      <c r="W218" t="s">
        <v>40</v>
      </c>
      <c r="X218">
        <v>19</v>
      </c>
      <c r="Y218">
        <v>3</v>
      </c>
      <c r="Z218">
        <v>1</v>
      </c>
      <c r="AA218">
        <v>80</v>
      </c>
      <c r="AB218">
        <v>0</v>
      </c>
      <c r="AC218">
        <v>9</v>
      </c>
      <c r="AD218">
        <v>5</v>
      </c>
      <c r="AE218">
        <v>3</v>
      </c>
      <c r="AF218">
        <v>8</v>
      </c>
      <c r="AG218">
        <v>7</v>
      </c>
      <c r="AH218">
        <v>1</v>
      </c>
      <c r="AI218">
        <v>7</v>
      </c>
    </row>
    <row r="219" spans="1:35" x14ac:dyDescent="0.3">
      <c r="A219">
        <v>51</v>
      </c>
      <c r="B219" t="s">
        <v>32</v>
      </c>
      <c r="C219" t="s">
        <v>33</v>
      </c>
      <c r="D219">
        <v>1323</v>
      </c>
      <c r="E219" t="s">
        <v>42</v>
      </c>
      <c r="F219">
        <v>4</v>
      </c>
      <c r="G219">
        <v>4</v>
      </c>
      <c r="H219" t="s">
        <v>35</v>
      </c>
      <c r="I219">
        <v>1</v>
      </c>
      <c r="J219">
        <v>1081</v>
      </c>
      <c r="K219">
        <v>1</v>
      </c>
      <c r="L219" s="17" t="s">
        <v>43</v>
      </c>
      <c r="M219">
        <v>34</v>
      </c>
      <c r="N219">
        <v>3</v>
      </c>
      <c r="O219">
        <v>1</v>
      </c>
      <c r="P219" t="s">
        <v>44</v>
      </c>
      <c r="Q219">
        <v>3</v>
      </c>
      <c r="R219" t="s">
        <v>45</v>
      </c>
      <c r="S219" s="6">
        <v>2461</v>
      </c>
      <c r="T219">
        <v>10332</v>
      </c>
      <c r="U219">
        <v>9</v>
      </c>
      <c r="V219" t="s">
        <v>39</v>
      </c>
      <c r="W219" t="s">
        <v>32</v>
      </c>
      <c r="X219">
        <v>12</v>
      </c>
      <c r="Y219">
        <v>3</v>
      </c>
      <c r="Z219">
        <v>3</v>
      </c>
      <c r="AA219">
        <v>80</v>
      </c>
      <c r="AB219">
        <v>3</v>
      </c>
      <c r="AC219">
        <v>18</v>
      </c>
      <c r="AD219">
        <v>2</v>
      </c>
      <c r="AE219">
        <v>4</v>
      </c>
      <c r="AF219">
        <v>10</v>
      </c>
      <c r="AG219">
        <v>0</v>
      </c>
      <c r="AH219">
        <v>2</v>
      </c>
      <c r="AI219">
        <v>7</v>
      </c>
    </row>
    <row r="220" spans="1:35" x14ac:dyDescent="0.3">
      <c r="A220">
        <v>38</v>
      </c>
      <c r="B220" t="s">
        <v>40</v>
      </c>
      <c r="C220" t="s">
        <v>41</v>
      </c>
      <c r="D220">
        <v>594</v>
      </c>
      <c r="E220" t="s">
        <v>42</v>
      </c>
      <c r="F220">
        <v>2</v>
      </c>
      <c r="G220">
        <v>2</v>
      </c>
      <c r="H220" t="s">
        <v>48</v>
      </c>
      <c r="I220">
        <v>1</v>
      </c>
      <c r="J220">
        <v>1760</v>
      </c>
      <c r="K220">
        <v>3</v>
      </c>
      <c r="L220" s="17" t="s">
        <v>36</v>
      </c>
      <c r="M220">
        <v>75</v>
      </c>
      <c r="N220">
        <v>2</v>
      </c>
      <c r="O220">
        <v>1</v>
      </c>
      <c r="P220" t="s">
        <v>47</v>
      </c>
      <c r="Q220">
        <v>2</v>
      </c>
      <c r="R220" t="s">
        <v>45</v>
      </c>
      <c r="S220" s="6">
        <v>2468</v>
      </c>
      <c r="T220">
        <v>15963</v>
      </c>
      <c r="U220">
        <v>4</v>
      </c>
      <c r="V220" t="s">
        <v>39</v>
      </c>
      <c r="W220" t="s">
        <v>40</v>
      </c>
      <c r="X220">
        <v>14</v>
      </c>
      <c r="Y220">
        <v>3</v>
      </c>
      <c r="Z220">
        <v>2</v>
      </c>
      <c r="AA220">
        <v>80</v>
      </c>
      <c r="AB220">
        <v>1</v>
      </c>
      <c r="AC220">
        <v>9</v>
      </c>
      <c r="AD220">
        <v>4</v>
      </c>
      <c r="AE220">
        <v>2</v>
      </c>
      <c r="AF220">
        <v>6</v>
      </c>
      <c r="AG220">
        <v>1</v>
      </c>
      <c r="AH220">
        <v>0</v>
      </c>
      <c r="AI220">
        <v>5</v>
      </c>
    </row>
    <row r="221" spans="1:35" x14ac:dyDescent="0.3">
      <c r="A221">
        <v>22</v>
      </c>
      <c r="B221" t="s">
        <v>32</v>
      </c>
      <c r="C221" t="s">
        <v>33</v>
      </c>
      <c r="D221">
        <v>391</v>
      </c>
      <c r="E221" t="s">
        <v>42</v>
      </c>
      <c r="F221">
        <v>7</v>
      </c>
      <c r="G221">
        <v>1</v>
      </c>
      <c r="H221" t="s">
        <v>35</v>
      </c>
      <c r="I221">
        <v>1</v>
      </c>
      <c r="J221">
        <v>1878</v>
      </c>
      <c r="K221">
        <v>4</v>
      </c>
      <c r="L221" s="17" t="s">
        <v>43</v>
      </c>
      <c r="M221">
        <v>75</v>
      </c>
      <c r="N221">
        <v>3</v>
      </c>
      <c r="O221">
        <v>1</v>
      </c>
      <c r="P221" t="s">
        <v>44</v>
      </c>
      <c r="Q221">
        <v>2</v>
      </c>
      <c r="R221" t="s">
        <v>38</v>
      </c>
      <c r="S221" s="6">
        <v>2472</v>
      </c>
      <c r="T221">
        <v>26092</v>
      </c>
      <c r="U221">
        <v>1</v>
      </c>
      <c r="V221" t="s">
        <v>39</v>
      </c>
      <c r="W221" t="s">
        <v>32</v>
      </c>
      <c r="X221">
        <v>23</v>
      </c>
      <c r="Y221">
        <v>4</v>
      </c>
      <c r="Z221">
        <v>1</v>
      </c>
      <c r="AA221">
        <v>80</v>
      </c>
      <c r="AB221">
        <v>0</v>
      </c>
      <c r="AC221">
        <v>1</v>
      </c>
      <c r="AD221">
        <v>2</v>
      </c>
      <c r="AE221">
        <v>3</v>
      </c>
      <c r="AF221">
        <v>1</v>
      </c>
      <c r="AG221">
        <v>0</v>
      </c>
      <c r="AH221">
        <v>0</v>
      </c>
      <c r="AI221">
        <v>0</v>
      </c>
    </row>
    <row r="222" spans="1:35" x14ac:dyDescent="0.3">
      <c r="A222">
        <v>30</v>
      </c>
      <c r="B222" t="s">
        <v>40</v>
      </c>
      <c r="C222" t="s">
        <v>33</v>
      </c>
      <c r="D222">
        <v>202</v>
      </c>
      <c r="E222" t="s">
        <v>34</v>
      </c>
      <c r="F222">
        <v>2</v>
      </c>
      <c r="G222">
        <v>1</v>
      </c>
      <c r="H222" t="s">
        <v>57</v>
      </c>
      <c r="I222">
        <v>1</v>
      </c>
      <c r="J222">
        <v>508</v>
      </c>
      <c r="K222">
        <v>3</v>
      </c>
      <c r="L222" s="17" t="s">
        <v>43</v>
      </c>
      <c r="M222">
        <v>72</v>
      </c>
      <c r="N222">
        <v>3</v>
      </c>
      <c r="O222">
        <v>1</v>
      </c>
      <c r="P222" t="s">
        <v>54</v>
      </c>
      <c r="Q222">
        <v>2</v>
      </c>
      <c r="R222" t="s">
        <v>45</v>
      </c>
      <c r="S222" s="6">
        <v>2476</v>
      </c>
      <c r="T222">
        <v>17434</v>
      </c>
      <c r="U222">
        <v>1</v>
      </c>
      <c r="V222" t="s">
        <v>39</v>
      </c>
      <c r="W222" t="s">
        <v>40</v>
      </c>
      <c r="X222">
        <v>18</v>
      </c>
      <c r="Y222">
        <v>3</v>
      </c>
      <c r="Z222">
        <v>1</v>
      </c>
      <c r="AA222">
        <v>80</v>
      </c>
      <c r="AB222">
        <v>1</v>
      </c>
      <c r="AC222">
        <v>1</v>
      </c>
      <c r="AD222">
        <v>3</v>
      </c>
      <c r="AE222">
        <v>3</v>
      </c>
      <c r="AF222">
        <v>1</v>
      </c>
      <c r="AG222">
        <v>0</v>
      </c>
      <c r="AH222">
        <v>0</v>
      </c>
      <c r="AI222">
        <v>0</v>
      </c>
    </row>
    <row r="223" spans="1:35" x14ac:dyDescent="0.3">
      <c r="A223">
        <v>27</v>
      </c>
      <c r="B223" t="s">
        <v>40</v>
      </c>
      <c r="C223" t="s">
        <v>33</v>
      </c>
      <c r="D223">
        <v>1220</v>
      </c>
      <c r="E223" t="s">
        <v>42</v>
      </c>
      <c r="F223">
        <v>5</v>
      </c>
      <c r="G223">
        <v>3</v>
      </c>
      <c r="H223" t="s">
        <v>35</v>
      </c>
      <c r="I223">
        <v>1</v>
      </c>
      <c r="J223">
        <v>434</v>
      </c>
      <c r="K223">
        <v>3</v>
      </c>
      <c r="L223" s="17" t="s">
        <v>36</v>
      </c>
      <c r="M223">
        <v>85</v>
      </c>
      <c r="N223">
        <v>3</v>
      </c>
      <c r="O223">
        <v>1</v>
      </c>
      <c r="P223" t="s">
        <v>44</v>
      </c>
      <c r="Q223">
        <v>2</v>
      </c>
      <c r="R223" t="s">
        <v>38</v>
      </c>
      <c r="S223" s="6">
        <v>2478</v>
      </c>
      <c r="T223">
        <v>20938</v>
      </c>
      <c r="U223">
        <v>1</v>
      </c>
      <c r="V223" t="s">
        <v>39</v>
      </c>
      <c r="W223" t="s">
        <v>32</v>
      </c>
      <c r="X223">
        <v>12</v>
      </c>
      <c r="Y223">
        <v>3</v>
      </c>
      <c r="Z223">
        <v>2</v>
      </c>
      <c r="AA223">
        <v>80</v>
      </c>
      <c r="AB223">
        <v>0</v>
      </c>
      <c r="AC223">
        <v>4</v>
      </c>
      <c r="AD223">
        <v>2</v>
      </c>
      <c r="AE223">
        <v>2</v>
      </c>
      <c r="AF223">
        <v>4</v>
      </c>
      <c r="AG223">
        <v>3</v>
      </c>
      <c r="AH223">
        <v>1</v>
      </c>
      <c r="AI223">
        <v>2</v>
      </c>
    </row>
    <row r="224" spans="1:35" x14ac:dyDescent="0.3">
      <c r="A224">
        <v>58</v>
      </c>
      <c r="B224" t="s">
        <v>32</v>
      </c>
      <c r="C224" t="s">
        <v>33</v>
      </c>
      <c r="D224">
        <v>289</v>
      </c>
      <c r="E224" t="s">
        <v>42</v>
      </c>
      <c r="F224">
        <v>2</v>
      </c>
      <c r="G224">
        <v>3</v>
      </c>
      <c r="H224" t="s">
        <v>57</v>
      </c>
      <c r="I224">
        <v>1</v>
      </c>
      <c r="J224">
        <v>977</v>
      </c>
      <c r="K224">
        <v>4</v>
      </c>
      <c r="L224" s="17" t="s">
        <v>43</v>
      </c>
      <c r="M224">
        <v>51</v>
      </c>
      <c r="N224">
        <v>3</v>
      </c>
      <c r="O224">
        <v>1</v>
      </c>
      <c r="P224" t="s">
        <v>44</v>
      </c>
      <c r="Q224">
        <v>3</v>
      </c>
      <c r="R224" t="s">
        <v>38</v>
      </c>
      <c r="S224" s="6">
        <v>2479</v>
      </c>
      <c r="T224">
        <v>26227</v>
      </c>
      <c r="U224">
        <v>4</v>
      </c>
      <c r="V224" t="s">
        <v>39</v>
      </c>
      <c r="W224" t="s">
        <v>40</v>
      </c>
      <c r="X224">
        <v>24</v>
      </c>
      <c r="Y224">
        <v>4</v>
      </c>
      <c r="Z224">
        <v>1</v>
      </c>
      <c r="AA224">
        <v>80</v>
      </c>
      <c r="AB224">
        <v>0</v>
      </c>
      <c r="AC224">
        <v>7</v>
      </c>
      <c r="AD224">
        <v>4</v>
      </c>
      <c r="AE224">
        <v>3</v>
      </c>
      <c r="AF224">
        <v>1</v>
      </c>
      <c r="AG224">
        <v>0</v>
      </c>
      <c r="AH224">
        <v>0</v>
      </c>
      <c r="AI224">
        <v>0</v>
      </c>
    </row>
    <row r="225" spans="1:35" x14ac:dyDescent="0.3">
      <c r="A225">
        <v>33</v>
      </c>
      <c r="B225" t="s">
        <v>40</v>
      </c>
      <c r="C225" t="s">
        <v>33</v>
      </c>
      <c r="D225">
        <v>924</v>
      </c>
      <c r="E225" t="s">
        <v>42</v>
      </c>
      <c r="F225">
        <v>2</v>
      </c>
      <c r="G225">
        <v>3</v>
      </c>
      <c r="H225" t="s">
        <v>48</v>
      </c>
      <c r="I225">
        <v>1</v>
      </c>
      <c r="J225">
        <v>39</v>
      </c>
      <c r="K225">
        <v>3</v>
      </c>
      <c r="L225" s="17" t="s">
        <v>43</v>
      </c>
      <c r="M225">
        <v>78</v>
      </c>
      <c r="N225">
        <v>3</v>
      </c>
      <c r="O225">
        <v>1</v>
      </c>
      <c r="P225" t="s">
        <v>47</v>
      </c>
      <c r="Q225">
        <v>4</v>
      </c>
      <c r="R225" t="s">
        <v>38</v>
      </c>
      <c r="S225" s="6">
        <v>2496</v>
      </c>
      <c r="T225">
        <v>6670</v>
      </c>
      <c r="U225">
        <v>4</v>
      </c>
      <c r="V225" t="s">
        <v>39</v>
      </c>
      <c r="W225" t="s">
        <v>40</v>
      </c>
      <c r="X225">
        <v>11</v>
      </c>
      <c r="Y225">
        <v>3</v>
      </c>
      <c r="Z225">
        <v>4</v>
      </c>
      <c r="AA225">
        <v>80</v>
      </c>
      <c r="AB225">
        <v>0</v>
      </c>
      <c r="AC225">
        <v>7</v>
      </c>
      <c r="AD225">
        <v>3</v>
      </c>
      <c r="AE225">
        <v>3</v>
      </c>
      <c r="AF225">
        <v>1</v>
      </c>
      <c r="AG225">
        <v>1</v>
      </c>
      <c r="AH225">
        <v>0</v>
      </c>
      <c r="AI225">
        <v>0</v>
      </c>
    </row>
    <row r="226" spans="1:35" x14ac:dyDescent="0.3">
      <c r="A226">
        <v>33</v>
      </c>
      <c r="B226" t="s">
        <v>40</v>
      </c>
      <c r="C226" t="s">
        <v>33</v>
      </c>
      <c r="D226">
        <v>134</v>
      </c>
      <c r="E226" t="s">
        <v>42</v>
      </c>
      <c r="F226">
        <v>2</v>
      </c>
      <c r="G226">
        <v>3</v>
      </c>
      <c r="H226" t="s">
        <v>35</v>
      </c>
      <c r="I226">
        <v>1</v>
      </c>
      <c r="J226">
        <v>242</v>
      </c>
      <c r="K226">
        <v>3</v>
      </c>
      <c r="L226" s="17" t="s">
        <v>43</v>
      </c>
      <c r="M226">
        <v>90</v>
      </c>
      <c r="N226">
        <v>3</v>
      </c>
      <c r="O226">
        <v>1</v>
      </c>
      <c r="P226" t="s">
        <v>44</v>
      </c>
      <c r="Q226">
        <v>4</v>
      </c>
      <c r="R226" t="s">
        <v>38</v>
      </c>
      <c r="S226" s="6">
        <v>2500</v>
      </c>
      <c r="T226">
        <v>10515</v>
      </c>
      <c r="U226">
        <v>0</v>
      </c>
      <c r="V226" t="s">
        <v>39</v>
      </c>
      <c r="W226" t="s">
        <v>40</v>
      </c>
      <c r="X226">
        <v>14</v>
      </c>
      <c r="Y226">
        <v>3</v>
      </c>
      <c r="Z226">
        <v>1</v>
      </c>
      <c r="AA226">
        <v>80</v>
      </c>
      <c r="AB226">
        <v>0</v>
      </c>
      <c r="AC226">
        <v>4</v>
      </c>
      <c r="AD226">
        <v>2</v>
      </c>
      <c r="AE226">
        <v>4</v>
      </c>
      <c r="AF226">
        <v>3</v>
      </c>
      <c r="AG226">
        <v>1</v>
      </c>
      <c r="AH226">
        <v>0</v>
      </c>
      <c r="AI226">
        <v>2</v>
      </c>
    </row>
    <row r="227" spans="1:35" x14ac:dyDescent="0.3">
      <c r="A227">
        <v>23</v>
      </c>
      <c r="B227" t="s">
        <v>40</v>
      </c>
      <c r="C227" t="s">
        <v>33</v>
      </c>
      <c r="D227">
        <v>650</v>
      </c>
      <c r="E227" t="s">
        <v>42</v>
      </c>
      <c r="F227">
        <v>9</v>
      </c>
      <c r="G227">
        <v>1</v>
      </c>
      <c r="H227" t="s">
        <v>48</v>
      </c>
      <c r="I227">
        <v>1</v>
      </c>
      <c r="J227">
        <v>758</v>
      </c>
      <c r="K227">
        <v>2</v>
      </c>
      <c r="L227" s="17" t="s">
        <v>43</v>
      </c>
      <c r="M227">
        <v>37</v>
      </c>
      <c r="N227">
        <v>3</v>
      </c>
      <c r="O227">
        <v>1</v>
      </c>
      <c r="P227" t="s">
        <v>47</v>
      </c>
      <c r="Q227">
        <v>1</v>
      </c>
      <c r="R227" t="s">
        <v>45</v>
      </c>
      <c r="S227" s="6">
        <v>2500</v>
      </c>
      <c r="T227">
        <v>4344</v>
      </c>
      <c r="U227">
        <v>1</v>
      </c>
      <c r="V227" t="s">
        <v>39</v>
      </c>
      <c r="W227" t="s">
        <v>40</v>
      </c>
      <c r="X227">
        <v>14</v>
      </c>
      <c r="Y227">
        <v>3</v>
      </c>
      <c r="Z227">
        <v>4</v>
      </c>
      <c r="AA227">
        <v>80</v>
      </c>
      <c r="AB227">
        <v>1</v>
      </c>
      <c r="AC227">
        <v>5</v>
      </c>
      <c r="AD227">
        <v>2</v>
      </c>
      <c r="AE227">
        <v>4</v>
      </c>
      <c r="AF227">
        <v>4</v>
      </c>
      <c r="AG227">
        <v>3</v>
      </c>
      <c r="AH227">
        <v>0</v>
      </c>
      <c r="AI227">
        <v>2</v>
      </c>
    </row>
    <row r="228" spans="1:35" x14ac:dyDescent="0.3">
      <c r="A228">
        <v>31</v>
      </c>
      <c r="B228" t="s">
        <v>40</v>
      </c>
      <c r="C228" t="s">
        <v>33</v>
      </c>
      <c r="D228">
        <v>1082</v>
      </c>
      <c r="E228" t="s">
        <v>42</v>
      </c>
      <c r="F228">
        <v>1</v>
      </c>
      <c r="G228">
        <v>4</v>
      </c>
      <c r="H228" t="s">
        <v>48</v>
      </c>
      <c r="I228">
        <v>1</v>
      </c>
      <c r="J228">
        <v>95</v>
      </c>
      <c r="K228">
        <v>3</v>
      </c>
      <c r="L228" s="17" t="s">
        <v>43</v>
      </c>
      <c r="M228">
        <v>87</v>
      </c>
      <c r="N228">
        <v>3</v>
      </c>
      <c r="O228">
        <v>1</v>
      </c>
      <c r="P228" t="s">
        <v>44</v>
      </c>
      <c r="Q228">
        <v>2</v>
      </c>
      <c r="R228" t="s">
        <v>38</v>
      </c>
      <c r="S228" s="6">
        <v>2501</v>
      </c>
      <c r="T228">
        <v>18775</v>
      </c>
      <c r="U228">
        <v>1</v>
      </c>
      <c r="V228" t="s">
        <v>39</v>
      </c>
      <c r="W228" t="s">
        <v>40</v>
      </c>
      <c r="X228">
        <v>17</v>
      </c>
      <c r="Y228">
        <v>3</v>
      </c>
      <c r="Z228">
        <v>2</v>
      </c>
      <c r="AA228">
        <v>80</v>
      </c>
      <c r="AB228">
        <v>0</v>
      </c>
      <c r="AC228">
        <v>1</v>
      </c>
      <c r="AD228">
        <v>4</v>
      </c>
      <c r="AE228">
        <v>3</v>
      </c>
      <c r="AF228">
        <v>1</v>
      </c>
      <c r="AG228">
        <v>1</v>
      </c>
      <c r="AH228">
        <v>1</v>
      </c>
      <c r="AI228">
        <v>0</v>
      </c>
    </row>
    <row r="229" spans="1:35" x14ac:dyDescent="0.3">
      <c r="A229">
        <v>35</v>
      </c>
      <c r="B229" t="s">
        <v>40</v>
      </c>
      <c r="C229" t="s">
        <v>33</v>
      </c>
      <c r="D229">
        <v>1258</v>
      </c>
      <c r="E229" t="s">
        <v>42</v>
      </c>
      <c r="F229">
        <v>1</v>
      </c>
      <c r="G229">
        <v>4</v>
      </c>
      <c r="H229" t="s">
        <v>35</v>
      </c>
      <c r="I229">
        <v>1</v>
      </c>
      <c r="J229">
        <v>826</v>
      </c>
      <c r="K229">
        <v>4</v>
      </c>
      <c r="L229" s="17" t="s">
        <v>36</v>
      </c>
      <c r="M229">
        <v>40</v>
      </c>
      <c r="N229">
        <v>4</v>
      </c>
      <c r="O229">
        <v>1</v>
      </c>
      <c r="P229" t="s">
        <v>44</v>
      </c>
      <c r="Q229">
        <v>3</v>
      </c>
      <c r="R229" t="s">
        <v>38</v>
      </c>
      <c r="S229" s="6">
        <v>2506</v>
      </c>
      <c r="T229">
        <v>13301</v>
      </c>
      <c r="U229">
        <v>3</v>
      </c>
      <c r="V229" t="s">
        <v>39</v>
      </c>
      <c r="W229" t="s">
        <v>40</v>
      </c>
      <c r="X229">
        <v>13</v>
      </c>
      <c r="Y229">
        <v>3</v>
      </c>
      <c r="Z229">
        <v>3</v>
      </c>
      <c r="AA229">
        <v>80</v>
      </c>
      <c r="AB229">
        <v>0</v>
      </c>
      <c r="AC229">
        <v>7</v>
      </c>
      <c r="AD229">
        <v>0</v>
      </c>
      <c r="AE229">
        <v>3</v>
      </c>
      <c r="AF229">
        <v>2</v>
      </c>
      <c r="AG229">
        <v>2</v>
      </c>
      <c r="AH229">
        <v>2</v>
      </c>
      <c r="AI229">
        <v>2</v>
      </c>
    </row>
    <row r="230" spans="1:35" x14ac:dyDescent="0.3">
      <c r="A230">
        <v>29</v>
      </c>
      <c r="B230" t="s">
        <v>40</v>
      </c>
      <c r="C230" t="s">
        <v>33</v>
      </c>
      <c r="D230">
        <v>1107</v>
      </c>
      <c r="E230" t="s">
        <v>42</v>
      </c>
      <c r="F230">
        <v>28</v>
      </c>
      <c r="G230">
        <v>4</v>
      </c>
      <c r="H230" t="s">
        <v>35</v>
      </c>
      <c r="I230">
        <v>1</v>
      </c>
      <c r="J230">
        <v>1120</v>
      </c>
      <c r="K230">
        <v>3</v>
      </c>
      <c r="L230" s="17" t="s">
        <v>36</v>
      </c>
      <c r="M230">
        <v>93</v>
      </c>
      <c r="N230">
        <v>3</v>
      </c>
      <c r="O230">
        <v>1</v>
      </c>
      <c r="P230" t="s">
        <v>44</v>
      </c>
      <c r="Q230">
        <v>4</v>
      </c>
      <c r="R230" t="s">
        <v>49</v>
      </c>
      <c r="S230" s="6">
        <v>2514</v>
      </c>
      <c r="T230">
        <v>26968</v>
      </c>
      <c r="U230">
        <v>4</v>
      </c>
      <c r="V230" t="s">
        <v>39</v>
      </c>
      <c r="W230" t="s">
        <v>40</v>
      </c>
      <c r="X230">
        <v>22</v>
      </c>
      <c r="Y230">
        <v>4</v>
      </c>
      <c r="Z230">
        <v>1</v>
      </c>
      <c r="AA230">
        <v>80</v>
      </c>
      <c r="AB230">
        <v>1</v>
      </c>
      <c r="AC230">
        <v>11</v>
      </c>
      <c r="AD230">
        <v>1</v>
      </c>
      <c r="AE230">
        <v>3</v>
      </c>
      <c r="AF230">
        <v>7</v>
      </c>
      <c r="AG230">
        <v>5</v>
      </c>
      <c r="AH230">
        <v>1</v>
      </c>
      <c r="AI230">
        <v>7</v>
      </c>
    </row>
    <row r="231" spans="1:35" x14ac:dyDescent="0.3">
      <c r="A231">
        <v>42</v>
      </c>
      <c r="B231" t="s">
        <v>40</v>
      </c>
      <c r="C231" t="s">
        <v>41</v>
      </c>
      <c r="D231">
        <v>1271</v>
      </c>
      <c r="E231" t="s">
        <v>42</v>
      </c>
      <c r="F231">
        <v>2</v>
      </c>
      <c r="G231">
        <v>1</v>
      </c>
      <c r="H231" t="s">
        <v>48</v>
      </c>
      <c r="I231">
        <v>1</v>
      </c>
      <c r="J231">
        <v>875</v>
      </c>
      <c r="K231">
        <v>2</v>
      </c>
      <c r="L231" s="17" t="s">
        <v>43</v>
      </c>
      <c r="M231">
        <v>35</v>
      </c>
      <c r="N231">
        <v>3</v>
      </c>
      <c r="O231">
        <v>1</v>
      </c>
      <c r="P231" t="s">
        <v>44</v>
      </c>
      <c r="Q231">
        <v>4</v>
      </c>
      <c r="R231" t="s">
        <v>38</v>
      </c>
      <c r="S231" s="6">
        <v>2515</v>
      </c>
      <c r="T231">
        <v>9068</v>
      </c>
      <c r="U231">
        <v>5</v>
      </c>
      <c r="V231" t="s">
        <v>39</v>
      </c>
      <c r="W231" t="s">
        <v>32</v>
      </c>
      <c r="X231">
        <v>14</v>
      </c>
      <c r="Y231">
        <v>3</v>
      </c>
      <c r="Z231">
        <v>4</v>
      </c>
      <c r="AA231">
        <v>80</v>
      </c>
      <c r="AB231">
        <v>0</v>
      </c>
      <c r="AC231">
        <v>8</v>
      </c>
      <c r="AD231">
        <v>2</v>
      </c>
      <c r="AE231">
        <v>3</v>
      </c>
      <c r="AF231">
        <v>2</v>
      </c>
      <c r="AG231">
        <v>1</v>
      </c>
      <c r="AH231">
        <v>2</v>
      </c>
      <c r="AI231">
        <v>2</v>
      </c>
    </row>
    <row r="232" spans="1:35" x14ac:dyDescent="0.3">
      <c r="A232">
        <v>28</v>
      </c>
      <c r="B232" t="s">
        <v>32</v>
      </c>
      <c r="C232" t="s">
        <v>33</v>
      </c>
      <c r="D232">
        <v>1485</v>
      </c>
      <c r="E232" t="s">
        <v>42</v>
      </c>
      <c r="F232">
        <v>12</v>
      </c>
      <c r="G232">
        <v>1</v>
      </c>
      <c r="H232" t="s">
        <v>35</v>
      </c>
      <c r="I232">
        <v>1</v>
      </c>
      <c r="J232">
        <v>1175</v>
      </c>
      <c r="K232">
        <v>3</v>
      </c>
      <c r="L232" s="17" t="s">
        <v>36</v>
      </c>
      <c r="M232">
        <v>79</v>
      </c>
      <c r="N232">
        <v>3</v>
      </c>
      <c r="O232">
        <v>1</v>
      </c>
      <c r="P232" t="s">
        <v>47</v>
      </c>
      <c r="Q232">
        <v>4</v>
      </c>
      <c r="R232" t="s">
        <v>45</v>
      </c>
      <c r="S232" s="6">
        <v>2515</v>
      </c>
      <c r="T232">
        <v>22955</v>
      </c>
      <c r="U232">
        <v>1</v>
      </c>
      <c r="V232" t="s">
        <v>39</v>
      </c>
      <c r="W232" t="s">
        <v>32</v>
      </c>
      <c r="X232">
        <v>11</v>
      </c>
      <c r="Y232">
        <v>3</v>
      </c>
      <c r="Z232">
        <v>4</v>
      </c>
      <c r="AA232">
        <v>80</v>
      </c>
      <c r="AB232">
        <v>0</v>
      </c>
      <c r="AC232">
        <v>1</v>
      </c>
      <c r="AD232">
        <v>4</v>
      </c>
      <c r="AE232">
        <v>2</v>
      </c>
      <c r="AF232">
        <v>1</v>
      </c>
      <c r="AG232">
        <v>1</v>
      </c>
      <c r="AH232">
        <v>0</v>
      </c>
      <c r="AI232">
        <v>0</v>
      </c>
    </row>
    <row r="233" spans="1:35" x14ac:dyDescent="0.3">
      <c r="A233">
        <v>27</v>
      </c>
      <c r="B233" t="s">
        <v>40</v>
      </c>
      <c r="C233" t="s">
        <v>33</v>
      </c>
      <c r="D233">
        <v>1167</v>
      </c>
      <c r="E233" t="s">
        <v>42</v>
      </c>
      <c r="F233">
        <v>4</v>
      </c>
      <c r="G233">
        <v>2</v>
      </c>
      <c r="H233" t="s">
        <v>35</v>
      </c>
      <c r="I233">
        <v>1</v>
      </c>
      <c r="J233">
        <v>1259</v>
      </c>
      <c r="K233">
        <v>1</v>
      </c>
      <c r="L233" s="17" t="s">
        <v>43</v>
      </c>
      <c r="M233">
        <v>76</v>
      </c>
      <c r="N233">
        <v>3</v>
      </c>
      <c r="O233">
        <v>1</v>
      </c>
      <c r="P233" t="s">
        <v>44</v>
      </c>
      <c r="Q233">
        <v>3</v>
      </c>
      <c r="R233" t="s">
        <v>49</v>
      </c>
      <c r="S233" s="6">
        <v>2517</v>
      </c>
      <c r="T233">
        <v>3208</v>
      </c>
      <c r="U233">
        <v>1</v>
      </c>
      <c r="V233" t="s">
        <v>39</v>
      </c>
      <c r="W233" t="s">
        <v>40</v>
      </c>
      <c r="X233">
        <v>11</v>
      </c>
      <c r="Y233">
        <v>3</v>
      </c>
      <c r="Z233">
        <v>2</v>
      </c>
      <c r="AA233">
        <v>80</v>
      </c>
      <c r="AB233">
        <v>3</v>
      </c>
      <c r="AC233">
        <v>5</v>
      </c>
      <c r="AD233">
        <v>2</v>
      </c>
      <c r="AE233">
        <v>3</v>
      </c>
      <c r="AF233">
        <v>5</v>
      </c>
      <c r="AG233">
        <v>3</v>
      </c>
      <c r="AH233">
        <v>0</v>
      </c>
      <c r="AI233">
        <v>3</v>
      </c>
    </row>
    <row r="234" spans="1:35" x14ac:dyDescent="0.3">
      <c r="A234">
        <v>36</v>
      </c>
      <c r="B234" t="s">
        <v>40</v>
      </c>
      <c r="C234" t="s">
        <v>33</v>
      </c>
      <c r="D234">
        <v>938</v>
      </c>
      <c r="E234" t="s">
        <v>42</v>
      </c>
      <c r="F234">
        <v>2</v>
      </c>
      <c r="G234">
        <v>4</v>
      </c>
      <c r="H234" t="s">
        <v>48</v>
      </c>
      <c r="I234">
        <v>1</v>
      </c>
      <c r="J234">
        <v>958</v>
      </c>
      <c r="K234">
        <v>3</v>
      </c>
      <c r="L234" s="17" t="s">
        <v>43</v>
      </c>
      <c r="M234">
        <v>79</v>
      </c>
      <c r="N234">
        <v>3</v>
      </c>
      <c r="O234">
        <v>1</v>
      </c>
      <c r="P234" t="s">
        <v>47</v>
      </c>
      <c r="Q234">
        <v>3</v>
      </c>
      <c r="R234" t="s">
        <v>38</v>
      </c>
      <c r="S234" s="6">
        <v>2519</v>
      </c>
      <c r="T234">
        <v>12287</v>
      </c>
      <c r="U234">
        <v>4</v>
      </c>
      <c r="V234" t="s">
        <v>39</v>
      </c>
      <c r="W234" t="s">
        <v>40</v>
      </c>
      <c r="X234">
        <v>21</v>
      </c>
      <c r="Y234">
        <v>4</v>
      </c>
      <c r="Z234">
        <v>3</v>
      </c>
      <c r="AA234">
        <v>80</v>
      </c>
      <c r="AB234">
        <v>0</v>
      </c>
      <c r="AC234">
        <v>16</v>
      </c>
      <c r="AD234">
        <v>6</v>
      </c>
      <c r="AE234">
        <v>3</v>
      </c>
      <c r="AF234">
        <v>11</v>
      </c>
      <c r="AG234">
        <v>8</v>
      </c>
      <c r="AH234">
        <v>3</v>
      </c>
      <c r="AI234">
        <v>9</v>
      </c>
    </row>
    <row r="235" spans="1:35" x14ac:dyDescent="0.3">
      <c r="A235">
        <v>22</v>
      </c>
      <c r="B235" t="s">
        <v>40</v>
      </c>
      <c r="C235" t="s">
        <v>33</v>
      </c>
      <c r="D235">
        <v>594</v>
      </c>
      <c r="E235" t="s">
        <v>42</v>
      </c>
      <c r="F235">
        <v>2</v>
      </c>
      <c r="G235">
        <v>1</v>
      </c>
      <c r="H235" t="s">
        <v>57</v>
      </c>
      <c r="I235">
        <v>1</v>
      </c>
      <c r="J235">
        <v>169</v>
      </c>
      <c r="K235">
        <v>3</v>
      </c>
      <c r="L235" s="17" t="s">
        <v>43</v>
      </c>
      <c r="M235">
        <v>100</v>
      </c>
      <c r="N235">
        <v>3</v>
      </c>
      <c r="O235">
        <v>1</v>
      </c>
      <c r="P235" t="s">
        <v>47</v>
      </c>
      <c r="Q235">
        <v>4</v>
      </c>
      <c r="R235" t="s">
        <v>45</v>
      </c>
      <c r="S235" s="6">
        <v>2523</v>
      </c>
      <c r="T235">
        <v>19299</v>
      </c>
      <c r="U235">
        <v>0</v>
      </c>
      <c r="V235" t="s">
        <v>39</v>
      </c>
      <c r="W235" t="s">
        <v>40</v>
      </c>
      <c r="X235">
        <v>14</v>
      </c>
      <c r="Y235">
        <v>3</v>
      </c>
      <c r="Z235">
        <v>3</v>
      </c>
      <c r="AA235">
        <v>80</v>
      </c>
      <c r="AB235">
        <v>1</v>
      </c>
      <c r="AC235">
        <v>3</v>
      </c>
      <c r="AD235">
        <v>2</v>
      </c>
      <c r="AE235">
        <v>3</v>
      </c>
      <c r="AF235">
        <v>2</v>
      </c>
      <c r="AG235">
        <v>1</v>
      </c>
      <c r="AH235">
        <v>2</v>
      </c>
      <c r="AI235">
        <v>1</v>
      </c>
    </row>
    <row r="236" spans="1:35" x14ac:dyDescent="0.3">
      <c r="A236">
        <v>29</v>
      </c>
      <c r="B236" t="s">
        <v>40</v>
      </c>
      <c r="C236" t="s">
        <v>33</v>
      </c>
      <c r="D236">
        <v>1086</v>
      </c>
      <c r="E236" t="s">
        <v>42</v>
      </c>
      <c r="F236">
        <v>7</v>
      </c>
      <c r="G236">
        <v>1</v>
      </c>
      <c r="H236" t="s">
        <v>48</v>
      </c>
      <c r="I236">
        <v>1</v>
      </c>
      <c r="J236">
        <v>912</v>
      </c>
      <c r="K236">
        <v>1</v>
      </c>
      <c r="L236" s="17" t="s">
        <v>36</v>
      </c>
      <c r="M236">
        <v>62</v>
      </c>
      <c r="N236">
        <v>2</v>
      </c>
      <c r="O236">
        <v>1</v>
      </c>
      <c r="P236" t="s">
        <v>47</v>
      </c>
      <c r="Q236">
        <v>4</v>
      </c>
      <c r="R236" t="s">
        <v>49</v>
      </c>
      <c r="S236" s="6">
        <v>2532</v>
      </c>
      <c r="T236">
        <v>6054</v>
      </c>
      <c r="U236">
        <v>6</v>
      </c>
      <c r="V236" t="s">
        <v>39</v>
      </c>
      <c r="W236" t="s">
        <v>40</v>
      </c>
      <c r="X236">
        <v>14</v>
      </c>
      <c r="Y236">
        <v>3</v>
      </c>
      <c r="Z236">
        <v>3</v>
      </c>
      <c r="AA236">
        <v>80</v>
      </c>
      <c r="AB236">
        <v>3</v>
      </c>
      <c r="AC236">
        <v>8</v>
      </c>
      <c r="AD236">
        <v>5</v>
      </c>
      <c r="AE236">
        <v>3</v>
      </c>
      <c r="AF236">
        <v>4</v>
      </c>
      <c r="AG236">
        <v>3</v>
      </c>
      <c r="AH236">
        <v>0</v>
      </c>
      <c r="AI236">
        <v>3</v>
      </c>
    </row>
    <row r="237" spans="1:35" x14ac:dyDescent="0.3">
      <c r="A237">
        <v>27</v>
      </c>
      <c r="B237" t="s">
        <v>40</v>
      </c>
      <c r="C237" t="s">
        <v>33</v>
      </c>
      <c r="D237">
        <v>1291</v>
      </c>
      <c r="E237" t="s">
        <v>34</v>
      </c>
      <c r="F237">
        <v>11</v>
      </c>
      <c r="G237">
        <v>3</v>
      </c>
      <c r="H237" t="s">
        <v>48</v>
      </c>
      <c r="I237">
        <v>1</v>
      </c>
      <c r="J237">
        <v>1364</v>
      </c>
      <c r="K237">
        <v>3</v>
      </c>
      <c r="L237" s="17" t="s">
        <v>36</v>
      </c>
      <c r="M237">
        <v>98</v>
      </c>
      <c r="N237">
        <v>4</v>
      </c>
      <c r="O237">
        <v>1</v>
      </c>
      <c r="P237" t="s">
        <v>54</v>
      </c>
      <c r="Q237">
        <v>4</v>
      </c>
      <c r="R237" t="s">
        <v>45</v>
      </c>
      <c r="S237" s="6">
        <v>2534</v>
      </c>
      <c r="T237">
        <v>6527</v>
      </c>
      <c r="U237">
        <v>8</v>
      </c>
      <c r="V237" t="s">
        <v>39</v>
      </c>
      <c r="W237" t="s">
        <v>40</v>
      </c>
      <c r="X237">
        <v>14</v>
      </c>
      <c r="Y237">
        <v>3</v>
      </c>
      <c r="Z237">
        <v>2</v>
      </c>
      <c r="AA237">
        <v>80</v>
      </c>
      <c r="AB237">
        <v>1</v>
      </c>
      <c r="AC237">
        <v>5</v>
      </c>
      <c r="AD237">
        <v>4</v>
      </c>
      <c r="AE237">
        <v>3</v>
      </c>
      <c r="AF237">
        <v>1</v>
      </c>
      <c r="AG237">
        <v>0</v>
      </c>
      <c r="AH237">
        <v>0</v>
      </c>
      <c r="AI237">
        <v>0</v>
      </c>
    </row>
    <row r="238" spans="1:35" x14ac:dyDescent="0.3">
      <c r="A238">
        <v>27</v>
      </c>
      <c r="B238" t="s">
        <v>40</v>
      </c>
      <c r="C238" t="s">
        <v>33</v>
      </c>
      <c r="D238">
        <v>199</v>
      </c>
      <c r="E238" t="s">
        <v>42</v>
      </c>
      <c r="F238">
        <v>6</v>
      </c>
      <c r="G238">
        <v>3</v>
      </c>
      <c r="H238" t="s">
        <v>35</v>
      </c>
      <c r="I238">
        <v>1</v>
      </c>
      <c r="J238">
        <v>1162</v>
      </c>
      <c r="K238">
        <v>4</v>
      </c>
      <c r="L238" s="17" t="s">
        <v>43</v>
      </c>
      <c r="M238">
        <v>55</v>
      </c>
      <c r="N238">
        <v>2</v>
      </c>
      <c r="O238">
        <v>1</v>
      </c>
      <c r="P238" t="s">
        <v>44</v>
      </c>
      <c r="Q238">
        <v>3</v>
      </c>
      <c r="R238" t="s">
        <v>45</v>
      </c>
      <c r="S238" s="6">
        <v>2539</v>
      </c>
      <c r="T238">
        <v>7950</v>
      </c>
      <c r="U238">
        <v>1</v>
      </c>
      <c r="V238" t="s">
        <v>39</v>
      </c>
      <c r="W238" t="s">
        <v>40</v>
      </c>
      <c r="X238">
        <v>13</v>
      </c>
      <c r="Y238">
        <v>3</v>
      </c>
      <c r="Z238">
        <v>3</v>
      </c>
      <c r="AA238">
        <v>80</v>
      </c>
      <c r="AB238">
        <v>1</v>
      </c>
      <c r="AC238">
        <v>4</v>
      </c>
      <c r="AD238">
        <v>0</v>
      </c>
      <c r="AE238">
        <v>3</v>
      </c>
      <c r="AF238">
        <v>4</v>
      </c>
      <c r="AG238">
        <v>2</v>
      </c>
      <c r="AH238">
        <v>2</v>
      </c>
      <c r="AI238">
        <v>2</v>
      </c>
    </row>
    <row r="239" spans="1:35" x14ac:dyDescent="0.3">
      <c r="A239">
        <v>36</v>
      </c>
      <c r="B239" t="s">
        <v>40</v>
      </c>
      <c r="C239" t="s">
        <v>33</v>
      </c>
      <c r="D239">
        <v>329</v>
      </c>
      <c r="E239" t="s">
        <v>42</v>
      </c>
      <c r="F239">
        <v>2</v>
      </c>
      <c r="G239">
        <v>3</v>
      </c>
      <c r="H239" t="s">
        <v>35</v>
      </c>
      <c r="I239">
        <v>1</v>
      </c>
      <c r="J239">
        <v>501</v>
      </c>
      <c r="K239">
        <v>4</v>
      </c>
      <c r="L239" s="17" t="s">
        <v>36</v>
      </c>
      <c r="M239">
        <v>96</v>
      </c>
      <c r="N239">
        <v>3</v>
      </c>
      <c r="O239">
        <v>1</v>
      </c>
      <c r="P239" t="s">
        <v>44</v>
      </c>
      <c r="Q239">
        <v>3</v>
      </c>
      <c r="R239" t="s">
        <v>45</v>
      </c>
      <c r="S239" s="6">
        <v>2543</v>
      </c>
      <c r="T239">
        <v>11868</v>
      </c>
      <c r="U239">
        <v>4</v>
      </c>
      <c r="V239" t="s">
        <v>39</v>
      </c>
      <c r="W239" t="s">
        <v>40</v>
      </c>
      <c r="X239">
        <v>13</v>
      </c>
      <c r="Y239">
        <v>3</v>
      </c>
      <c r="Z239">
        <v>2</v>
      </c>
      <c r="AA239">
        <v>80</v>
      </c>
      <c r="AB239">
        <v>1</v>
      </c>
      <c r="AC239">
        <v>6</v>
      </c>
      <c r="AD239">
        <v>3</v>
      </c>
      <c r="AE239">
        <v>3</v>
      </c>
      <c r="AF239">
        <v>2</v>
      </c>
      <c r="AG239">
        <v>2</v>
      </c>
      <c r="AH239">
        <v>2</v>
      </c>
      <c r="AI239">
        <v>2</v>
      </c>
    </row>
    <row r="240" spans="1:35" x14ac:dyDescent="0.3">
      <c r="A240">
        <v>26</v>
      </c>
      <c r="B240" t="s">
        <v>40</v>
      </c>
      <c r="C240" t="s">
        <v>41</v>
      </c>
      <c r="D240">
        <v>1096</v>
      </c>
      <c r="E240" t="s">
        <v>42</v>
      </c>
      <c r="F240">
        <v>6</v>
      </c>
      <c r="G240">
        <v>3</v>
      </c>
      <c r="H240" t="s">
        <v>46</v>
      </c>
      <c r="I240">
        <v>1</v>
      </c>
      <c r="J240">
        <v>1918</v>
      </c>
      <c r="K240">
        <v>3</v>
      </c>
      <c r="L240" s="17" t="s">
        <v>43</v>
      </c>
      <c r="M240">
        <v>61</v>
      </c>
      <c r="N240">
        <v>4</v>
      </c>
      <c r="O240">
        <v>1</v>
      </c>
      <c r="P240" t="s">
        <v>47</v>
      </c>
      <c r="Q240">
        <v>4</v>
      </c>
      <c r="R240" t="s">
        <v>45</v>
      </c>
      <c r="S240" s="6">
        <v>2544</v>
      </c>
      <c r="T240">
        <v>7102</v>
      </c>
      <c r="U240">
        <v>0</v>
      </c>
      <c r="V240" t="s">
        <v>39</v>
      </c>
      <c r="W240" t="s">
        <v>40</v>
      </c>
      <c r="X240">
        <v>18</v>
      </c>
      <c r="Y240">
        <v>3</v>
      </c>
      <c r="Z240">
        <v>1</v>
      </c>
      <c r="AA240">
        <v>80</v>
      </c>
      <c r="AB240">
        <v>1</v>
      </c>
      <c r="AC240">
        <v>8</v>
      </c>
      <c r="AD240">
        <v>3</v>
      </c>
      <c r="AE240">
        <v>3</v>
      </c>
      <c r="AF240">
        <v>7</v>
      </c>
      <c r="AG240">
        <v>7</v>
      </c>
      <c r="AH240">
        <v>7</v>
      </c>
      <c r="AI240">
        <v>7</v>
      </c>
    </row>
    <row r="241" spans="1:35" x14ac:dyDescent="0.3">
      <c r="A241">
        <v>29</v>
      </c>
      <c r="B241" t="s">
        <v>32</v>
      </c>
      <c r="C241" t="s">
        <v>33</v>
      </c>
      <c r="D241">
        <v>408</v>
      </c>
      <c r="E241" t="s">
        <v>42</v>
      </c>
      <c r="F241">
        <v>25</v>
      </c>
      <c r="G241">
        <v>5</v>
      </c>
      <c r="H241" t="s">
        <v>57</v>
      </c>
      <c r="I241">
        <v>1</v>
      </c>
      <c r="J241">
        <v>565</v>
      </c>
      <c r="K241">
        <v>3</v>
      </c>
      <c r="L241" s="17" t="s">
        <v>36</v>
      </c>
      <c r="M241">
        <v>71</v>
      </c>
      <c r="N241">
        <v>2</v>
      </c>
      <c r="O241">
        <v>1</v>
      </c>
      <c r="P241" t="s">
        <v>44</v>
      </c>
      <c r="Q241">
        <v>2</v>
      </c>
      <c r="R241" t="s">
        <v>45</v>
      </c>
      <c r="S241" s="6">
        <v>2546</v>
      </c>
      <c r="T241">
        <v>18300</v>
      </c>
      <c r="U241">
        <v>5</v>
      </c>
      <c r="V241" t="s">
        <v>39</v>
      </c>
      <c r="W241" t="s">
        <v>40</v>
      </c>
      <c r="X241">
        <v>16</v>
      </c>
      <c r="Y241">
        <v>3</v>
      </c>
      <c r="Z241">
        <v>2</v>
      </c>
      <c r="AA241">
        <v>80</v>
      </c>
      <c r="AB241">
        <v>0</v>
      </c>
      <c r="AC241">
        <v>6</v>
      </c>
      <c r="AD241">
        <v>2</v>
      </c>
      <c r="AE241">
        <v>4</v>
      </c>
      <c r="AF241">
        <v>2</v>
      </c>
      <c r="AG241">
        <v>2</v>
      </c>
      <c r="AH241">
        <v>1</v>
      </c>
      <c r="AI241">
        <v>1</v>
      </c>
    </row>
    <row r="242" spans="1:35" x14ac:dyDescent="0.3">
      <c r="A242">
        <v>19</v>
      </c>
      <c r="B242" t="s">
        <v>40</v>
      </c>
      <c r="C242" t="s">
        <v>33</v>
      </c>
      <c r="D242">
        <v>645</v>
      </c>
      <c r="E242" t="s">
        <v>42</v>
      </c>
      <c r="F242">
        <v>9</v>
      </c>
      <c r="G242">
        <v>2</v>
      </c>
      <c r="H242" t="s">
        <v>35</v>
      </c>
      <c r="I242">
        <v>1</v>
      </c>
      <c r="J242">
        <v>1193</v>
      </c>
      <c r="K242">
        <v>3</v>
      </c>
      <c r="L242" s="17" t="s">
        <v>43</v>
      </c>
      <c r="M242">
        <v>54</v>
      </c>
      <c r="N242">
        <v>3</v>
      </c>
      <c r="O242">
        <v>1</v>
      </c>
      <c r="P242" t="s">
        <v>44</v>
      </c>
      <c r="Q242">
        <v>1</v>
      </c>
      <c r="R242" t="s">
        <v>38</v>
      </c>
      <c r="S242" s="6">
        <v>2552</v>
      </c>
      <c r="T242">
        <v>7172</v>
      </c>
      <c r="U242">
        <v>1</v>
      </c>
      <c r="V242" t="s">
        <v>39</v>
      </c>
      <c r="W242" t="s">
        <v>40</v>
      </c>
      <c r="X242">
        <v>25</v>
      </c>
      <c r="Y242">
        <v>4</v>
      </c>
      <c r="Z242">
        <v>3</v>
      </c>
      <c r="AA242">
        <v>80</v>
      </c>
      <c r="AB242">
        <v>0</v>
      </c>
      <c r="AC242">
        <v>1</v>
      </c>
      <c r="AD242">
        <v>4</v>
      </c>
      <c r="AE242">
        <v>3</v>
      </c>
      <c r="AF242">
        <v>1</v>
      </c>
      <c r="AG242">
        <v>1</v>
      </c>
      <c r="AH242">
        <v>0</v>
      </c>
      <c r="AI242">
        <v>0</v>
      </c>
    </row>
    <row r="243" spans="1:35" x14ac:dyDescent="0.3">
      <c r="A243">
        <v>34</v>
      </c>
      <c r="B243" t="s">
        <v>40</v>
      </c>
      <c r="C243" t="s">
        <v>41</v>
      </c>
      <c r="D243">
        <v>702</v>
      </c>
      <c r="E243" t="s">
        <v>42</v>
      </c>
      <c r="F243">
        <v>16</v>
      </c>
      <c r="G243">
        <v>4</v>
      </c>
      <c r="H243" t="s">
        <v>35</v>
      </c>
      <c r="I243">
        <v>1</v>
      </c>
      <c r="J243">
        <v>838</v>
      </c>
      <c r="K243">
        <v>3</v>
      </c>
      <c r="L243" s="17" t="s">
        <v>36</v>
      </c>
      <c r="M243">
        <v>100</v>
      </c>
      <c r="N243">
        <v>2</v>
      </c>
      <c r="O243">
        <v>1</v>
      </c>
      <c r="P243" t="s">
        <v>44</v>
      </c>
      <c r="Q243">
        <v>4</v>
      </c>
      <c r="R243" t="s">
        <v>38</v>
      </c>
      <c r="S243" s="6">
        <v>2553</v>
      </c>
      <c r="T243">
        <v>8306</v>
      </c>
      <c r="U243">
        <v>1</v>
      </c>
      <c r="V243" t="s">
        <v>39</v>
      </c>
      <c r="W243" t="s">
        <v>40</v>
      </c>
      <c r="X243">
        <v>16</v>
      </c>
      <c r="Y243">
        <v>3</v>
      </c>
      <c r="Z243">
        <v>3</v>
      </c>
      <c r="AA243">
        <v>80</v>
      </c>
      <c r="AB243">
        <v>0</v>
      </c>
      <c r="AC243">
        <v>6</v>
      </c>
      <c r="AD243">
        <v>3</v>
      </c>
      <c r="AE243">
        <v>3</v>
      </c>
      <c r="AF243">
        <v>5</v>
      </c>
      <c r="AG243">
        <v>2</v>
      </c>
      <c r="AH243">
        <v>1</v>
      </c>
      <c r="AI243">
        <v>3</v>
      </c>
    </row>
    <row r="244" spans="1:35" x14ac:dyDescent="0.3">
      <c r="A244">
        <v>35</v>
      </c>
      <c r="B244" t="s">
        <v>40</v>
      </c>
      <c r="C244" t="s">
        <v>33</v>
      </c>
      <c r="D244">
        <v>1343</v>
      </c>
      <c r="E244" t="s">
        <v>42</v>
      </c>
      <c r="F244">
        <v>27</v>
      </c>
      <c r="G244">
        <v>1</v>
      </c>
      <c r="H244" t="s">
        <v>48</v>
      </c>
      <c r="I244">
        <v>1</v>
      </c>
      <c r="J244">
        <v>856</v>
      </c>
      <c r="K244">
        <v>3</v>
      </c>
      <c r="L244" s="17" t="s">
        <v>36</v>
      </c>
      <c r="M244">
        <v>53</v>
      </c>
      <c r="N244">
        <v>2</v>
      </c>
      <c r="O244">
        <v>1</v>
      </c>
      <c r="P244" t="s">
        <v>44</v>
      </c>
      <c r="Q244">
        <v>1</v>
      </c>
      <c r="R244" t="s">
        <v>38</v>
      </c>
      <c r="S244" s="6">
        <v>2559</v>
      </c>
      <c r="T244">
        <v>17852</v>
      </c>
      <c r="U244">
        <v>1</v>
      </c>
      <c r="V244" t="s">
        <v>39</v>
      </c>
      <c r="W244" t="s">
        <v>40</v>
      </c>
      <c r="X244">
        <v>11</v>
      </c>
      <c r="Y244">
        <v>3</v>
      </c>
      <c r="Z244">
        <v>4</v>
      </c>
      <c r="AA244">
        <v>80</v>
      </c>
      <c r="AB244">
        <v>0</v>
      </c>
      <c r="AC244">
        <v>6</v>
      </c>
      <c r="AD244">
        <v>3</v>
      </c>
      <c r="AE244">
        <v>2</v>
      </c>
      <c r="AF244">
        <v>6</v>
      </c>
      <c r="AG244">
        <v>5</v>
      </c>
      <c r="AH244">
        <v>1</v>
      </c>
      <c r="AI244">
        <v>1</v>
      </c>
    </row>
    <row r="245" spans="1:35" x14ac:dyDescent="0.3">
      <c r="A245">
        <v>44</v>
      </c>
      <c r="B245" t="s">
        <v>40</v>
      </c>
      <c r="C245" t="s">
        <v>33</v>
      </c>
      <c r="D245">
        <v>661</v>
      </c>
      <c r="E245" t="s">
        <v>42</v>
      </c>
      <c r="F245">
        <v>9</v>
      </c>
      <c r="G245">
        <v>2</v>
      </c>
      <c r="H245" t="s">
        <v>35</v>
      </c>
      <c r="I245">
        <v>1</v>
      </c>
      <c r="J245">
        <v>913</v>
      </c>
      <c r="K245">
        <v>2</v>
      </c>
      <c r="L245" s="17" t="s">
        <v>43</v>
      </c>
      <c r="M245">
        <v>61</v>
      </c>
      <c r="N245">
        <v>3</v>
      </c>
      <c r="O245">
        <v>1</v>
      </c>
      <c r="P245" t="s">
        <v>44</v>
      </c>
      <c r="Q245">
        <v>1</v>
      </c>
      <c r="R245" t="s">
        <v>45</v>
      </c>
      <c r="S245" s="6">
        <v>2559</v>
      </c>
      <c r="T245">
        <v>7508</v>
      </c>
      <c r="U245">
        <v>1</v>
      </c>
      <c r="V245" t="s">
        <v>39</v>
      </c>
      <c r="W245" t="s">
        <v>32</v>
      </c>
      <c r="X245">
        <v>13</v>
      </c>
      <c r="Y245">
        <v>3</v>
      </c>
      <c r="Z245">
        <v>4</v>
      </c>
      <c r="AA245">
        <v>80</v>
      </c>
      <c r="AB245">
        <v>0</v>
      </c>
      <c r="AC245">
        <v>8</v>
      </c>
      <c r="AD245">
        <v>0</v>
      </c>
      <c r="AE245">
        <v>3</v>
      </c>
      <c r="AF245">
        <v>8</v>
      </c>
      <c r="AG245">
        <v>7</v>
      </c>
      <c r="AH245">
        <v>7</v>
      </c>
      <c r="AI245">
        <v>1</v>
      </c>
    </row>
    <row r="246" spans="1:35" x14ac:dyDescent="0.3">
      <c r="A246">
        <v>48</v>
      </c>
      <c r="B246" t="s">
        <v>40</v>
      </c>
      <c r="C246" t="s">
        <v>33</v>
      </c>
      <c r="D246">
        <v>969</v>
      </c>
      <c r="E246" t="s">
        <v>42</v>
      </c>
      <c r="F246">
        <v>2</v>
      </c>
      <c r="G246">
        <v>2</v>
      </c>
      <c r="H246" t="s">
        <v>57</v>
      </c>
      <c r="I246">
        <v>1</v>
      </c>
      <c r="J246">
        <v>1258</v>
      </c>
      <c r="K246">
        <v>4</v>
      </c>
      <c r="L246" s="17" t="s">
        <v>43</v>
      </c>
      <c r="M246">
        <v>76</v>
      </c>
      <c r="N246">
        <v>4</v>
      </c>
      <c r="O246">
        <v>1</v>
      </c>
      <c r="P246" t="s">
        <v>47</v>
      </c>
      <c r="Q246">
        <v>2</v>
      </c>
      <c r="R246" t="s">
        <v>38</v>
      </c>
      <c r="S246" s="6">
        <v>2559</v>
      </c>
      <c r="T246">
        <v>16620</v>
      </c>
      <c r="U246">
        <v>5</v>
      </c>
      <c r="V246" t="s">
        <v>39</v>
      </c>
      <c r="W246" t="s">
        <v>40</v>
      </c>
      <c r="X246">
        <v>11</v>
      </c>
      <c r="Y246">
        <v>3</v>
      </c>
      <c r="Z246">
        <v>3</v>
      </c>
      <c r="AA246">
        <v>80</v>
      </c>
      <c r="AB246">
        <v>0</v>
      </c>
      <c r="AC246">
        <v>7</v>
      </c>
      <c r="AD246">
        <v>4</v>
      </c>
      <c r="AE246">
        <v>2</v>
      </c>
      <c r="AF246">
        <v>1</v>
      </c>
      <c r="AG246">
        <v>0</v>
      </c>
      <c r="AH246">
        <v>0</v>
      </c>
      <c r="AI246">
        <v>0</v>
      </c>
    </row>
    <row r="247" spans="1:35" x14ac:dyDescent="0.3">
      <c r="A247">
        <v>28</v>
      </c>
      <c r="B247" t="s">
        <v>32</v>
      </c>
      <c r="C247" t="s">
        <v>41</v>
      </c>
      <c r="D247">
        <v>289</v>
      </c>
      <c r="E247" t="s">
        <v>42</v>
      </c>
      <c r="F247">
        <v>2</v>
      </c>
      <c r="G247">
        <v>2</v>
      </c>
      <c r="H247" t="s">
        <v>48</v>
      </c>
      <c r="I247">
        <v>1</v>
      </c>
      <c r="J247">
        <v>1504</v>
      </c>
      <c r="K247">
        <v>3</v>
      </c>
      <c r="L247" s="17" t="s">
        <v>43</v>
      </c>
      <c r="M247">
        <v>38</v>
      </c>
      <c r="N247">
        <v>2</v>
      </c>
      <c r="O247">
        <v>1</v>
      </c>
      <c r="P247" t="s">
        <v>47</v>
      </c>
      <c r="Q247">
        <v>1</v>
      </c>
      <c r="R247" t="s">
        <v>38</v>
      </c>
      <c r="S247" s="6">
        <v>2561</v>
      </c>
      <c r="T247">
        <v>5355</v>
      </c>
      <c r="U247">
        <v>7</v>
      </c>
      <c r="V247" t="s">
        <v>39</v>
      </c>
      <c r="W247" t="s">
        <v>40</v>
      </c>
      <c r="X247">
        <v>11</v>
      </c>
      <c r="Y247">
        <v>3</v>
      </c>
      <c r="Z247">
        <v>3</v>
      </c>
      <c r="AA247">
        <v>80</v>
      </c>
      <c r="AB247">
        <v>0</v>
      </c>
      <c r="AC247">
        <v>8</v>
      </c>
      <c r="AD247">
        <v>2</v>
      </c>
      <c r="AE247">
        <v>2</v>
      </c>
      <c r="AF247">
        <v>0</v>
      </c>
      <c r="AG247">
        <v>0</v>
      </c>
      <c r="AH247">
        <v>0</v>
      </c>
      <c r="AI247">
        <v>0</v>
      </c>
    </row>
    <row r="248" spans="1:35" x14ac:dyDescent="0.3">
      <c r="A248">
        <v>19</v>
      </c>
      <c r="B248" t="s">
        <v>32</v>
      </c>
      <c r="C248" t="s">
        <v>33</v>
      </c>
      <c r="D248">
        <v>489</v>
      </c>
      <c r="E248" t="s">
        <v>58</v>
      </c>
      <c r="F248">
        <v>2</v>
      </c>
      <c r="G248">
        <v>2</v>
      </c>
      <c r="H248" t="s">
        <v>57</v>
      </c>
      <c r="I248">
        <v>1</v>
      </c>
      <c r="J248">
        <v>566</v>
      </c>
      <c r="K248">
        <v>1</v>
      </c>
      <c r="L248" s="17" t="s">
        <v>43</v>
      </c>
      <c r="M248">
        <v>52</v>
      </c>
      <c r="N248">
        <v>2</v>
      </c>
      <c r="O248">
        <v>1</v>
      </c>
      <c r="P248" t="s">
        <v>58</v>
      </c>
      <c r="Q248">
        <v>4</v>
      </c>
      <c r="R248" t="s">
        <v>38</v>
      </c>
      <c r="S248" s="6">
        <v>2564</v>
      </c>
      <c r="T248">
        <v>18437</v>
      </c>
      <c r="U248">
        <v>1</v>
      </c>
      <c r="V248" t="s">
        <v>39</v>
      </c>
      <c r="W248" t="s">
        <v>40</v>
      </c>
      <c r="X248">
        <v>12</v>
      </c>
      <c r="Y248">
        <v>3</v>
      </c>
      <c r="Z248">
        <v>3</v>
      </c>
      <c r="AA248">
        <v>80</v>
      </c>
      <c r="AB248">
        <v>0</v>
      </c>
      <c r="AC248">
        <v>1</v>
      </c>
      <c r="AD248">
        <v>3</v>
      </c>
      <c r="AE248">
        <v>4</v>
      </c>
      <c r="AF248">
        <v>1</v>
      </c>
      <c r="AG248">
        <v>0</v>
      </c>
      <c r="AH248">
        <v>0</v>
      </c>
      <c r="AI248">
        <v>0</v>
      </c>
    </row>
    <row r="249" spans="1:35" x14ac:dyDescent="0.3">
      <c r="A249">
        <v>30</v>
      </c>
      <c r="B249" t="s">
        <v>40</v>
      </c>
      <c r="C249" t="s">
        <v>52</v>
      </c>
      <c r="D249">
        <v>1116</v>
      </c>
      <c r="E249" t="s">
        <v>42</v>
      </c>
      <c r="F249">
        <v>2</v>
      </c>
      <c r="G249">
        <v>3</v>
      </c>
      <c r="H249" t="s">
        <v>48</v>
      </c>
      <c r="I249">
        <v>1</v>
      </c>
      <c r="J249">
        <v>571</v>
      </c>
      <c r="K249">
        <v>3</v>
      </c>
      <c r="L249" s="17" t="s">
        <v>36</v>
      </c>
      <c r="M249">
        <v>49</v>
      </c>
      <c r="N249">
        <v>3</v>
      </c>
      <c r="O249">
        <v>1</v>
      </c>
      <c r="P249" t="s">
        <v>47</v>
      </c>
      <c r="Q249">
        <v>4</v>
      </c>
      <c r="R249" t="s">
        <v>38</v>
      </c>
      <c r="S249" s="6">
        <v>2564</v>
      </c>
      <c r="T249">
        <v>7181</v>
      </c>
      <c r="U249">
        <v>0</v>
      </c>
      <c r="V249" t="s">
        <v>39</v>
      </c>
      <c r="W249" t="s">
        <v>40</v>
      </c>
      <c r="X249">
        <v>14</v>
      </c>
      <c r="Y249">
        <v>3</v>
      </c>
      <c r="Z249">
        <v>3</v>
      </c>
      <c r="AA249">
        <v>80</v>
      </c>
      <c r="AB249">
        <v>0</v>
      </c>
      <c r="AC249">
        <v>12</v>
      </c>
      <c r="AD249">
        <v>2</v>
      </c>
      <c r="AE249">
        <v>2</v>
      </c>
      <c r="AF249">
        <v>11</v>
      </c>
      <c r="AG249">
        <v>7</v>
      </c>
      <c r="AH249">
        <v>6</v>
      </c>
      <c r="AI249">
        <v>7</v>
      </c>
    </row>
    <row r="250" spans="1:35" x14ac:dyDescent="0.3">
      <c r="A250">
        <v>27</v>
      </c>
      <c r="B250" t="s">
        <v>40</v>
      </c>
      <c r="C250" t="s">
        <v>52</v>
      </c>
      <c r="D250">
        <v>1450</v>
      </c>
      <c r="E250" t="s">
        <v>42</v>
      </c>
      <c r="F250">
        <v>3</v>
      </c>
      <c r="G250">
        <v>3</v>
      </c>
      <c r="H250" t="s">
        <v>48</v>
      </c>
      <c r="I250">
        <v>1</v>
      </c>
      <c r="J250">
        <v>224</v>
      </c>
      <c r="K250">
        <v>3</v>
      </c>
      <c r="L250" s="17" t="s">
        <v>43</v>
      </c>
      <c r="M250">
        <v>79</v>
      </c>
      <c r="N250">
        <v>2</v>
      </c>
      <c r="O250">
        <v>1</v>
      </c>
      <c r="P250" t="s">
        <v>44</v>
      </c>
      <c r="Q250">
        <v>3</v>
      </c>
      <c r="R250" t="s">
        <v>49</v>
      </c>
      <c r="S250" s="6">
        <v>2566</v>
      </c>
      <c r="T250">
        <v>25326</v>
      </c>
      <c r="U250">
        <v>1</v>
      </c>
      <c r="V250" t="s">
        <v>39</v>
      </c>
      <c r="W250" t="s">
        <v>32</v>
      </c>
      <c r="X250">
        <v>15</v>
      </c>
      <c r="Y250">
        <v>3</v>
      </c>
      <c r="Z250">
        <v>4</v>
      </c>
      <c r="AA250">
        <v>80</v>
      </c>
      <c r="AB250">
        <v>1</v>
      </c>
      <c r="AC250">
        <v>1</v>
      </c>
      <c r="AD250">
        <v>2</v>
      </c>
      <c r="AE250">
        <v>2</v>
      </c>
      <c r="AF250">
        <v>1</v>
      </c>
      <c r="AG250">
        <v>1</v>
      </c>
      <c r="AH250">
        <v>0</v>
      </c>
      <c r="AI250">
        <v>1</v>
      </c>
    </row>
    <row r="251" spans="1:35" x14ac:dyDescent="0.3">
      <c r="A251">
        <v>26</v>
      </c>
      <c r="B251" t="s">
        <v>40</v>
      </c>
      <c r="C251" t="s">
        <v>52</v>
      </c>
      <c r="D251">
        <v>786</v>
      </c>
      <c r="E251" t="s">
        <v>42</v>
      </c>
      <c r="F251">
        <v>7</v>
      </c>
      <c r="G251">
        <v>3</v>
      </c>
      <c r="H251" t="s">
        <v>48</v>
      </c>
      <c r="I251">
        <v>1</v>
      </c>
      <c r="J251">
        <v>1693</v>
      </c>
      <c r="K251">
        <v>4</v>
      </c>
      <c r="L251" s="17" t="s">
        <v>43</v>
      </c>
      <c r="M251">
        <v>76</v>
      </c>
      <c r="N251">
        <v>3</v>
      </c>
      <c r="O251">
        <v>1</v>
      </c>
      <c r="P251" t="s">
        <v>47</v>
      </c>
      <c r="Q251">
        <v>4</v>
      </c>
      <c r="R251" t="s">
        <v>38</v>
      </c>
      <c r="S251" s="6">
        <v>2570</v>
      </c>
      <c r="T251">
        <v>11925</v>
      </c>
      <c r="U251">
        <v>1</v>
      </c>
      <c r="V251" t="s">
        <v>39</v>
      </c>
      <c r="W251" t="s">
        <v>40</v>
      </c>
      <c r="X251">
        <v>20</v>
      </c>
      <c r="Y251">
        <v>4</v>
      </c>
      <c r="Z251">
        <v>3</v>
      </c>
      <c r="AA251">
        <v>80</v>
      </c>
      <c r="AB251">
        <v>0</v>
      </c>
      <c r="AC251">
        <v>7</v>
      </c>
      <c r="AD251">
        <v>5</v>
      </c>
      <c r="AE251">
        <v>3</v>
      </c>
      <c r="AF251">
        <v>7</v>
      </c>
      <c r="AG251">
        <v>7</v>
      </c>
      <c r="AH251">
        <v>5</v>
      </c>
      <c r="AI251">
        <v>7</v>
      </c>
    </row>
    <row r="252" spans="1:35" x14ac:dyDescent="0.3">
      <c r="A252">
        <v>36</v>
      </c>
      <c r="B252" t="s">
        <v>40</v>
      </c>
      <c r="C252" t="s">
        <v>41</v>
      </c>
      <c r="D252">
        <v>884</v>
      </c>
      <c r="E252" t="s">
        <v>42</v>
      </c>
      <c r="F252">
        <v>23</v>
      </c>
      <c r="G252">
        <v>2</v>
      </c>
      <c r="H252" t="s">
        <v>48</v>
      </c>
      <c r="I252">
        <v>1</v>
      </c>
      <c r="J252">
        <v>2061</v>
      </c>
      <c r="K252">
        <v>3</v>
      </c>
      <c r="L252" s="17" t="s">
        <v>43</v>
      </c>
      <c r="M252">
        <v>41</v>
      </c>
      <c r="N252">
        <v>4</v>
      </c>
      <c r="O252">
        <v>2</v>
      </c>
      <c r="P252" t="s">
        <v>47</v>
      </c>
      <c r="Q252">
        <v>4</v>
      </c>
      <c r="R252" t="s">
        <v>45</v>
      </c>
      <c r="S252" s="6">
        <v>2571</v>
      </c>
      <c r="T252">
        <v>12290</v>
      </c>
      <c r="U252">
        <v>4</v>
      </c>
      <c r="V252" t="s">
        <v>39</v>
      </c>
      <c r="W252" t="s">
        <v>40</v>
      </c>
      <c r="X252">
        <v>17</v>
      </c>
      <c r="Y252">
        <v>3</v>
      </c>
      <c r="Z252">
        <v>3</v>
      </c>
      <c r="AA252">
        <v>80</v>
      </c>
      <c r="AB252">
        <v>1</v>
      </c>
      <c r="AC252">
        <v>17</v>
      </c>
      <c r="AD252">
        <v>3</v>
      </c>
      <c r="AE252">
        <v>3</v>
      </c>
      <c r="AF252">
        <v>5</v>
      </c>
      <c r="AG252">
        <v>2</v>
      </c>
      <c r="AH252">
        <v>0</v>
      </c>
      <c r="AI252">
        <v>3</v>
      </c>
    </row>
    <row r="253" spans="1:35" x14ac:dyDescent="0.3">
      <c r="A253">
        <v>35</v>
      </c>
      <c r="B253" t="s">
        <v>40</v>
      </c>
      <c r="C253" t="s">
        <v>33</v>
      </c>
      <c r="D253">
        <v>384</v>
      </c>
      <c r="E253" t="s">
        <v>34</v>
      </c>
      <c r="F253">
        <v>8</v>
      </c>
      <c r="G253">
        <v>4</v>
      </c>
      <c r="H253" t="s">
        <v>35</v>
      </c>
      <c r="I253">
        <v>1</v>
      </c>
      <c r="J253">
        <v>805</v>
      </c>
      <c r="K253">
        <v>1</v>
      </c>
      <c r="L253" s="17" t="s">
        <v>36</v>
      </c>
      <c r="M253">
        <v>72</v>
      </c>
      <c r="N253">
        <v>3</v>
      </c>
      <c r="O253">
        <v>1</v>
      </c>
      <c r="P253" t="s">
        <v>54</v>
      </c>
      <c r="Q253">
        <v>4</v>
      </c>
      <c r="R253" t="s">
        <v>45</v>
      </c>
      <c r="S253" s="6">
        <v>2572</v>
      </c>
      <c r="T253">
        <v>20317</v>
      </c>
      <c r="U253">
        <v>1</v>
      </c>
      <c r="V253" t="s">
        <v>39</v>
      </c>
      <c r="W253" t="s">
        <v>40</v>
      </c>
      <c r="X253">
        <v>16</v>
      </c>
      <c r="Y253">
        <v>3</v>
      </c>
      <c r="Z253">
        <v>2</v>
      </c>
      <c r="AA253">
        <v>80</v>
      </c>
      <c r="AB253">
        <v>1</v>
      </c>
      <c r="AC253">
        <v>3</v>
      </c>
      <c r="AD253">
        <v>1</v>
      </c>
      <c r="AE253">
        <v>2</v>
      </c>
      <c r="AF253">
        <v>3</v>
      </c>
      <c r="AG253">
        <v>2</v>
      </c>
      <c r="AH253">
        <v>0</v>
      </c>
      <c r="AI253">
        <v>2</v>
      </c>
    </row>
    <row r="254" spans="1:35" x14ac:dyDescent="0.3">
      <c r="A254">
        <v>42</v>
      </c>
      <c r="B254" t="s">
        <v>40</v>
      </c>
      <c r="C254" t="s">
        <v>33</v>
      </c>
      <c r="D254">
        <v>201</v>
      </c>
      <c r="E254" t="s">
        <v>42</v>
      </c>
      <c r="F254">
        <v>1</v>
      </c>
      <c r="G254">
        <v>4</v>
      </c>
      <c r="H254" t="s">
        <v>35</v>
      </c>
      <c r="I254">
        <v>1</v>
      </c>
      <c r="J254">
        <v>517</v>
      </c>
      <c r="K254">
        <v>2</v>
      </c>
      <c r="L254" s="17" t="s">
        <v>36</v>
      </c>
      <c r="M254">
        <v>95</v>
      </c>
      <c r="N254">
        <v>3</v>
      </c>
      <c r="O254">
        <v>1</v>
      </c>
      <c r="P254" t="s">
        <v>47</v>
      </c>
      <c r="Q254">
        <v>1</v>
      </c>
      <c r="R254" t="s">
        <v>49</v>
      </c>
      <c r="S254" s="6">
        <v>2576</v>
      </c>
      <c r="T254">
        <v>20490</v>
      </c>
      <c r="U254">
        <v>3</v>
      </c>
      <c r="V254" t="s">
        <v>39</v>
      </c>
      <c r="W254" t="s">
        <v>40</v>
      </c>
      <c r="X254">
        <v>16</v>
      </c>
      <c r="Y254">
        <v>3</v>
      </c>
      <c r="Z254">
        <v>2</v>
      </c>
      <c r="AA254">
        <v>80</v>
      </c>
      <c r="AB254">
        <v>1</v>
      </c>
      <c r="AC254">
        <v>8</v>
      </c>
      <c r="AD254">
        <v>5</v>
      </c>
      <c r="AE254">
        <v>3</v>
      </c>
      <c r="AF254">
        <v>5</v>
      </c>
      <c r="AG254">
        <v>2</v>
      </c>
      <c r="AH254">
        <v>1</v>
      </c>
      <c r="AI254">
        <v>2</v>
      </c>
    </row>
    <row r="255" spans="1:35" x14ac:dyDescent="0.3">
      <c r="A255">
        <v>34</v>
      </c>
      <c r="B255" t="s">
        <v>40</v>
      </c>
      <c r="C255" t="s">
        <v>33</v>
      </c>
      <c r="D255">
        <v>204</v>
      </c>
      <c r="E255" t="s">
        <v>34</v>
      </c>
      <c r="F255">
        <v>14</v>
      </c>
      <c r="G255">
        <v>3</v>
      </c>
      <c r="H255" t="s">
        <v>57</v>
      </c>
      <c r="I255">
        <v>1</v>
      </c>
      <c r="J255">
        <v>666</v>
      </c>
      <c r="K255">
        <v>3</v>
      </c>
      <c r="L255" s="17" t="s">
        <v>36</v>
      </c>
      <c r="M255">
        <v>31</v>
      </c>
      <c r="N255">
        <v>3</v>
      </c>
      <c r="O255">
        <v>1</v>
      </c>
      <c r="P255" t="s">
        <v>54</v>
      </c>
      <c r="Q255">
        <v>3</v>
      </c>
      <c r="R255" t="s">
        <v>49</v>
      </c>
      <c r="S255" s="6">
        <v>2579</v>
      </c>
      <c r="T255">
        <v>2912</v>
      </c>
      <c r="U255">
        <v>1</v>
      </c>
      <c r="V255" t="s">
        <v>39</v>
      </c>
      <c r="W255" t="s">
        <v>32</v>
      </c>
      <c r="X255">
        <v>18</v>
      </c>
      <c r="Y255">
        <v>3</v>
      </c>
      <c r="Z255">
        <v>4</v>
      </c>
      <c r="AA255">
        <v>80</v>
      </c>
      <c r="AB255">
        <v>2</v>
      </c>
      <c r="AC255">
        <v>8</v>
      </c>
      <c r="AD255">
        <v>3</v>
      </c>
      <c r="AE255">
        <v>3</v>
      </c>
      <c r="AF255">
        <v>8</v>
      </c>
      <c r="AG255">
        <v>2</v>
      </c>
      <c r="AH255">
        <v>0</v>
      </c>
      <c r="AI255">
        <v>6</v>
      </c>
    </row>
    <row r="256" spans="1:35" x14ac:dyDescent="0.3">
      <c r="A256">
        <v>27</v>
      </c>
      <c r="B256" t="s">
        <v>40</v>
      </c>
      <c r="C256" t="s">
        <v>41</v>
      </c>
      <c r="D256">
        <v>591</v>
      </c>
      <c r="E256" t="s">
        <v>42</v>
      </c>
      <c r="F256">
        <v>2</v>
      </c>
      <c r="G256">
        <v>3</v>
      </c>
      <c r="H256" t="s">
        <v>48</v>
      </c>
      <c r="I256">
        <v>1</v>
      </c>
      <c r="J256">
        <v>1648</v>
      </c>
      <c r="K256">
        <v>4</v>
      </c>
      <c r="L256" s="17" t="s">
        <v>43</v>
      </c>
      <c r="M256">
        <v>87</v>
      </c>
      <c r="N256">
        <v>3</v>
      </c>
      <c r="O256">
        <v>1</v>
      </c>
      <c r="P256" t="s">
        <v>44</v>
      </c>
      <c r="Q256">
        <v>4</v>
      </c>
      <c r="R256" t="s">
        <v>38</v>
      </c>
      <c r="S256" s="6">
        <v>2580</v>
      </c>
      <c r="T256">
        <v>6297</v>
      </c>
      <c r="U256">
        <v>2</v>
      </c>
      <c r="V256" t="s">
        <v>39</v>
      </c>
      <c r="W256" t="s">
        <v>40</v>
      </c>
      <c r="X256">
        <v>13</v>
      </c>
      <c r="Y256">
        <v>3</v>
      </c>
      <c r="Z256">
        <v>3</v>
      </c>
      <c r="AA256">
        <v>80</v>
      </c>
      <c r="AB256">
        <v>0</v>
      </c>
      <c r="AC256">
        <v>6</v>
      </c>
      <c r="AD256">
        <v>0</v>
      </c>
      <c r="AE256">
        <v>2</v>
      </c>
      <c r="AF256">
        <v>4</v>
      </c>
      <c r="AG256">
        <v>2</v>
      </c>
      <c r="AH256">
        <v>1</v>
      </c>
      <c r="AI256">
        <v>2</v>
      </c>
    </row>
    <row r="257" spans="1:35" x14ac:dyDescent="0.3">
      <c r="A257">
        <v>34</v>
      </c>
      <c r="B257" t="s">
        <v>40</v>
      </c>
      <c r="C257" t="s">
        <v>33</v>
      </c>
      <c r="D257">
        <v>1320</v>
      </c>
      <c r="E257" t="s">
        <v>42</v>
      </c>
      <c r="F257">
        <v>20</v>
      </c>
      <c r="G257">
        <v>3</v>
      </c>
      <c r="H257" t="s">
        <v>57</v>
      </c>
      <c r="I257">
        <v>1</v>
      </c>
      <c r="J257">
        <v>1265</v>
      </c>
      <c r="K257">
        <v>3</v>
      </c>
      <c r="L257" s="17" t="s">
        <v>36</v>
      </c>
      <c r="M257">
        <v>89</v>
      </c>
      <c r="N257">
        <v>4</v>
      </c>
      <c r="O257">
        <v>1</v>
      </c>
      <c r="P257" t="s">
        <v>44</v>
      </c>
      <c r="Q257">
        <v>3</v>
      </c>
      <c r="R257" t="s">
        <v>45</v>
      </c>
      <c r="S257" s="6">
        <v>2585</v>
      </c>
      <c r="T257">
        <v>21643</v>
      </c>
      <c r="U257">
        <v>0</v>
      </c>
      <c r="V257" t="s">
        <v>39</v>
      </c>
      <c r="W257" t="s">
        <v>40</v>
      </c>
      <c r="X257">
        <v>17</v>
      </c>
      <c r="Y257">
        <v>3</v>
      </c>
      <c r="Z257">
        <v>4</v>
      </c>
      <c r="AA257">
        <v>80</v>
      </c>
      <c r="AB257">
        <v>0</v>
      </c>
      <c r="AC257">
        <v>2</v>
      </c>
      <c r="AD257">
        <v>5</v>
      </c>
      <c r="AE257">
        <v>2</v>
      </c>
      <c r="AF257">
        <v>1</v>
      </c>
      <c r="AG257">
        <v>0</v>
      </c>
      <c r="AH257">
        <v>0</v>
      </c>
      <c r="AI257">
        <v>0</v>
      </c>
    </row>
    <row r="258" spans="1:35" x14ac:dyDescent="0.3">
      <c r="A258">
        <v>49</v>
      </c>
      <c r="B258" t="s">
        <v>40</v>
      </c>
      <c r="C258" t="s">
        <v>33</v>
      </c>
      <c r="D258">
        <v>464</v>
      </c>
      <c r="E258" t="s">
        <v>42</v>
      </c>
      <c r="F258">
        <v>16</v>
      </c>
      <c r="G258">
        <v>3</v>
      </c>
      <c r="H258" t="s">
        <v>48</v>
      </c>
      <c r="I258">
        <v>1</v>
      </c>
      <c r="J258">
        <v>1674</v>
      </c>
      <c r="K258">
        <v>4</v>
      </c>
      <c r="L258" s="17" t="s">
        <v>36</v>
      </c>
      <c r="M258">
        <v>74</v>
      </c>
      <c r="N258">
        <v>3</v>
      </c>
      <c r="O258">
        <v>1</v>
      </c>
      <c r="P258" t="s">
        <v>47</v>
      </c>
      <c r="Q258">
        <v>1</v>
      </c>
      <c r="R258" t="s">
        <v>49</v>
      </c>
      <c r="S258" s="6">
        <v>2587</v>
      </c>
      <c r="T258">
        <v>24941</v>
      </c>
      <c r="U258">
        <v>4</v>
      </c>
      <c r="V258" t="s">
        <v>39</v>
      </c>
      <c r="W258" t="s">
        <v>32</v>
      </c>
      <c r="X258">
        <v>16</v>
      </c>
      <c r="Y258">
        <v>3</v>
      </c>
      <c r="Z258">
        <v>2</v>
      </c>
      <c r="AA258">
        <v>80</v>
      </c>
      <c r="AB258">
        <v>1</v>
      </c>
      <c r="AC258">
        <v>17</v>
      </c>
      <c r="AD258">
        <v>2</v>
      </c>
      <c r="AE258">
        <v>2</v>
      </c>
      <c r="AF258">
        <v>2</v>
      </c>
      <c r="AG258">
        <v>2</v>
      </c>
      <c r="AH258">
        <v>2</v>
      </c>
      <c r="AI258">
        <v>2</v>
      </c>
    </row>
    <row r="259" spans="1:35" x14ac:dyDescent="0.3">
      <c r="A259">
        <v>56</v>
      </c>
      <c r="B259" t="s">
        <v>32</v>
      </c>
      <c r="C259" t="s">
        <v>33</v>
      </c>
      <c r="D259">
        <v>1162</v>
      </c>
      <c r="E259" t="s">
        <v>42</v>
      </c>
      <c r="F259">
        <v>24</v>
      </c>
      <c r="G259">
        <v>2</v>
      </c>
      <c r="H259" t="s">
        <v>35</v>
      </c>
      <c r="I259">
        <v>1</v>
      </c>
      <c r="J259">
        <v>1907</v>
      </c>
      <c r="K259">
        <v>1</v>
      </c>
      <c r="L259" s="17" t="s">
        <v>43</v>
      </c>
      <c r="M259">
        <v>97</v>
      </c>
      <c r="N259">
        <v>3</v>
      </c>
      <c r="O259">
        <v>1</v>
      </c>
      <c r="P259" t="s">
        <v>47</v>
      </c>
      <c r="Q259">
        <v>4</v>
      </c>
      <c r="R259" t="s">
        <v>38</v>
      </c>
      <c r="S259" s="6">
        <v>2587</v>
      </c>
      <c r="T259">
        <v>10261</v>
      </c>
      <c r="U259">
        <v>1</v>
      </c>
      <c r="V259" t="s">
        <v>39</v>
      </c>
      <c r="W259" t="s">
        <v>40</v>
      </c>
      <c r="X259">
        <v>16</v>
      </c>
      <c r="Y259">
        <v>3</v>
      </c>
      <c r="Z259">
        <v>4</v>
      </c>
      <c r="AA259">
        <v>80</v>
      </c>
      <c r="AB259">
        <v>0</v>
      </c>
      <c r="AC259">
        <v>5</v>
      </c>
      <c r="AD259">
        <v>3</v>
      </c>
      <c r="AE259">
        <v>3</v>
      </c>
      <c r="AF259">
        <v>4</v>
      </c>
      <c r="AG259">
        <v>2</v>
      </c>
      <c r="AH259">
        <v>1</v>
      </c>
      <c r="AI259">
        <v>0</v>
      </c>
    </row>
    <row r="260" spans="1:35" x14ac:dyDescent="0.3">
      <c r="A260">
        <v>38</v>
      </c>
      <c r="B260" t="s">
        <v>40</v>
      </c>
      <c r="C260" t="s">
        <v>52</v>
      </c>
      <c r="D260">
        <v>1336</v>
      </c>
      <c r="E260" t="s">
        <v>58</v>
      </c>
      <c r="F260">
        <v>2</v>
      </c>
      <c r="G260">
        <v>3</v>
      </c>
      <c r="H260" t="s">
        <v>58</v>
      </c>
      <c r="I260">
        <v>1</v>
      </c>
      <c r="J260">
        <v>1805</v>
      </c>
      <c r="K260">
        <v>1</v>
      </c>
      <c r="L260" s="17" t="s">
        <v>43</v>
      </c>
      <c r="M260">
        <v>100</v>
      </c>
      <c r="N260">
        <v>3</v>
      </c>
      <c r="O260">
        <v>1</v>
      </c>
      <c r="P260" t="s">
        <v>58</v>
      </c>
      <c r="Q260">
        <v>2</v>
      </c>
      <c r="R260" t="s">
        <v>49</v>
      </c>
      <c r="S260" s="6">
        <v>2592</v>
      </c>
      <c r="T260">
        <v>7129</v>
      </c>
      <c r="U260">
        <v>5</v>
      </c>
      <c r="V260" t="s">
        <v>39</v>
      </c>
      <c r="W260" t="s">
        <v>40</v>
      </c>
      <c r="X260">
        <v>13</v>
      </c>
      <c r="Y260">
        <v>3</v>
      </c>
      <c r="Z260">
        <v>4</v>
      </c>
      <c r="AA260">
        <v>80</v>
      </c>
      <c r="AB260">
        <v>3</v>
      </c>
      <c r="AC260">
        <v>13</v>
      </c>
      <c r="AD260">
        <v>3</v>
      </c>
      <c r="AE260">
        <v>3</v>
      </c>
      <c r="AF260">
        <v>11</v>
      </c>
      <c r="AG260">
        <v>10</v>
      </c>
      <c r="AH260">
        <v>3</v>
      </c>
      <c r="AI260">
        <v>8</v>
      </c>
    </row>
    <row r="261" spans="1:35" x14ac:dyDescent="0.3">
      <c r="A261">
        <v>42</v>
      </c>
      <c r="B261" t="s">
        <v>40</v>
      </c>
      <c r="C261" t="s">
        <v>33</v>
      </c>
      <c r="D261">
        <v>269</v>
      </c>
      <c r="E261" t="s">
        <v>42</v>
      </c>
      <c r="F261">
        <v>2</v>
      </c>
      <c r="G261">
        <v>3</v>
      </c>
      <c r="H261" t="s">
        <v>48</v>
      </c>
      <c r="I261">
        <v>1</v>
      </c>
      <c r="J261">
        <v>351</v>
      </c>
      <c r="K261">
        <v>4</v>
      </c>
      <c r="L261" s="17" t="s">
        <v>36</v>
      </c>
      <c r="M261">
        <v>56</v>
      </c>
      <c r="N261">
        <v>2</v>
      </c>
      <c r="O261">
        <v>1</v>
      </c>
      <c r="P261" t="s">
        <v>47</v>
      </c>
      <c r="Q261">
        <v>1</v>
      </c>
      <c r="R261" t="s">
        <v>49</v>
      </c>
      <c r="S261" s="6">
        <v>2593</v>
      </c>
      <c r="T261">
        <v>8007</v>
      </c>
      <c r="U261">
        <v>0</v>
      </c>
      <c r="V261" t="s">
        <v>39</v>
      </c>
      <c r="W261" t="s">
        <v>32</v>
      </c>
      <c r="X261">
        <v>11</v>
      </c>
      <c r="Y261">
        <v>3</v>
      </c>
      <c r="Z261">
        <v>3</v>
      </c>
      <c r="AA261">
        <v>80</v>
      </c>
      <c r="AB261">
        <v>1</v>
      </c>
      <c r="AC261">
        <v>10</v>
      </c>
      <c r="AD261">
        <v>4</v>
      </c>
      <c r="AE261">
        <v>3</v>
      </c>
      <c r="AF261">
        <v>9</v>
      </c>
      <c r="AG261">
        <v>6</v>
      </c>
      <c r="AH261">
        <v>7</v>
      </c>
      <c r="AI261">
        <v>8</v>
      </c>
    </row>
    <row r="262" spans="1:35" x14ac:dyDescent="0.3">
      <c r="A262">
        <v>28</v>
      </c>
      <c r="B262" t="s">
        <v>32</v>
      </c>
      <c r="C262" t="s">
        <v>41</v>
      </c>
      <c r="D262">
        <v>1009</v>
      </c>
      <c r="E262" t="s">
        <v>42</v>
      </c>
      <c r="F262">
        <v>1</v>
      </c>
      <c r="G262">
        <v>3</v>
      </c>
      <c r="H262" t="s">
        <v>48</v>
      </c>
      <c r="I262">
        <v>1</v>
      </c>
      <c r="J262">
        <v>1111</v>
      </c>
      <c r="K262">
        <v>1</v>
      </c>
      <c r="L262" s="17" t="s">
        <v>43</v>
      </c>
      <c r="M262">
        <v>45</v>
      </c>
      <c r="N262">
        <v>2</v>
      </c>
      <c r="O262">
        <v>1</v>
      </c>
      <c r="P262" t="s">
        <v>47</v>
      </c>
      <c r="Q262">
        <v>2</v>
      </c>
      <c r="R262" t="s">
        <v>49</v>
      </c>
      <c r="S262" s="6">
        <v>2596</v>
      </c>
      <c r="T262">
        <v>7160</v>
      </c>
      <c r="U262">
        <v>1</v>
      </c>
      <c r="V262" t="s">
        <v>39</v>
      </c>
      <c r="W262" t="s">
        <v>40</v>
      </c>
      <c r="X262">
        <v>15</v>
      </c>
      <c r="Y262">
        <v>3</v>
      </c>
      <c r="Z262">
        <v>1</v>
      </c>
      <c r="AA262">
        <v>80</v>
      </c>
      <c r="AB262">
        <v>2</v>
      </c>
      <c r="AC262">
        <v>1</v>
      </c>
      <c r="AD262">
        <v>2</v>
      </c>
      <c r="AE262">
        <v>3</v>
      </c>
      <c r="AF262">
        <v>1</v>
      </c>
      <c r="AG262">
        <v>0</v>
      </c>
      <c r="AH262">
        <v>0</v>
      </c>
      <c r="AI262">
        <v>0</v>
      </c>
    </row>
    <row r="263" spans="1:35" x14ac:dyDescent="0.3">
      <c r="A263">
        <v>20</v>
      </c>
      <c r="B263" t="s">
        <v>32</v>
      </c>
      <c r="C263" t="s">
        <v>33</v>
      </c>
      <c r="D263">
        <v>1097</v>
      </c>
      <c r="E263" t="s">
        <v>42</v>
      </c>
      <c r="F263">
        <v>11</v>
      </c>
      <c r="G263">
        <v>3</v>
      </c>
      <c r="H263" t="s">
        <v>48</v>
      </c>
      <c r="I263">
        <v>1</v>
      </c>
      <c r="J263">
        <v>1016</v>
      </c>
      <c r="K263">
        <v>4</v>
      </c>
      <c r="L263" s="17" t="s">
        <v>36</v>
      </c>
      <c r="M263">
        <v>98</v>
      </c>
      <c r="N263">
        <v>2</v>
      </c>
      <c r="O263">
        <v>1</v>
      </c>
      <c r="P263" t="s">
        <v>44</v>
      </c>
      <c r="Q263">
        <v>1</v>
      </c>
      <c r="R263" t="s">
        <v>38</v>
      </c>
      <c r="S263" s="6">
        <v>2600</v>
      </c>
      <c r="T263">
        <v>18275</v>
      </c>
      <c r="U263">
        <v>1</v>
      </c>
      <c r="V263" t="s">
        <v>39</v>
      </c>
      <c r="W263" t="s">
        <v>32</v>
      </c>
      <c r="X263">
        <v>15</v>
      </c>
      <c r="Y263">
        <v>3</v>
      </c>
      <c r="Z263">
        <v>1</v>
      </c>
      <c r="AA263">
        <v>80</v>
      </c>
      <c r="AB263">
        <v>0</v>
      </c>
      <c r="AC263">
        <v>1</v>
      </c>
      <c r="AD263">
        <v>2</v>
      </c>
      <c r="AE263">
        <v>3</v>
      </c>
      <c r="AF263">
        <v>1</v>
      </c>
      <c r="AG263">
        <v>0</v>
      </c>
      <c r="AH263">
        <v>0</v>
      </c>
      <c r="AI263">
        <v>0</v>
      </c>
    </row>
    <row r="264" spans="1:35" x14ac:dyDescent="0.3">
      <c r="A264">
        <v>21</v>
      </c>
      <c r="B264" t="s">
        <v>40</v>
      </c>
      <c r="C264" t="s">
        <v>52</v>
      </c>
      <c r="D264">
        <v>895</v>
      </c>
      <c r="E264" t="s">
        <v>34</v>
      </c>
      <c r="F264">
        <v>9</v>
      </c>
      <c r="G264">
        <v>2</v>
      </c>
      <c r="H264" t="s">
        <v>48</v>
      </c>
      <c r="I264">
        <v>1</v>
      </c>
      <c r="J264">
        <v>484</v>
      </c>
      <c r="K264">
        <v>1</v>
      </c>
      <c r="L264" s="17" t="s">
        <v>43</v>
      </c>
      <c r="M264">
        <v>39</v>
      </c>
      <c r="N264">
        <v>3</v>
      </c>
      <c r="O264">
        <v>1</v>
      </c>
      <c r="P264" t="s">
        <v>54</v>
      </c>
      <c r="Q264">
        <v>4</v>
      </c>
      <c r="R264" t="s">
        <v>38</v>
      </c>
      <c r="S264" s="6">
        <v>2610</v>
      </c>
      <c r="T264">
        <v>2851</v>
      </c>
      <c r="U264">
        <v>1</v>
      </c>
      <c r="V264" t="s">
        <v>39</v>
      </c>
      <c r="W264" t="s">
        <v>40</v>
      </c>
      <c r="X264">
        <v>24</v>
      </c>
      <c r="Y264">
        <v>4</v>
      </c>
      <c r="Z264">
        <v>3</v>
      </c>
      <c r="AA264">
        <v>80</v>
      </c>
      <c r="AB264">
        <v>0</v>
      </c>
      <c r="AC264">
        <v>3</v>
      </c>
      <c r="AD264">
        <v>3</v>
      </c>
      <c r="AE264">
        <v>2</v>
      </c>
      <c r="AF264">
        <v>3</v>
      </c>
      <c r="AG264">
        <v>2</v>
      </c>
      <c r="AH264">
        <v>2</v>
      </c>
      <c r="AI264">
        <v>2</v>
      </c>
    </row>
    <row r="265" spans="1:35" x14ac:dyDescent="0.3">
      <c r="A265">
        <v>31</v>
      </c>
      <c r="B265" t="s">
        <v>32</v>
      </c>
      <c r="C265" t="s">
        <v>41</v>
      </c>
      <c r="D265">
        <v>874</v>
      </c>
      <c r="E265" t="s">
        <v>42</v>
      </c>
      <c r="F265">
        <v>15</v>
      </c>
      <c r="G265">
        <v>3</v>
      </c>
      <c r="H265" t="s">
        <v>48</v>
      </c>
      <c r="I265">
        <v>1</v>
      </c>
      <c r="J265">
        <v>1160</v>
      </c>
      <c r="K265">
        <v>3</v>
      </c>
      <c r="L265" s="17" t="s">
        <v>43</v>
      </c>
      <c r="M265">
        <v>72</v>
      </c>
      <c r="N265">
        <v>3</v>
      </c>
      <c r="O265">
        <v>1</v>
      </c>
      <c r="P265" t="s">
        <v>47</v>
      </c>
      <c r="Q265">
        <v>3</v>
      </c>
      <c r="R265" t="s">
        <v>45</v>
      </c>
      <c r="S265" s="6">
        <v>2610</v>
      </c>
      <c r="T265">
        <v>6233</v>
      </c>
      <c r="U265">
        <v>1</v>
      </c>
      <c r="V265" t="s">
        <v>39</v>
      </c>
      <c r="W265" t="s">
        <v>40</v>
      </c>
      <c r="X265">
        <v>12</v>
      </c>
      <c r="Y265">
        <v>3</v>
      </c>
      <c r="Z265">
        <v>3</v>
      </c>
      <c r="AA265">
        <v>80</v>
      </c>
      <c r="AB265">
        <v>1</v>
      </c>
      <c r="AC265">
        <v>2</v>
      </c>
      <c r="AD265">
        <v>5</v>
      </c>
      <c r="AE265">
        <v>2</v>
      </c>
      <c r="AF265">
        <v>2</v>
      </c>
      <c r="AG265">
        <v>2</v>
      </c>
      <c r="AH265">
        <v>2</v>
      </c>
      <c r="AI265">
        <v>2</v>
      </c>
    </row>
    <row r="266" spans="1:35" x14ac:dyDescent="0.3">
      <c r="A266">
        <v>38</v>
      </c>
      <c r="B266" t="s">
        <v>40</v>
      </c>
      <c r="C266" t="s">
        <v>41</v>
      </c>
      <c r="D266">
        <v>693</v>
      </c>
      <c r="E266" t="s">
        <v>42</v>
      </c>
      <c r="F266">
        <v>7</v>
      </c>
      <c r="G266">
        <v>3</v>
      </c>
      <c r="H266" t="s">
        <v>35</v>
      </c>
      <c r="I266">
        <v>1</v>
      </c>
      <c r="J266">
        <v>1382</v>
      </c>
      <c r="K266">
        <v>4</v>
      </c>
      <c r="L266" s="17" t="s">
        <v>43</v>
      </c>
      <c r="M266">
        <v>57</v>
      </c>
      <c r="N266">
        <v>4</v>
      </c>
      <c r="O266">
        <v>1</v>
      </c>
      <c r="P266" t="s">
        <v>44</v>
      </c>
      <c r="Q266">
        <v>3</v>
      </c>
      <c r="R266" t="s">
        <v>49</v>
      </c>
      <c r="S266" s="6">
        <v>2610</v>
      </c>
      <c r="T266">
        <v>15748</v>
      </c>
      <c r="U266">
        <v>1</v>
      </c>
      <c r="V266" t="s">
        <v>39</v>
      </c>
      <c r="W266" t="s">
        <v>40</v>
      </c>
      <c r="X266">
        <v>11</v>
      </c>
      <c r="Y266">
        <v>3</v>
      </c>
      <c r="Z266">
        <v>4</v>
      </c>
      <c r="AA266">
        <v>80</v>
      </c>
      <c r="AB266">
        <v>3</v>
      </c>
      <c r="AC266">
        <v>4</v>
      </c>
      <c r="AD266">
        <v>2</v>
      </c>
      <c r="AE266">
        <v>3</v>
      </c>
      <c r="AF266">
        <v>4</v>
      </c>
      <c r="AG266">
        <v>2</v>
      </c>
      <c r="AH266">
        <v>0</v>
      </c>
      <c r="AI266">
        <v>3</v>
      </c>
    </row>
    <row r="267" spans="1:35" x14ac:dyDescent="0.3">
      <c r="A267">
        <v>30</v>
      </c>
      <c r="B267" t="s">
        <v>40</v>
      </c>
      <c r="C267" t="s">
        <v>41</v>
      </c>
      <c r="D267">
        <v>1312</v>
      </c>
      <c r="E267" t="s">
        <v>42</v>
      </c>
      <c r="F267">
        <v>23</v>
      </c>
      <c r="G267">
        <v>3</v>
      </c>
      <c r="H267" t="s">
        <v>35</v>
      </c>
      <c r="I267">
        <v>1</v>
      </c>
      <c r="J267">
        <v>159</v>
      </c>
      <c r="K267">
        <v>1</v>
      </c>
      <c r="L267" s="17" t="s">
        <v>43</v>
      </c>
      <c r="M267">
        <v>96</v>
      </c>
      <c r="N267">
        <v>1</v>
      </c>
      <c r="O267">
        <v>1</v>
      </c>
      <c r="P267" t="s">
        <v>44</v>
      </c>
      <c r="Q267">
        <v>3</v>
      </c>
      <c r="R267" t="s">
        <v>49</v>
      </c>
      <c r="S267" s="6">
        <v>2613</v>
      </c>
      <c r="T267">
        <v>22310</v>
      </c>
      <c r="U267">
        <v>1</v>
      </c>
      <c r="V267" t="s">
        <v>39</v>
      </c>
      <c r="W267" t="s">
        <v>40</v>
      </c>
      <c r="X267">
        <v>25</v>
      </c>
      <c r="Y267">
        <v>4</v>
      </c>
      <c r="Z267">
        <v>3</v>
      </c>
      <c r="AA267">
        <v>80</v>
      </c>
      <c r="AB267">
        <v>3</v>
      </c>
      <c r="AC267">
        <v>10</v>
      </c>
      <c r="AD267">
        <v>2</v>
      </c>
      <c r="AE267">
        <v>2</v>
      </c>
      <c r="AF267">
        <v>10</v>
      </c>
      <c r="AG267">
        <v>7</v>
      </c>
      <c r="AH267">
        <v>0</v>
      </c>
      <c r="AI267">
        <v>9</v>
      </c>
    </row>
    <row r="268" spans="1:35" x14ac:dyDescent="0.3">
      <c r="A268">
        <v>38</v>
      </c>
      <c r="B268" t="s">
        <v>40</v>
      </c>
      <c r="C268" t="s">
        <v>33</v>
      </c>
      <c r="D268">
        <v>362</v>
      </c>
      <c r="E268" t="s">
        <v>42</v>
      </c>
      <c r="F268">
        <v>1</v>
      </c>
      <c r="G268">
        <v>1</v>
      </c>
      <c r="H268" t="s">
        <v>35</v>
      </c>
      <c r="I268">
        <v>1</v>
      </c>
      <c r="J268">
        <v>662</v>
      </c>
      <c r="K268">
        <v>3</v>
      </c>
      <c r="L268" s="17" t="s">
        <v>36</v>
      </c>
      <c r="M268">
        <v>43</v>
      </c>
      <c r="N268">
        <v>3</v>
      </c>
      <c r="O268">
        <v>1</v>
      </c>
      <c r="P268" t="s">
        <v>44</v>
      </c>
      <c r="Q268">
        <v>1</v>
      </c>
      <c r="R268" t="s">
        <v>38</v>
      </c>
      <c r="S268" s="6">
        <v>2619</v>
      </c>
      <c r="T268">
        <v>14561</v>
      </c>
      <c r="U268">
        <v>3</v>
      </c>
      <c r="V268" t="s">
        <v>39</v>
      </c>
      <c r="W268" t="s">
        <v>40</v>
      </c>
      <c r="X268">
        <v>17</v>
      </c>
      <c r="Y268">
        <v>3</v>
      </c>
      <c r="Z268">
        <v>4</v>
      </c>
      <c r="AA268">
        <v>80</v>
      </c>
      <c r="AB268">
        <v>0</v>
      </c>
      <c r="AC268">
        <v>8</v>
      </c>
      <c r="AD268">
        <v>3</v>
      </c>
      <c r="AE268">
        <v>2</v>
      </c>
      <c r="AF268">
        <v>0</v>
      </c>
      <c r="AG268">
        <v>0</v>
      </c>
      <c r="AH268">
        <v>0</v>
      </c>
      <c r="AI268">
        <v>0</v>
      </c>
    </row>
    <row r="269" spans="1:35" x14ac:dyDescent="0.3">
      <c r="A269">
        <v>33</v>
      </c>
      <c r="B269" t="s">
        <v>40</v>
      </c>
      <c r="C269" t="s">
        <v>33</v>
      </c>
      <c r="D269">
        <v>147</v>
      </c>
      <c r="E269" t="s">
        <v>42</v>
      </c>
      <c r="F269">
        <v>4</v>
      </c>
      <c r="G269">
        <v>4</v>
      </c>
      <c r="H269" t="s">
        <v>48</v>
      </c>
      <c r="I269">
        <v>1</v>
      </c>
      <c r="J269">
        <v>305</v>
      </c>
      <c r="K269">
        <v>3</v>
      </c>
      <c r="L269" s="17" t="s">
        <v>36</v>
      </c>
      <c r="M269">
        <v>47</v>
      </c>
      <c r="N269">
        <v>2</v>
      </c>
      <c r="O269">
        <v>1</v>
      </c>
      <c r="P269" t="s">
        <v>44</v>
      </c>
      <c r="Q269">
        <v>2</v>
      </c>
      <c r="R269" t="s">
        <v>45</v>
      </c>
      <c r="S269" s="6">
        <v>2622</v>
      </c>
      <c r="T269">
        <v>13248</v>
      </c>
      <c r="U269">
        <v>6</v>
      </c>
      <c r="V269" t="s">
        <v>39</v>
      </c>
      <c r="W269" t="s">
        <v>40</v>
      </c>
      <c r="X269">
        <v>21</v>
      </c>
      <c r="Y269">
        <v>4</v>
      </c>
      <c r="Z269">
        <v>4</v>
      </c>
      <c r="AA269">
        <v>80</v>
      </c>
      <c r="AB269">
        <v>0</v>
      </c>
      <c r="AC269">
        <v>7</v>
      </c>
      <c r="AD269">
        <v>3</v>
      </c>
      <c r="AE269">
        <v>3</v>
      </c>
      <c r="AF269">
        <v>3</v>
      </c>
      <c r="AG269">
        <v>2</v>
      </c>
      <c r="AH269">
        <v>1</v>
      </c>
      <c r="AI269">
        <v>1</v>
      </c>
    </row>
    <row r="270" spans="1:35" x14ac:dyDescent="0.3">
      <c r="A270">
        <v>21</v>
      </c>
      <c r="B270" t="s">
        <v>32</v>
      </c>
      <c r="C270" t="s">
        <v>41</v>
      </c>
      <c r="D270">
        <v>251</v>
      </c>
      <c r="E270" t="s">
        <v>42</v>
      </c>
      <c r="F270">
        <v>10</v>
      </c>
      <c r="G270">
        <v>2</v>
      </c>
      <c r="H270" t="s">
        <v>35</v>
      </c>
      <c r="I270">
        <v>1</v>
      </c>
      <c r="J270">
        <v>1279</v>
      </c>
      <c r="K270">
        <v>1</v>
      </c>
      <c r="L270" s="17" t="s">
        <v>36</v>
      </c>
      <c r="M270">
        <v>45</v>
      </c>
      <c r="N270">
        <v>2</v>
      </c>
      <c r="O270">
        <v>1</v>
      </c>
      <c r="P270" t="s">
        <v>47</v>
      </c>
      <c r="Q270">
        <v>3</v>
      </c>
      <c r="R270" t="s">
        <v>38</v>
      </c>
      <c r="S270" s="6">
        <v>2625</v>
      </c>
      <c r="T270">
        <v>25308</v>
      </c>
      <c r="U270">
        <v>1</v>
      </c>
      <c r="V270" t="s">
        <v>39</v>
      </c>
      <c r="W270" t="s">
        <v>40</v>
      </c>
      <c r="X270">
        <v>20</v>
      </c>
      <c r="Y270">
        <v>4</v>
      </c>
      <c r="Z270">
        <v>3</v>
      </c>
      <c r="AA270">
        <v>80</v>
      </c>
      <c r="AB270">
        <v>0</v>
      </c>
      <c r="AC270">
        <v>2</v>
      </c>
      <c r="AD270">
        <v>2</v>
      </c>
      <c r="AE270">
        <v>1</v>
      </c>
      <c r="AF270">
        <v>2</v>
      </c>
      <c r="AG270">
        <v>2</v>
      </c>
      <c r="AH270">
        <v>2</v>
      </c>
      <c r="AI270">
        <v>2</v>
      </c>
    </row>
    <row r="271" spans="1:35" x14ac:dyDescent="0.3">
      <c r="A271">
        <v>30</v>
      </c>
      <c r="B271" t="s">
        <v>40</v>
      </c>
      <c r="C271" t="s">
        <v>33</v>
      </c>
      <c r="D271">
        <v>438</v>
      </c>
      <c r="E271" t="s">
        <v>42</v>
      </c>
      <c r="F271">
        <v>18</v>
      </c>
      <c r="G271">
        <v>3</v>
      </c>
      <c r="H271" t="s">
        <v>35</v>
      </c>
      <c r="I271">
        <v>1</v>
      </c>
      <c r="J271">
        <v>194</v>
      </c>
      <c r="K271">
        <v>1</v>
      </c>
      <c r="L271" s="17" t="s">
        <v>36</v>
      </c>
      <c r="M271">
        <v>75</v>
      </c>
      <c r="N271">
        <v>3</v>
      </c>
      <c r="O271">
        <v>1</v>
      </c>
      <c r="P271" t="s">
        <v>44</v>
      </c>
      <c r="Q271">
        <v>3</v>
      </c>
      <c r="R271" t="s">
        <v>38</v>
      </c>
      <c r="S271" s="6">
        <v>2632</v>
      </c>
      <c r="T271">
        <v>23910</v>
      </c>
      <c r="U271">
        <v>1</v>
      </c>
      <c r="V271" t="s">
        <v>39</v>
      </c>
      <c r="W271" t="s">
        <v>40</v>
      </c>
      <c r="X271">
        <v>14</v>
      </c>
      <c r="Y271">
        <v>3</v>
      </c>
      <c r="Z271">
        <v>3</v>
      </c>
      <c r="AA271">
        <v>80</v>
      </c>
      <c r="AB271">
        <v>0</v>
      </c>
      <c r="AC271">
        <v>5</v>
      </c>
      <c r="AD271">
        <v>4</v>
      </c>
      <c r="AE271">
        <v>2</v>
      </c>
      <c r="AF271">
        <v>5</v>
      </c>
      <c r="AG271">
        <v>4</v>
      </c>
      <c r="AH271">
        <v>0</v>
      </c>
      <c r="AI271">
        <v>4</v>
      </c>
    </row>
    <row r="272" spans="1:35" x14ac:dyDescent="0.3">
      <c r="A272">
        <v>29</v>
      </c>
      <c r="B272" t="s">
        <v>40</v>
      </c>
      <c r="C272" t="s">
        <v>33</v>
      </c>
      <c r="D272">
        <v>1396</v>
      </c>
      <c r="E272" t="s">
        <v>34</v>
      </c>
      <c r="F272">
        <v>10</v>
      </c>
      <c r="G272">
        <v>3</v>
      </c>
      <c r="H272" t="s">
        <v>35</v>
      </c>
      <c r="I272">
        <v>1</v>
      </c>
      <c r="J272">
        <v>749</v>
      </c>
      <c r="K272">
        <v>3</v>
      </c>
      <c r="L272" s="17" t="s">
        <v>43</v>
      </c>
      <c r="M272">
        <v>99</v>
      </c>
      <c r="N272">
        <v>3</v>
      </c>
      <c r="O272">
        <v>1</v>
      </c>
      <c r="P272" t="s">
        <v>54</v>
      </c>
      <c r="Q272">
        <v>3</v>
      </c>
      <c r="R272" t="s">
        <v>38</v>
      </c>
      <c r="S272" s="6">
        <v>2642</v>
      </c>
      <c r="T272">
        <v>2755</v>
      </c>
      <c r="U272">
        <v>1</v>
      </c>
      <c r="V272" t="s">
        <v>39</v>
      </c>
      <c r="W272" t="s">
        <v>40</v>
      </c>
      <c r="X272">
        <v>11</v>
      </c>
      <c r="Y272">
        <v>3</v>
      </c>
      <c r="Z272">
        <v>3</v>
      </c>
      <c r="AA272">
        <v>80</v>
      </c>
      <c r="AB272">
        <v>0</v>
      </c>
      <c r="AC272">
        <v>1</v>
      </c>
      <c r="AD272">
        <v>6</v>
      </c>
      <c r="AE272">
        <v>3</v>
      </c>
      <c r="AF272">
        <v>1</v>
      </c>
      <c r="AG272">
        <v>0</v>
      </c>
      <c r="AH272">
        <v>0</v>
      </c>
      <c r="AI272">
        <v>0</v>
      </c>
    </row>
    <row r="273" spans="1:35" x14ac:dyDescent="0.3">
      <c r="A273">
        <v>36</v>
      </c>
      <c r="B273" t="s">
        <v>40</v>
      </c>
      <c r="C273" t="s">
        <v>33</v>
      </c>
      <c r="D273">
        <v>1157</v>
      </c>
      <c r="E273" t="s">
        <v>34</v>
      </c>
      <c r="F273">
        <v>2</v>
      </c>
      <c r="G273">
        <v>4</v>
      </c>
      <c r="H273" t="s">
        <v>35</v>
      </c>
      <c r="I273">
        <v>1</v>
      </c>
      <c r="J273">
        <v>1556</v>
      </c>
      <c r="K273">
        <v>3</v>
      </c>
      <c r="L273" s="17" t="s">
        <v>43</v>
      </c>
      <c r="M273">
        <v>70</v>
      </c>
      <c r="N273">
        <v>3</v>
      </c>
      <c r="O273">
        <v>1</v>
      </c>
      <c r="P273" t="s">
        <v>54</v>
      </c>
      <c r="Q273">
        <v>4</v>
      </c>
      <c r="R273" t="s">
        <v>38</v>
      </c>
      <c r="S273" s="6">
        <v>2644</v>
      </c>
      <c r="T273">
        <v>17001</v>
      </c>
      <c r="U273">
        <v>3</v>
      </c>
      <c r="V273" t="s">
        <v>39</v>
      </c>
      <c r="W273" t="s">
        <v>32</v>
      </c>
      <c r="X273">
        <v>21</v>
      </c>
      <c r="Y273">
        <v>4</v>
      </c>
      <c r="Z273">
        <v>4</v>
      </c>
      <c r="AA273">
        <v>80</v>
      </c>
      <c r="AB273">
        <v>0</v>
      </c>
      <c r="AC273">
        <v>7</v>
      </c>
      <c r="AD273">
        <v>3</v>
      </c>
      <c r="AE273">
        <v>2</v>
      </c>
      <c r="AF273">
        <v>3</v>
      </c>
      <c r="AG273">
        <v>2</v>
      </c>
      <c r="AH273">
        <v>1</v>
      </c>
      <c r="AI273">
        <v>2</v>
      </c>
    </row>
    <row r="274" spans="1:35" x14ac:dyDescent="0.3">
      <c r="A274">
        <v>43</v>
      </c>
      <c r="B274" t="s">
        <v>40</v>
      </c>
      <c r="C274" t="s">
        <v>33</v>
      </c>
      <c r="D274">
        <v>1273</v>
      </c>
      <c r="E274" t="s">
        <v>42</v>
      </c>
      <c r="F274">
        <v>2</v>
      </c>
      <c r="G274">
        <v>2</v>
      </c>
      <c r="H274" t="s">
        <v>48</v>
      </c>
      <c r="I274">
        <v>1</v>
      </c>
      <c r="J274">
        <v>46</v>
      </c>
      <c r="K274">
        <v>4</v>
      </c>
      <c r="L274" s="17" t="s">
        <v>36</v>
      </c>
      <c r="M274">
        <v>72</v>
      </c>
      <c r="N274">
        <v>4</v>
      </c>
      <c r="O274">
        <v>1</v>
      </c>
      <c r="P274" t="s">
        <v>44</v>
      </c>
      <c r="Q274">
        <v>3</v>
      </c>
      <c r="R274" t="s">
        <v>49</v>
      </c>
      <c r="S274" s="6">
        <v>2645</v>
      </c>
      <c r="T274">
        <v>21923</v>
      </c>
      <c r="U274">
        <v>1</v>
      </c>
      <c r="V274" t="s">
        <v>39</v>
      </c>
      <c r="W274" t="s">
        <v>40</v>
      </c>
      <c r="X274">
        <v>12</v>
      </c>
      <c r="Y274">
        <v>3</v>
      </c>
      <c r="Z274">
        <v>4</v>
      </c>
      <c r="AA274">
        <v>80</v>
      </c>
      <c r="AB274">
        <v>2</v>
      </c>
      <c r="AC274">
        <v>6</v>
      </c>
      <c r="AD274">
        <v>3</v>
      </c>
      <c r="AE274">
        <v>2</v>
      </c>
      <c r="AF274">
        <v>5</v>
      </c>
      <c r="AG274">
        <v>3</v>
      </c>
      <c r="AH274">
        <v>1</v>
      </c>
      <c r="AI274">
        <v>4</v>
      </c>
    </row>
    <row r="275" spans="1:35" x14ac:dyDescent="0.3">
      <c r="A275">
        <v>23</v>
      </c>
      <c r="B275" t="s">
        <v>40</v>
      </c>
      <c r="C275" t="s">
        <v>33</v>
      </c>
      <c r="D275">
        <v>571</v>
      </c>
      <c r="E275" t="s">
        <v>42</v>
      </c>
      <c r="F275">
        <v>12</v>
      </c>
      <c r="G275">
        <v>2</v>
      </c>
      <c r="H275" t="s">
        <v>46</v>
      </c>
      <c r="I275">
        <v>1</v>
      </c>
      <c r="J275">
        <v>1982</v>
      </c>
      <c r="K275">
        <v>4</v>
      </c>
      <c r="L275" s="17" t="s">
        <v>43</v>
      </c>
      <c r="M275">
        <v>78</v>
      </c>
      <c r="N275">
        <v>3</v>
      </c>
      <c r="O275">
        <v>1</v>
      </c>
      <c r="P275" t="s">
        <v>47</v>
      </c>
      <c r="Q275">
        <v>4</v>
      </c>
      <c r="R275" t="s">
        <v>38</v>
      </c>
      <c r="S275" s="6">
        <v>2647</v>
      </c>
      <c r="T275">
        <v>13672</v>
      </c>
      <c r="U275">
        <v>1</v>
      </c>
      <c r="V275" t="s">
        <v>39</v>
      </c>
      <c r="W275" t="s">
        <v>40</v>
      </c>
      <c r="X275">
        <v>13</v>
      </c>
      <c r="Y275">
        <v>3</v>
      </c>
      <c r="Z275">
        <v>3</v>
      </c>
      <c r="AA275">
        <v>80</v>
      </c>
      <c r="AB275">
        <v>0</v>
      </c>
      <c r="AC275">
        <v>5</v>
      </c>
      <c r="AD275">
        <v>6</v>
      </c>
      <c r="AE275">
        <v>4</v>
      </c>
      <c r="AF275">
        <v>5</v>
      </c>
      <c r="AG275">
        <v>2</v>
      </c>
      <c r="AH275">
        <v>1</v>
      </c>
      <c r="AI275">
        <v>4</v>
      </c>
    </row>
    <row r="276" spans="1:35" x14ac:dyDescent="0.3">
      <c r="A276">
        <v>45</v>
      </c>
      <c r="B276" t="s">
        <v>40</v>
      </c>
      <c r="C276" t="s">
        <v>33</v>
      </c>
      <c r="D276">
        <v>192</v>
      </c>
      <c r="E276" t="s">
        <v>42</v>
      </c>
      <c r="F276">
        <v>10</v>
      </c>
      <c r="G276">
        <v>2</v>
      </c>
      <c r="H276" t="s">
        <v>35</v>
      </c>
      <c r="I276">
        <v>1</v>
      </c>
      <c r="J276">
        <v>544</v>
      </c>
      <c r="K276">
        <v>1</v>
      </c>
      <c r="L276" s="17" t="s">
        <v>43</v>
      </c>
      <c r="M276">
        <v>69</v>
      </c>
      <c r="N276">
        <v>3</v>
      </c>
      <c r="O276">
        <v>1</v>
      </c>
      <c r="P276" t="s">
        <v>44</v>
      </c>
      <c r="Q276">
        <v>4</v>
      </c>
      <c r="R276" t="s">
        <v>45</v>
      </c>
      <c r="S276" s="6">
        <v>2654</v>
      </c>
      <c r="T276">
        <v>9655</v>
      </c>
      <c r="U276">
        <v>3</v>
      </c>
      <c r="V276" t="s">
        <v>39</v>
      </c>
      <c r="W276" t="s">
        <v>40</v>
      </c>
      <c r="X276">
        <v>21</v>
      </c>
      <c r="Y276">
        <v>4</v>
      </c>
      <c r="Z276">
        <v>4</v>
      </c>
      <c r="AA276">
        <v>80</v>
      </c>
      <c r="AB276">
        <v>2</v>
      </c>
      <c r="AC276">
        <v>8</v>
      </c>
      <c r="AD276">
        <v>3</v>
      </c>
      <c r="AE276">
        <v>2</v>
      </c>
      <c r="AF276">
        <v>2</v>
      </c>
      <c r="AG276">
        <v>2</v>
      </c>
      <c r="AH276">
        <v>0</v>
      </c>
      <c r="AI276">
        <v>2</v>
      </c>
    </row>
    <row r="277" spans="1:35" x14ac:dyDescent="0.3">
      <c r="A277">
        <v>48</v>
      </c>
      <c r="B277" t="s">
        <v>32</v>
      </c>
      <c r="C277" t="s">
        <v>41</v>
      </c>
      <c r="D277">
        <v>708</v>
      </c>
      <c r="E277" t="s">
        <v>34</v>
      </c>
      <c r="F277">
        <v>7</v>
      </c>
      <c r="G277">
        <v>2</v>
      </c>
      <c r="H277" t="s">
        <v>48</v>
      </c>
      <c r="I277">
        <v>1</v>
      </c>
      <c r="J277">
        <v>1691</v>
      </c>
      <c r="K277">
        <v>4</v>
      </c>
      <c r="L277" s="17" t="s">
        <v>36</v>
      </c>
      <c r="M277">
        <v>95</v>
      </c>
      <c r="N277">
        <v>3</v>
      </c>
      <c r="O277">
        <v>1</v>
      </c>
      <c r="P277" t="s">
        <v>54</v>
      </c>
      <c r="Q277">
        <v>3</v>
      </c>
      <c r="R277" t="s">
        <v>45</v>
      </c>
      <c r="S277" s="6">
        <v>2655</v>
      </c>
      <c r="T277">
        <v>11740</v>
      </c>
      <c r="U277">
        <v>2</v>
      </c>
      <c r="V277" t="s">
        <v>39</v>
      </c>
      <c r="W277" t="s">
        <v>32</v>
      </c>
      <c r="X277">
        <v>11</v>
      </c>
      <c r="Y277">
        <v>3</v>
      </c>
      <c r="Z277">
        <v>3</v>
      </c>
      <c r="AA277">
        <v>80</v>
      </c>
      <c r="AB277">
        <v>2</v>
      </c>
      <c r="AC277">
        <v>19</v>
      </c>
      <c r="AD277">
        <v>3</v>
      </c>
      <c r="AE277">
        <v>3</v>
      </c>
      <c r="AF277">
        <v>9</v>
      </c>
      <c r="AG277">
        <v>7</v>
      </c>
      <c r="AH277">
        <v>7</v>
      </c>
      <c r="AI277">
        <v>7</v>
      </c>
    </row>
    <row r="278" spans="1:35" x14ac:dyDescent="0.3">
      <c r="A278">
        <v>30</v>
      </c>
      <c r="B278" t="s">
        <v>32</v>
      </c>
      <c r="C278" t="s">
        <v>33</v>
      </c>
      <c r="D278">
        <v>1005</v>
      </c>
      <c r="E278" t="s">
        <v>42</v>
      </c>
      <c r="F278">
        <v>3</v>
      </c>
      <c r="G278">
        <v>3</v>
      </c>
      <c r="H278" t="s">
        <v>57</v>
      </c>
      <c r="I278">
        <v>1</v>
      </c>
      <c r="J278">
        <v>297</v>
      </c>
      <c r="K278">
        <v>4</v>
      </c>
      <c r="L278" s="17" t="s">
        <v>36</v>
      </c>
      <c r="M278">
        <v>88</v>
      </c>
      <c r="N278">
        <v>3</v>
      </c>
      <c r="O278">
        <v>1</v>
      </c>
      <c r="P278" t="s">
        <v>44</v>
      </c>
      <c r="Q278">
        <v>1</v>
      </c>
      <c r="R278" t="s">
        <v>38</v>
      </c>
      <c r="S278" s="6">
        <v>2657</v>
      </c>
      <c r="T278">
        <v>8556</v>
      </c>
      <c r="U278">
        <v>5</v>
      </c>
      <c r="V278" t="s">
        <v>39</v>
      </c>
      <c r="W278" t="s">
        <v>32</v>
      </c>
      <c r="X278">
        <v>11</v>
      </c>
      <c r="Y278">
        <v>3</v>
      </c>
      <c r="Z278">
        <v>3</v>
      </c>
      <c r="AA278">
        <v>80</v>
      </c>
      <c r="AB278">
        <v>0</v>
      </c>
      <c r="AC278">
        <v>8</v>
      </c>
      <c r="AD278">
        <v>5</v>
      </c>
      <c r="AE278">
        <v>3</v>
      </c>
      <c r="AF278">
        <v>5</v>
      </c>
      <c r="AG278">
        <v>2</v>
      </c>
      <c r="AH278">
        <v>0</v>
      </c>
      <c r="AI278">
        <v>4</v>
      </c>
    </row>
    <row r="279" spans="1:35" x14ac:dyDescent="0.3">
      <c r="A279">
        <v>31</v>
      </c>
      <c r="B279" t="s">
        <v>40</v>
      </c>
      <c r="C279" t="s">
        <v>33</v>
      </c>
      <c r="D279">
        <v>408</v>
      </c>
      <c r="E279" t="s">
        <v>42</v>
      </c>
      <c r="F279">
        <v>9</v>
      </c>
      <c r="G279">
        <v>4</v>
      </c>
      <c r="H279" t="s">
        <v>35</v>
      </c>
      <c r="I279">
        <v>1</v>
      </c>
      <c r="J279">
        <v>493</v>
      </c>
      <c r="K279">
        <v>3</v>
      </c>
      <c r="L279" s="17" t="s">
        <v>43</v>
      </c>
      <c r="M279">
        <v>42</v>
      </c>
      <c r="N279">
        <v>2</v>
      </c>
      <c r="O279">
        <v>1</v>
      </c>
      <c r="P279" t="s">
        <v>44</v>
      </c>
      <c r="Q279">
        <v>2</v>
      </c>
      <c r="R279" t="s">
        <v>38</v>
      </c>
      <c r="S279" s="6">
        <v>2657</v>
      </c>
      <c r="T279">
        <v>7551</v>
      </c>
      <c r="U279">
        <v>0</v>
      </c>
      <c r="V279" t="s">
        <v>39</v>
      </c>
      <c r="W279" t="s">
        <v>32</v>
      </c>
      <c r="X279">
        <v>16</v>
      </c>
      <c r="Y279">
        <v>3</v>
      </c>
      <c r="Z279">
        <v>4</v>
      </c>
      <c r="AA279">
        <v>80</v>
      </c>
      <c r="AB279">
        <v>0</v>
      </c>
      <c r="AC279">
        <v>3</v>
      </c>
      <c r="AD279">
        <v>5</v>
      </c>
      <c r="AE279">
        <v>3</v>
      </c>
      <c r="AF279">
        <v>2</v>
      </c>
      <c r="AG279">
        <v>2</v>
      </c>
      <c r="AH279">
        <v>2</v>
      </c>
      <c r="AI279">
        <v>2</v>
      </c>
    </row>
    <row r="280" spans="1:35" x14ac:dyDescent="0.3">
      <c r="A280">
        <v>26</v>
      </c>
      <c r="B280" t="s">
        <v>40</v>
      </c>
      <c r="C280" t="s">
        <v>33</v>
      </c>
      <c r="D280">
        <v>991</v>
      </c>
      <c r="E280" t="s">
        <v>42</v>
      </c>
      <c r="F280">
        <v>6</v>
      </c>
      <c r="G280">
        <v>3</v>
      </c>
      <c r="H280" t="s">
        <v>35</v>
      </c>
      <c r="I280">
        <v>1</v>
      </c>
      <c r="J280">
        <v>686</v>
      </c>
      <c r="K280">
        <v>3</v>
      </c>
      <c r="L280" s="17" t="s">
        <v>36</v>
      </c>
      <c r="M280">
        <v>71</v>
      </c>
      <c r="N280">
        <v>3</v>
      </c>
      <c r="O280">
        <v>1</v>
      </c>
      <c r="P280" t="s">
        <v>47</v>
      </c>
      <c r="Q280">
        <v>4</v>
      </c>
      <c r="R280" t="s">
        <v>45</v>
      </c>
      <c r="S280" s="6">
        <v>2659</v>
      </c>
      <c r="T280">
        <v>17759</v>
      </c>
      <c r="U280">
        <v>1</v>
      </c>
      <c r="V280" t="s">
        <v>39</v>
      </c>
      <c r="W280" t="s">
        <v>32</v>
      </c>
      <c r="X280">
        <v>13</v>
      </c>
      <c r="Y280">
        <v>3</v>
      </c>
      <c r="Z280">
        <v>3</v>
      </c>
      <c r="AA280">
        <v>80</v>
      </c>
      <c r="AB280">
        <v>1</v>
      </c>
      <c r="AC280">
        <v>3</v>
      </c>
      <c r="AD280">
        <v>2</v>
      </c>
      <c r="AE280">
        <v>3</v>
      </c>
      <c r="AF280">
        <v>3</v>
      </c>
      <c r="AG280">
        <v>2</v>
      </c>
      <c r="AH280">
        <v>0</v>
      </c>
      <c r="AI280">
        <v>2</v>
      </c>
    </row>
    <row r="281" spans="1:35" x14ac:dyDescent="0.3">
      <c r="A281">
        <v>35</v>
      </c>
      <c r="B281" t="s">
        <v>40</v>
      </c>
      <c r="C281" t="s">
        <v>33</v>
      </c>
      <c r="D281">
        <v>1490</v>
      </c>
      <c r="E281" t="s">
        <v>42</v>
      </c>
      <c r="F281">
        <v>11</v>
      </c>
      <c r="G281">
        <v>4</v>
      </c>
      <c r="H281" t="s">
        <v>48</v>
      </c>
      <c r="I281">
        <v>1</v>
      </c>
      <c r="J281">
        <v>2003</v>
      </c>
      <c r="K281">
        <v>4</v>
      </c>
      <c r="L281" s="17" t="s">
        <v>43</v>
      </c>
      <c r="M281">
        <v>43</v>
      </c>
      <c r="N281">
        <v>3</v>
      </c>
      <c r="O281">
        <v>1</v>
      </c>
      <c r="P281" t="s">
        <v>47</v>
      </c>
      <c r="Q281">
        <v>3</v>
      </c>
      <c r="R281" t="s">
        <v>45</v>
      </c>
      <c r="S281" s="6">
        <v>2660</v>
      </c>
      <c r="T281">
        <v>20232</v>
      </c>
      <c r="U281">
        <v>7</v>
      </c>
      <c r="V281" t="s">
        <v>39</v>
      </c>
      <c r="W281" t="s">
        <v>32</v>
      </c>
      <c r="X281">
        <v>11</v>
      </c>
      <c r="Y281">
        <v>3</v>
      </c>
      <c r="Z281">
        <v>3</v>
      </c>
      <c r="AA281">
        <v>80</v>
      </c>
      <c r="AB281">
        <v>1</v>
      </c>
      <c r="AC281">
        <v>5</v>
      </c>
      <c r="AD281">
        <v>3</v>
      </c>
      <c r="AE281">
        <v>3</v>
      </c>
      <c r="AF281">
        <v>2</v>
      </c>
      <c r="AG281">
        <v>2</v>
      </c>
      <c r="AH281">
        <v>2</v>
      </c>
      <c r="AI281">
        <v>2</v>
      </c>
    </row>
    <row r="282" spans="1:35" x14ac:dyDescent="0.3">
      <c r="A282">
        <v>34</v>
      </c>
      <c r="B282" t="s">
        <v>40</v>
      </c>
      <c r="C282" t="s">
        <v>33</v>
      </c>
      <c r="D282">
        <v>1346</v>
      </c>
      <c r="E282" t="s">
        <v>42</v>
      </c>
      <c r="F282">
        <v>19</v>
      </c>
      <c r="G282">
        <v>2</v>
      </c>
      <c r="H282" t="s">
        <v>48</v>
      </c>
      <c r="I282">
        <v>1</v>
      </c>
      <c r="J282">
        <v>18</v>
      </c>
      <c r="K282">
        <v>2</v>
      </c>
      <c r="L282" s="17" t="s">
        <v>43</v>
      </c>
      <c r="M282">
        <v>93</v>
      </c>
      <c r="N282">
        <v>3</v>
      </c>
      <c r="O282">
        <v>1</v>
      </c>
      <c r="P282" t="s">
        <v>47</v>
      </c>
      <c r="Q282">
        <v>4</v>
      </c>
      <c r="R282" t="s">
        <v>49</v>
      </c>
      <c r="S282" s="6">
        <v>2661</v>
      </c>
      <c r="T282">
        <v>8758</v>
      </c>
      <c r="U282">
        <v>0</v>
      </c>
      <c r="V282" t="s">
        <v>39</v>
      </c>
      <c r="W282" t="s">
        <v>40</v>
      </c>
      <c r="X282">
        <v>11</v>
      </c>
      <c r="Y282">
        <v>3</v>
      </c>
      <c r="Z282">
        <v>3</v>
      </c>
      <c r="AA282">
        <v>80</v>
      </c>
      <c r="AB282">
        <v>1</v>
      </c>
      <c r="AC282">
        <v>3</v>
      </c>
      <c r="AD282">
        <v>2</v>
      </c>
      <c r="AE282">
        <v>3</v>
      </c>
      <c r="AF282">
        <v>2</v>
      </c>
      <c r="AG282">
        <v>2</v>
      </c>
      <c r="AH282">
        <v>1</v>
      </c>
      <c r="AI282">
        <v>2</v>
      </c>
    </row>
    <row r="283" spans="1:35" x14ac:dyDescent="0.3">
      <c r="A283">
        <v>55</v>
      </c>
      <c r="B283" t="s">
        <v>40</v>
      </c>
      <c r="C283" t="s">
        <v>33</v>
      </c>
      <c r="D283">
        <v>836</v>
      </c>
      <c r="E283" t="s">
        <v>42</v>
      </c>
      <c r="F283">
        <v>2</v>
      </c>
      <c r="G283">
        <v>4</v>
      </c>
      <c r="H283" t="s">
        <v>57</v>
      </c>
      <c r="I283">
        <v>1</v>
      </c>
      <c r="J283">
        <v>1873</v>
      </c>
      <c r="K283">
        <v>2</v>
      </c>
      <c r="L283" s="17" t="s">
        <v>43</v>
      </c>
      <c r="M283">
        <v>98</v>
      </c>
      <c r="N283">
        <v>2</v>
      </c>
      <c r="O283">
        <v>1</v>
      </c>
      <c r="P283" t="s">
        <v>44</v>
      </c>
      <c r="Q283">
        <v>4</v>
      </c>
      <c r="R283" t="s">
        <v>45</v>
      </c>
      <c r="S283" s="6">
        <v>2662</v>
      </c>
      <c r="T283">
        <v>7975</v>
      </c>
      <c r="U283">
        <v>8</v>
      </c>
      <c r="V283" t="s">
        <v>39</v>
      </c>
      <c r="W283" t="s">
        <v>40</v>
      </c>
      <c r="X283">
        <v>20</v>
      </c>
      <c r="Y283">
        <v>4</v>
      </c>
      <c r="Z283">
        <v>2</v>
      </c>
      <c r="AA283">
        <v>80</v>
      </c>
      <c r="AB283">
        <v>1</v>
      </c>
      <c r="AC283">
        <v>19</v>
      </c>
      <c r="AD283">
        <v>2</v>
      </c>
      <c r="AE283">
        <v>4</v>
      </c>
      <c r="AF283">
        <v>5</v>
      </c>
      <c r="AG283">
        <v>2</v>
      </c>
      <c r="AH283">
        <v>0</v>
      </c>
      <c r="AI283">
        <v>4</v>
      </c>
    </row>
    <row r="284" spans="1:35" x14ac:dyDescent="0.3">
      <c r="A284">
        <v>59</v>
      </c>
      <c r="B284" t="s">
        <v>40</v>
      </c>
      <c r="C284" t="s">
        <v>33</v>
      </c>
      <c r="D284">
        <v>1324</v>
      </c>
      <c r="E284" t="s">
        <v>42</v>
      </c>
      <c r="F284">
        <v>3</v>
      </c>
      <c r="G284">
        <v>3</v>
      </c>
      <c r="H284" t="s">
        <v>48</v>
      </c>
      <c r="I284">
        <v>1</v>
      </c>
      <c r="J284">
        <v>10</v>
      </c>
      <c r="K284">
        <v>3</v>
      </c>
      <c r="L284" s="17" t="s">
        <v>36</v>
      </c>
      <c r="M284">
        <v>81</v>
      </c>
      <c r="N284">
        <v>4</v>
      </c>
      <c r="O284">
        <v>1</v>
      </c>
      <c r="P284" t="s">
        <v>47</v>
      </c>
      <c r="Q284">
        <v>1</v>
      </c>
      <c r="R284" t="s">
        <v>45</v>
      </c>
      <c r="S284" s="6">
        <v>2670</v>
      </c>
      <c r="T284">
        <v>9964</v>
      </c>
      <c r="U284">
        <v>4</v>
      </c>
      <c r="V284" t="s">
        <v>39</v>
      </c>
      <c r="W284" t="s">
        <v>32</v>
      </c>
      <c r="X284">
        <v>20</v>
      </c>
      <c r="Y284">
        <v>4</v>
      </c>
      <c r="Z284">
        <v>1</v>
      </c>
      <c r="AA284">
        <v>80</v>
      </c>
      <c r="AB284">
        <v>3</v>
      </c>
      <c r="AC284">
        <v>12</v>
      </c>
      <c r="AD284">
        <v>3</v>
      </c>
      <c r="AE284">
        <v>2</v>
      </c>
      <c r="AF284">
        <v>1</v>
      </c>
      <c r="AG284">
        <v>0</v>
      </c>
      <c r="AH284">
        <v>0</v>
      </c>
      <c r="AI284">
        <v>0</v>
      </c>
    </row>
    <row r="285" spans="1:35" x14ac:dyDescent="0.3">
      <c r="A285">
        <v>20</v>
      </c>
      <c r="B285" t="s">
        <v>40</v>
      </c>
      <c r="C285" t="s">
        <v>33</v>
      </c>
      <c r="D285">
        <v>654</v>
      </c>
      <c r="E285" t="s">
        <v>34</v>
      </c>
      <c r="F285">
        <v>21</v>
      </c>
      <c r="G285">
        <v>3</v>
      </c>
      <c r="H285" t="s">
        <v>56</v>
      </c>
      <c r="I285">
        <v>1</v>
      </c>
      <c r="J285">
        <v>1226</v>
      </c>
      <c r="K285">
        <v>3</v>
      </c>
      <c r="L285" s="17" t="s">
        <v>43</v>
      </c>
      <c r="M285">
        <v>43</v>
      </c>
      <c r="N285">
        <v>4</v>
      </c>
      <c r="O285">
        <v>1</v>
      </c>
      <c r="P285" t="s">
        <v>54</v>
      </c>
      <c r="Q285">
        <v>4</v>
      </c>
      <c r="R285" t="s">
        <v>38</v>
      </c>
      <c r="S285" s="6">
        <v>2678</v>
      </c>
      <c r="T285">
        <v>5050</v>
      </c>
      <c r="U285">
        <v>1</v>
      </c>
      <c r="V285" t="s">
        <v>39</v>
      </c>
      <c r="W285" t="s">
        <v>40</v>
      </c>
      <c r="X285">
        <v>17</v>
      </c>
      <c r="Y285">
        <v>3</v>
      </c>
      <c r="Z285">
        <v>4</v>
      </c>
      <c r="AA285">
        <v>80</v>
      </c>
      <c r="AB285">
        <v>0</v>
      </c>
      <c r="AC285">
        <v>2</v>
      </c>
      <c r="AD285">
        <v>2</v>
      </c>
      <c r="AE285">
        <v>3</v>
      </c>
      <c r="AF285">
        <v>2</v>
      </c>
      <c r="AG285">
        <v>1</v>
      </c>
      <c r="AH285">
        <v>2</v>
      </c>
      <c r="AI285">
        <v>2</v>
      </c>
    </row>
    <row r="286" spans="1:35" x14ac:dyDescent="0.3">
      <c r="A286">
        <v>21</v>
      </c>
      <c r="B286" t="s">
        <v>32</v>
      </c>
      <c r="C286" t="s">
        <v>33</v>
      </c>
      <c r="D286">
        <v>337</v>
      </c>
      <c r="E286" t="s">
        <v>34</v>
      </c>
      <c r="F286">
        <v>7</v>
      </c>
      <c r="G286">
        <v>1</v>
      </c>
      <c r="H286" t="s">
        <v>56</v>
      </c>
      <c r="I286">
        <v>1</v>
      </c>
      <c r="J286">
        <v>1780</v>
      </c>
      <c r="K286">
        <v>2</v>
      </c>
      <c r="L286" s="17" t="s">
        <v>43</v>
      </c>
      <c r="M286">
        <v>31</v>
      </c>
      <c r="N286">
        <v>3</v>
      </c>
      <c r="O286">
        <v>1</v>
      </c>
      <c r="P286" t="s">
        <v>54</v>
      </c>
      <c r="Q286">
        <v>2</v>
      </c>
      <c r="R286" t="s">
        <v>38</v>
      </c>
      <c r="S286" s="6">
        <v>2679</v>
      </c>
      <c r="T286">
        <v>4567</v>
      </c>
      <c r="U286">
        <v>1</v>
      </c>
      <c r="V286" t="s">
        <v>39</v>
      </c>
      <c r="W286" t="s">
        <v>40</v>
      </c>
      <c r="X286">
        <v>13</v>
      </c>
      <c r="Y286">
        <v>3</v>
      </c>
      <c r="Z286">
        <v>2</v>
      </c>
      <c r="AA286">
        <v>80</v>
      </c>
      <c r="AB286">
        <v>0</v>
      </c>
      <c r="AC286">
        <v>1</v>
      </c>
      <c r="AD286">
        <v>3</v>
      </c>
      <c r="AE286">
        <v>3</v>
      </c>
      <c r="AF286">
        <v>1</v>
      </c>
      <c r="AG286">
        <v>0</v>
      </c>
      <c r="AH286">
        <v>1</v>
      </c>
      <c r="AI286">
        <v>0</v>
      </c>
    </row>
    <row r="287" spans="1:35" x14ac:dyDescent="0.3">
      <c r="A287">
        <v>50</v>
      </c>
      <c r="B287" t="s">
        <v>32</v>
      </c>
      <c r="C287" t="s">
        <v>33</v>
      </c>
      <c r="D287">
        <v>869</v>
      </c>
      <c r="E287" t="s">
        <v>34</v>
      </c>
      <c r="F287">
        <v>3</v>
      </c>
      <c r="G287">
        <v>2</v>
      </c>
      <c r="H287" t="s">
        <v>56</v>
      </c>
      <c r="I287">
        <v>1</v>
      </c>
      <c r="J287">
        <v>47</v>
      </c>
      <c r="K287">
        <v>1</v>
      </c>
      <c r="L287" s="17" t="s">
        <v>43</v>
      </c>
      <c r="M287">
        <v>86</v>
      </c>
      <c r="N287">
        <v>2</v>
      </c>
      <c r="O287">
        <v>1</v>
      </c>
      <c r="P287" t="s">
        <v>54</v>
      </c>
      <c r="Q287">
        <v>3</v>
      </c>
      <c r="R287" t="s">
        <v>45</v>
      </c>
      <c r="S287" s="6">
        <v>2683</v>
      </c>
      <c r="T287">
        <v>3810</v>
      </c>
      <c r="U287">
        <v>1</v>
      </c>
      <c r="V287" t="s">
        <v>39</v>
      </c>
      <c r="W287" t="s">
        <v>32</v>
      </c>
      <c r="X287">
        <v>14</v>
      </c>
      <c r="Y287">
        <v>3</v>
      </c>
      <c r="Z287">
        <v>3</v>
      </c>
      <c r="AA287">
        <v>80</v>
      </c>
      <c r="AB287">
        <v>0</v>
      </c>
      <c r="AC287">
        <v>3</v>
      </c>
      <c r="AD287">
        <v>2</v>
      </c>
      <c r="AE287">
        <v>3</v>
      </c>
      <c r="AF287">
        <v>3</v>
      </c>
      <c r="AG287">
        <v>2</v>
      </c>
      <c r="AH287">
        <v>0</v>
      </c>
      <c r="AI287">
        <v>2</v>
      </c>
    </row>
    <row r="288" spans="1:35" x14ac:dyDescent="0.3">
      <c r="A288">
        <v>38</v>
      </c>
      <c r="B288" t="s">
        <v>40</v>
      </c>
      <c r="C288" t="s">
        <v>41</v>
      </c>
      <c r="D288">
        <v>1391</v>
      </c>
      <c r="E288" t="s">
        <v>42</v>
      </c>
      <c r="F288">
        <v>10</v>
      </c>
      <c r="G288">
        <v>1</v>
      </c>
      <c r="H288" t="s">
        <v>48</v>
      </c>
      <c r="I288">
        <v>1</v>
      </c>
      <c r="J288">
        <v>1006</v>
      </c>
      <c r="K288">
        <v>3</v>
      </c>
      <c r="L288" s="17" t="s">
        <v>43</v>
      </c>
      <c r="M288">
        <v>66</v>
      </c>
      <c r="N288">
        <v>3</v>
      </c>
      <c r="O288">
        <v>1</v>
      </c>
      <c r="P288" t="s">
        <v>44</v>
      </c>
      <c r="Q288">
        <v>3</v>
      </c>
      <c r="R288" t="s">
        <v>45</v>
      </c>
      <c r="S288" s="6">
        <v>2684</v>
      </c>
      <c r="T288">
        <v>12127</v>
      </c>
      <c r="U288">
        <v>0</v>
      </c>
      <c r="V288" t="s">
        <v>39</v>
      </c>
      <c r="W288" t="s">
        <v>40</v>
      </c>
      <c r="X288">
        <v>17</v>
      </c>
      <c r="Y288">
        <v>3</v>
      </c>
      <c r="Z288">
        <v>2</v>
      </c>
      <c r="AA288">
        <v>80</v>
      </c>
      <c r="AB288">
        <v>1</v>
      </c>
      <c r="AC288">
        <v>3</v>
      </c>
      <c r="AD288">
        <v>0</v>
      </c>
      <c r="AE288">
        <v>2</v>
      </c>
      <c r="AF288">
        <v>2</v>
      </c>
      <c r="AG288">
        <v>1</v>
      </c>
      <c r="AH288">
        <v>0</v>
      </c>
      <c r="AI288">
        <v>2</v>
      </c>
    </row>
    <row r="289" spans="1:35" x14ac:dyDescent="0.3">
      <c r="A289">
        <v>33</v>
      </c>
      <c r="B289" t="s">
        <v>32</v>
      </c>
      <c r="C289" t="s">
        <v>33</v>
      </c>
      <c r="D289">
        <v>527</v>
      </c>
      <c r="E289" t="s">
        <v>42</v>
      </c>
      <c r="F289">
        <v>1</v>
      </c>
      <c r="G289">
        <v>4</v>
      </c>
      <c r="H289" t="s">
        <v>46</v>
      </c>
      <c r="I289">
        <v>1</v>
      </c>
      <c r="J289">
        <v>780</v>
      </c>
      <c r="K289">
        <v>4</v>
      </c>
      <c r="L289" s="17" t="s">
        <v>43</v>
      </c>
      <c r="M289">
        <v>63</v>
      </c>
      <c r="N289">
        <v>3</v>
      </c>
      <c r="O289">
        <v>1</v>
      </c>
      <c r="P289" t="s">
        <v>44</v>
      </c>
      <c r="Q289">
        <v>4</v>
      </c>
      <c r="R289" t="s">
        <v>38</v>
      </c>
      <c r="S289" s="6">
        <v>2686</v>
      </c>
      <c r="T289">
        <v>5207</v>
      </c>
      <c r="U289">
        <v>1</v>
      </c>
      <c r="V289" t="s">
        <v>39</v>
      </c>
      <c r="W289" t="s">
        <v>32</v>
      </c>
      <c r="X289">
        <v>13</v>
      </c>
      <c r="Y289">
        <v>3</v>
      </c>
      <c r="Z289">
        <v>3</v>
      </c>
      <c r="AA289">
        <v>80</v>
      </c>
      <c r="AB289">
        <v>0</v>
      </c>
      <c r="AC289">
        <v>10</v>
      </c>
      <c r="AD289">
        <v>2</v>
      </c>
      <c r="AE289">
        <v>2</v>
      </c>
      <c r="AF289">
        <v>10</v>
      </c>
      <c r="AG289">
        <v>9</v>
      </c>
      <c r="AH289">
        <v>7</v>
      </c>
      <c r="AI289">
        <v>8</v>
      </c>
    </row>
    <row r="290" spans="1:35" x14ac:dyDescent="0.3">
      <c r="A290">
        <v>35</v>
      </c>
      <c r="B290" t="s">
        <v>40</v>
      </c>
      <c r="C290" t="s">
        <v>33</v>
      </c>
      <c r="D290">
        <v>1349</v>
      </c>
      <c r="E290" t="s">
        <v>42</v>
      </c>
      <c r="F290">
        <v>7</v>
      </c>
      <c r="G290">
        <v>2</v>
      </c>
      <c r="H290" t="s">
        <v>35</v>
      </c>
      <c r="I290">
        <v>1</v>
      </c>
      <c r="J290">
        <v>1601</v>
      </c>
      <c r="K290">
        <v>3</v>
      </c>
      <c r="L290" s="17" t="s">
        <v>43</v>
      </c>
      <c r="M290">
        <v>63</v>
      </c>
      <c r="N290">
        <v>2</v>
      </c>
      <c r="O290">
        <v>1</v>
      </c>
      <c r="P290" t="s">
        <v>47</v>
      </c>
      <c r="Q290">
        <v>4</v>
      </c>
      <c r="R290" t="s">
        <v>45</v>
      </c>
      <c r="S290" s="6">
        <v>2690</v>
      </c>
      <c r="T290">
        <v>7713</v>
      </c>
      <c r="U290">
        <v>1</v>
      </c>
      <c r="V290" t="s">
        <v>39</v>
      </c>
      <c r="W290" t="s">
        <v>40</v>
      </c>
      <c r="X290">
        <v>18</v>
      </c>
      <c r="Y290">
        <v>3</v>
      </c>
      <c r="Z290">
        <v>4</v>
      </c>
      <c r="AA290">
        <v>80</v>
      </c>
      <c r="AB290">
        <v>1</v>
      </c>
      <c r="AC290">
        <v>1</v>
      </c>
      <c r="AD290">
        <v>5</v>
      </c>
      <c r="AE290">
        <v>2</v>
      </c>
      <c r="AF290">
        <v>1</v>
      </c>
      <c r="AG290">
        <v>0</v>
      </c>
      <c r="AH290">
        <v>0</v>
      </c>
      <c r="AI290">
        <v>1</v>
      </c>
    </row>
    <row r="291" spans="1:35" x14ac:dyDescent="0.3">
      <c r="A291">
        <v>34</v>
      </c>
      <c r="B291" t="s">
        <v>40</v>
      </c>
      <c r="C291" t="s">
        <v>33</v>
      </c>
      <c r="D291">
        <v>1397</v>
      </c>
      <c r="E291" t="s">
        <v>42</v>
      </c>
      <c r="F291">
        <v>1</v>
      </c>
      <c r="G291">
        <v>5</v>
      </c>
      <c r="H291" t="s">
        <v>35</v>
      </c>
      <c r="I291">
        <v>1</v>
      </c>
      <c r="J291">
        <v>683</v>
      </c>
      <c r="K291">
        <v>2</v>
      </c>
      <c r="L291" s="17" t="s">
        <v>43</v>
      </c>
      <c r="M291">
        <v>42</v>
      </c>
      <c r="N291">
        <v>3</v>
      </c>
      <c r="O291">
        <v>1</v>
      </c>
      <c r="P291" t="s">
        <v>44</v>
      </c>
      <c r="Q291">
        <v>4</v>
      </c>
      <c r="R291" t="s">
        <v>45</v>
      </c>
      <c r="S291" s="6">
        <v>2691</v>
      </c>
      <c r="T291">
        <v>7660</v>
      </c>
      <c r="U291">
        <v>1</v>
      </c>
      <c r="V291" t="s">
        <v>39</v>
      </c>
      <c r="W291" t="s">
        <v>40</v>
      </c>
      <c r="X291">
        <v>12</v>
      </c>
      <c r="Y291">
        <v>3</v>
      </c>
      <c r="Z291">
        <v>4</v>
      </c>
      <c r="AA291">
        <v>80</v>
      </c>
      <c r="AB291">
        <v>1</v>
      </c>
      <c r="AC291">
        <v>10</v>
      </c>
      <c r="AD291">
        <v>4</v>
      </c>
      <c r="AE291">
        <v>2</v>
      </c>
      <c r="AF291">
        <v>10</v>
      </c>
      <c r="AG291">
        <v>9</v>
      </c>
      <c r="AH291">
        <v>8</v>
      </c>
      <c r="AI291">
        <v>8</v>
      </c>
    </row>
    <row r="292" spans="1:35" x14ac:dyDescent="0.3">
      <c r="A292">
        <v>30</v>
      </c>
      <c r="B292" t="s">
        <v>40</v>
      </c>
      <c r="C292" t="s">
        <v>33</v>
      </c>
      <c r="D292">
        <v>1358</v>
      </c>
      <c r="E292" t="s">
        <v>42</v>
      </c>
      <c r="F292">
        <v>24</v>
      </c>
      <c r="G292">
        <v>1</v>
      </c>
      <c r="H292" t="s">
        <v>35</v>
      </c>
      <c r="I292">
        <v>1</v>
      </c>
      <c r="J292">
        <v>11</v>
      </c>
      <c r="K292">
        <v>4</v>
      </c>
      <c r="L292" s="17" t="s">
        <v>43</v>
      </c>
      <c r="M292">
        <v>67</v>
      </c>
      <c r="N292">
        <v>3</v>
      </c>
      <c r="O292">
        <v>1</v>
      </c>
      <c r="P292" t="s">
        <v>47</v>
      </c>
      <c r="Q292">
        <v>3</v>
      </c>
      <c r="R292" t="s">
        <v>49</v>
      </c>
      <c r="S292" s="6">
        <v>2693</v>
      </c>
      <c r="T292">
        <v>13335</v>
      </c>
      <c r="U292">
        <v>1</v>
      </c>
      <c r="V292" t="s">
        <v>39</v>
      </c>
      <c r="W292" t="s">
        <v>40</v>
      </c>
      <c r="X292">
        <v>22</v>
      </c>
      <c r="Y292">
        <v>4</v>
      </c>
      <c r="Z292">
        <v>2</v>
      </c>
      <c r="AA292">
        <v>80</v>
      </c>
      <c r="AB292">
        <v>1</v>
      </c>
      <c r="AC292">
        <v>1</v>
      </c>
      <c r="AD292">
        <v>2</v>
      </c>
      <c r="AE292">
        <v>3</v>
      </c>
      <c r="AF292">
        <v>1</v>
      </c>
      <c r="AG292">
        <v>0</v>
      </c>
      <c r="AH292">
        <v>0</v>
      </c>
      <c r="AI292">
        <v>0</v>
      </c>
    </row>
    <row r="293" spans="1:35" x14ac:dyDescent="0.3">
      <c r="A293">
        <v>21</v>
      </c>
      <c r="B293" t="s">
        <v>32</v>
      </c>
      <c r="C293" t="s">
        <v>33</v>
      </c>
      <c r="D293">
        <v>1427</v>
      </c>
      <c r="E293" t="s">
        <v>42</v>
      </c>
      <c r="F293">
        <v>18</v>
      </c>
      <c r="G293">
        <v>1</v>
      </c>
      <c r="H293" t="s">
        <v>46</v>
      </c>
      <c r="I293">
        <v>1</v>
      </c>
      <c r="J293">
        <v>923</v>
      </c>
      <c r="K293">
        <v>4</v>
      </c>
      <c r="L293" s="17" t="s">
        <v>36</v>
      </c>
      <c r="M293">
        <v>65</v>
      </c>
      <c r="N293">
        <v>3</v>
      </c>
      <c r="O293">
        <v>1</v>
      </c>
      <c r="P293" t="s">
        <v>44</v>
      </c>
      <c r="Q293">
        <v>4</v>
      </c>
      <c r="R293" t="s">
        <v>38</v>
      </c>
      <c r="S293" s="6">
        <v>2693</v>
      </c>
      <c r="T293">
        <v>8870</v>
      </c>
      <c r="U293">
        <v>1</v>
      </c>
      <c r="V293" t="s">
        <v>39</v>
      </c>
      <c r="W293" t="s">
        <v>40</v>
      </c>
      <c r="X293">
        <v>19</v>
      </c>
      <c r="Y293">
        <v>3</v>
      </c>
      <c r="Z293">
        <v>1</v>
      </c>
      <c r="AA293">
        <v>80</v>
      </c>
      <c r="AB293">
        <v>0</v>
      </c>
      <c r="AC293">
        <v>1</v>
      </c>
      <c r="AD293">
        <v>3</v>
      </c>
      <c r="AE293">
        <v>2</v>
      </c>
      <c r="AF293">
        <v>1</v>
      </c>
      <c r="AG293">
        <v>0</v>
      </c>
      <c r="AH293">
        <v>0</v>
      </c>
      <c r="AI293">
        <v>0</v>
      </c>
    </row>
    <row r="294" spans="1:35" x14ac:dyDescent="0.3">
      <c r="A294">
        <v>24</v>
      </c>
      <c r="B294" t="s">
        <v>40</v>
      </c>
      <c r="C294" t="s">
        <v>52</v>
      </c>
      <c r="D294">
        <v>1092</v>
      </c>
      <c r="E294" t="s">
        <v>42</v>
      </c>
      <c r="F294">
        <v>9</v>
      </c>
      <c r="G294">
        <v>3</v>
      </c>
      <c r="H294" t="s">
        <v>35</v>
      </c>
      <c r="I294">
        <v>1</v>
      </c>
      <c r="J294">
        <v>812</v>
      </c>
      <c r="K294">
        <v>3</v>
      </c>
      <c r="L294" s="17" t="s">
        <v>43</v>
      </c>
      <c r="M294">
        <v>60</v>
      </c>
      <c r="N294">
        <v>2</v>
      </c>
      <c r="O294">
        <v>1</v>
      </c>
      <c r="P294" t="s">
        <v>47</v>
      </c>
      <c r="Q294">
        <v>2</v>
      </c>
      <c r="R294" t="s">
        <v>49</v>
      </c>
      <c r="S294" s="6">
        <v>2694</v>
      </c>
      <c r="T294">
        <v>26551</v>
      </c>
      <c r="U294">
        <v>1</v>
      </c>
      <c r="V294" t="s">
        <v>39</v>
      </c>
      <c r="W294" t="s">
        <v>40</v>
      </c>
      <c r="X294">
        <v>11</v>
      </c>
      <c r="Y294">
        <v>3</v>
      </c>
      <c r="Z294">
        <v>3</v>
      </c>
      <c r="AA294">
        <v>80</v>
      </c>
      <c r="AB294">
        <v>3</v>
      </c>
      <c r="AC294">
        <v>1</v>
      </c>
      <c r="AD294">
        <v>4</v>
      </c>
      <c r="AE294">
        <v>3</v>
      </c>
      <c r="AF294">
        <v>1</v>
      </c>
      <c r="AG294">
        <v>0</v>
      </c>
      <c r="AH294">
        <v>0</v>
      </c>
      <c r="AI294">
        <v>0</v>
      </c>
    </row>
    <row r="295" spans="1:35" x14ac:dyDescent="0.3">
      <c r="A295">
        <v>31</v>
      </c>
      <c r="B295" t="s">
        <v>40</v>
      </c>
      <c r="C295" t="s">
        <v>33</v>
      </c>
      <c r="D295">
        <v>192</v>
      </c>
      <c r="E295" t="s">
        <v>42</v>
      </c>
      <c r="F295">
        <v>2</v>
      </c>
      <c r="G295">
        <v>4</v>
      </c>
      <c r="H295" t="s">
        <v>35</v>
      </c>
      <c r="I295">
        <v>1</v>
      </c>
      <c r="J295">
        <v>426</v>
      </c>
      <c r="K295">
        <v>3</v>
      </c>
      <c r="L295" s="17" t="s">
        <v>43</v>
      </c>
      <c r="M295">
        <v>32</v>
      </c>
      <c r="N295">
        <v>3</v>
      </c>
      <c r="O295">
        <v>1</v>
      </c>
      <c r="P295" t="s">
        <v>44</v>
      </c>
      <c r="Q295">
        <v>4</v>
      </c>
      <c r="R295" t="s">
        <v>49</v>
      </c>
      <c r="S295" s="6">
        <v>2695</v>
      </c>
      <c r="T295">
        <v>7747</v>
      </c>
      <c r="U295">
        <v>0</v>
      </c>
      <c r="V295" t="s">
        <v>39</v>
      </c>
      <c r="W295" t="s">
        <v>32</v>
      </c>
      <c r="X295">
        <v>18</v>
      </c>
      <c r="Y295">
        <v>3</v>
      </c>
      <c r="Z295">
        <v>2</v>
      </c>
      <c r="AA295">
        <v>80</v>
      </c>
      <c r="AB295">
        <v>1</v>
      </c>
      <c r="AC295">
        <v>3</v>
      </c>
      <c r="AD295">
        <v>2</v>
      </c>
      <c r="AE295">
        <v>1</v>
      </c>
      <c r="AF295">
        <v>2</v>
      </c>
      <c r="AG295">
        <v>2</v>
      </c>
      <c r="AH295">
        <v>2</v>
      </c>
      <c r="AI295">
        <v>2</v>
      </c>
    </row>
    <row r="296" spans="1:35" x14ac:dyDescent="0.3">
      <c r="A296">
        <v>42</v>
      </c>
      <c r="B296" t="s">
        <v>40</v>
      </c>
      <c r="C296" t="s">
        <v>33</v>
      </c>
      <c r="D296">
        <v>544</v>
      </c>
      <c r="E296" t="s">
        <v>58</v>
      </c>
      <c r="F296">
        <v>2</v>
      </c>
      <c r="G296">
        <v>1</v>
      </c>
      <c r="H296" t="s">
        <v>57</v>
      </c>
      <c r="I296">
        <v>1</v>
      </c>
      <c r="J296">
        <v>470</v>
      </c>
      <c r="K296">
        <v>3</v>
      </c>
      <c r="L296" s="17" t="s">
        <v>43</v>
      </c>
      <c r="M296">
        <v>52</v>
      </c>
      <c r="N296">
        <v>3</v>
      </c>
      <c r="O296">
        <v>1</v>
      </c>
      <c r="P296" t="s">
        <v>58</v>
      </c>
      <c r="Q296">
        <v>3</v>
      </c>
      <c r="R296" t="s">
        <v>49</v>
      </c>
      <c r="S296" s="6">
        <v>2696</v>
      </c>
      <c r="T296">
        <v>24017</v>
      </c>
      <c r="U296">
        <v>0</v>
      </c>
      <c r="V296" t="s">
        <v>39</v>
      </c>
      <c r="W296" t="s">
        <v>32</v>
      </c>
      <c r="X296">
        <v>11</v>
      </c>
      <c r="Y296">
        <v>3</v>
      </c>
      <c r="Z296">
        <v>3</v>
      </c>
      <c r="AA296">
        <v>80</v>
      </c>
      <c r="AB296">
        <v>1</v>
      </c>
      <c r="AC296">
        <v>4</v>
      </c>
      <c r="AD296">
        <v>5</v>
      </c>
      <c r="AE296">
        <v>3</v>
      </c>
      <c r="AF296">
        <v>3</v>
      </c>
      <c r="AG296">
        <v>2</v>
      </c>
      <c r="AH296">
        <v>1</v>
      </c>
      <c r="AI296">
        <v>0</v>
      </c>
    </row>
    <row r="297" spans="1:35" x14ac:dyDescent="0.3">
      <c r="A297">
        <v>29</v>
      </c>
      <c r="B297" t="s">
        <v>40</v>
      </c>
      <c r="C297" t="s">
        <v>33</v>
      </c>
      <c r="D297">
        <v>1252</v>
      </c>
      <c r="E297" t="s">
        <v>42</v>
      </c>
      <c r="F297">
        <v>23</v>
      </c>
      <c r="G297">
        <v>2</v>
      </c>
      <c r="H297" t="s">
        <v>35</v>
      </c>
      <c r="I297">
        <v>1</v>
      </c>
      <c r="J297">
        <v>824</v>
      </c>
      <c r="K297">
        <v>3</v>
      </c>
      <c r="L297" s="17" t="s">
        <v>43</v>
      </c>
      <c r="M297">
        <v>81</v>
      </c>
      <c r="N297">
        <v>4</v>
      </c>
      <c r="O297">
        <v>1</v>
      </c>
      <c r="P297" t="s">
        <v>44</v>
      </c>
      <c r="Q297">
        <v>3</v>
      </c>
      <c r="R297" t="s">
        <v>45</v>
      </c>
      <c r="S297" s="6">
        <v>2700</v>
      </c>
      <c r="T297">
        <v>23779</v>
      </c>
      <c r="U297">
        <v>1</v>
      </c>
      <c r="V297" t="s">
        <v>39</v>
      </c>
      <c r="W297" t="s">
        <v>40</v>
      </c>
      <c r="X297">
        <v>24</v>
      </c>
      <c r="Y297">
        <v>4</v>
      </c>
      <c r="Z297">
        <v>3</v>
      </c>
      <c r="AA297">
        <v>80</v>
      </c>
      <c r="AB297">
        <v>1</v>
      </c>
      <c r="AC297">
        <v>10</v>
      </c>
      <c r="AD297">
        <v>3</v>
      </c>
      <c r="AE297">
        <v>3</v>
      </c>
      <c r="AF297">
        <v>10</v>
      </c>
      <c r="AG297">
        <v>7</v>
      </c>
      <c r="AH297">
        <v>0</v>
      </c>
      <c r="AI297">
        <v>7</v>
      </c>
    </row>
    <row r="298" spans="1:35" x14ac:dyDescent="0.3">
      <c r="A298">
        <v>29</v>
      </c>
      <c r="B298" t="s">
        <v>40</v>
      </c>
      <c r="C298" t="s">
        <v>33</v>
      </c>
      <c r="D298">
        <v>1328</v>
      </c>
      <c r="E298" t="s">
        <v>42</v>
      </c>
      <c r="F298">
        <v>2</v>
      </c>
      <c r="G298">
        <v>3</v>
      </c>
      <c r="H298" t="s">
        <v>35</v>
      </c>
      <c r="I298">
        <v>1</v>
      </c>
      <c r="J298">
        <v>94</v>
      </c>
      <c r="K298">
        <v>3</v>
      </c>
      <c r="L298" s="17" t="s">
        <v>43</v>
      </c>
      <c r="M298">
        <v>76</v>
      </c>
      <c r="N298">
        <v>3</v>
      </c>
      <c r="O298">
        <v>1</v>
      </c>
      <c r="P298" t="s">
        <v>44</v>
      </c>
      <c r="Q298">
        <v>2</v>
      </c>
      <c r="R298" t="s">
        <v>45</v>
      </c>
      <c r="S298" s="6">
        <v>2703</v>
      </c>
      <c r="T298">
        <v>4956</v>
      </c>
      <c r="U298">
        <v>0</v>
      </c>
      <c r="V298" t="s">
        <v>39</v>
      </c>
      <c r="W298" t="s">
        <v>40</v>
      </c>
      <c r="X298">
        <v>23</v>
      </c>
      <c r="Y298">
        <v>4</v>
      </c>
      <c r="Z298">
        <v>4</v>
      </c>
      <c r="AA298">
        <v>80</v>
      </c>
      <c r="AB298">
        <v>1</v>
      </c>
      <c r="AC298">
        <v>6</v>
      </c>
      <c r="AD298">
        <v>3</v>
      </c>
      <c r="AE298">
        <v>3</v>
      </c>
      <c r="AF298">
        <v>5</v>
      </c>
      <c r="AG298">
        <v>4</v>
      </c>
      <c r="AH298">
        <v>0</v>
      </c>
      <c r="AI298">
        <v>4</v>
      </c>
    </row>
    <row r="299" spans="1:35" x14ac:dyDescent="0.3">
      <c r="A299">
        <v>28</v>
      </c>
      <c r="B299" t="s">
        <v>40</v>
      </c>
      <c r="C299" t="s">
        <v>41</v>
      </c>
      <c r="D299">
        <v>773</v>
      </c>
      <c r="E299" t="s">
        <v>42</v>
      </c>
      <c r="F299">
        <v>6</v>
      </c>
      <c r="G299">
        <v>3</v>
      </c>
      <c r="H299" t="s">
        <v>35</v>
      </c>
      <c r="I299">
        <v>1</v>
      </c>
      <c r="J299">
        <v>1154</v>
      </c>
      <c r="K299">
        <v>3</v>
      </c>
      <c r="L299" s="17" t="s">
        <v>43</v>
      </c>
      <c r="M299">
        <v>39</v>
      </c>
      <c r="N299">
        <v>2</v>
      </c>
      <c r="O299">
        <v>1</v>
      </c>
      <c r="P299" t="s">
        <v>44</v>
      </c>
      <c r="Q299">
        <v>3</v>
      </c>
      <c r="R299" t="s">
        <v>49</v>
      </c>
      <c r="S299" s="6">
        <v>2703</v>
      </c>
      <c r="T299">
        <v>22088</v>
      </c>
      <c r="U299">
        <v>1</v>
      </c>
      <c r="V299" t="s">
        <v>39</v>
      </c>
      <c r="W299" t="s">
        <v>32</v>
      </c>
      <c r="X299">
        <v>14</v>
      </c>
      <c r="Y299">
        <v>3</v>
      </c>
      <c r="Z299">
        <v>4</v>
      </c>
      <c r="AA299">
        <v>80</v>
      </c>
      <c r="AB299">
        <v>1</v>
      </c>
      <c r="AC299">
        <v>3</v>
      </c>
      <c r="AD299">
        <v>2</v>
      </c>
      <c r="AE299">
        <v>3</v>
      </c>
      <c r="AF299">
        <v>3</v>
      </c>
      <c r="AG299">
        <v>1</v>
      </c>
      <c r="AH299">
        <v>0</v>
      </c>
      <c r="AI299">
        <v>2</v>
      </c>
    </row>
    <row r="300" spans="1:35" x14ac:dyDescent="0.3">
      <c r="A300">
        <v>35</v>
      </c>
      <c r="B300" t="s">
        <v>40</v>
      </c>
      <c r="C300" t="s">
        <v>33</v>
      </c>
      <c r="D300">
        <v>185</v>
      </c>
      <c r="E300" t="s">
        <v>42</v>
      </c>
      <c r="F300">
        <v>23</v>
      </c>
      <c r="G300">
        <v>4</v>
      </c>
      <c r="H300" t="s">
        <v>48</v>
      </c>
      <c r="I300">
        <v>1</v>
      </c>
      <c r="J300">
        <v>1826</v>
      </c>
      <c r="K300">
        <v>2</v>
      </c>
      <c r="L300" s="17" t="s">
        <v>43</v>
      </c>
      <c r="M300">
        <v>91</v>
      </c>
      <c r="N300">
        <v>1</v>
      </c>
      <c r="O300">
        <v>1</v>
      </c>
      <c r="P300" t="s">
        <v>47</v>
      </c>
      <c r="Q300">
        <v>3</v>
      </c>
      <c r="R300" t="s">
        <v>45</v>
      </c>
      <c r="S300" s="6">
        <v>2705</v>
      </c>
      <c r="T300">
        <v>9696</v>
      </c>
      <c r="U300">
        <v>0</v>
      </c>
      <c r="V300" t="s">
        <v>39</v>
      </c>
      <c r="W300" t="s">
        <v>40</v>
      </c>
      <c r="X300">
        <v>16</v>
      </c>
      <c r="Y300">
        <v>3</v>
      </c>
      <c r="Z300">
        <v>2</v>
      </c>
      <c r="AA300">
        <v>80</v>
      </c>
      <c r="AB300">
        <v>1</v>
      </c>
      <c r="AC300">
        <v>6</v>
      </c>
      <c r="AD300">
        <v>2</v>
      </c>
      <c r="AE300">
        <v>4</v>
      </c>
      <c r="AF300">
        <v>5</v>
      </c>
      <c r="AG300">
        <v>4</v>
      </c>
      <c r="AH300">
        <v>0</v>
      </c>
      <c r="AI300">
        <v>3</v>
      </c>
    </row>
    <row r="301" spans="1:35" x14ac:dyDescent="0.3">
      <c r="A301">
        <v>28</v>
      </c>
      <c r="B301" t="s">
        <v>40</v>
      </c>
      <c r="C301" t="s">
        <v>52</v>
      </c>
      <c r="D301">
        <v>280</v>
      </c>
      <c r="E301" t="s">
        <v>58</v>
      </c>
      <c r="F301">
        <v>1</v>
      </c>
      <c r="G301">
        <v>2</v>
      </c>
      <c r="H301" t="s">
        <v>35</v>
      </c>
      <c r="I301">
        <v>1</v>
      </c>
      <c r="J301">
        <v>1858</v>
      </c>
      <c r="K301">
        <v>3</v>
      </c>
      <c r="L301" s="17" t="s">
        <v>43</v>
      </c>
      <c r="M301">
        <v>43</v>
      </c>
      <c r="N301">
        <v>3</v>
      </c>
      <c r="O301">
        <v>1</v>
      </c>
      <c r="P301" t="s">
        <v>58</v>
      </c>
      <c r="Q301">
        <v>4</v>
      </c>
      <c r="R301" t="s">
        <v>49</v>
      </c>
      <c r="S301" s="6">
        <v>2706</v>
      </c>
      <c r="T301">
        <v>10494</v>
      </c>
      <c r="U301">
        <v>1</v>
      </c>
      <c r="V301" t="s">
        <v>39</v>
      </c>
      <c r="W301" t="s">
        <v>40</v>
      </c>
      <c r="X301">
        <v>15</v>
      </c>
      <c r="Y301">
        <v>3</v>
      </c>
      <c r="Z301">
        <v>2</v>
      </c>
      <c r="AA301">
        <v>80</v>
      </c>
      <c r="AB301">
        <v>1</v>
      </c>
      <c r="AC301">
        <v>3</v>
      </c>
      <c r="AD301">
        <v>2</v>
      </c>
      <c r="AE301">
        <v>3</v>
      </c>
      <c r="AF301">
        <v>3</v>
      </c>
      <c r="AG301">
        <v>2</v>
      </c>
      <c r="AH301">
        <v>2</v>
      </c>
      <c r="AI301">
        <v>2</v>
      </c>
    </row>
    <row r="302" spans="1:35" x14ac:dyDescent="0.3">
      <c r="A302">
        <v>33</v>
      </c>
      <c r="B302" t="s">
        <v>32</v>
      </c>
      <c r="C302" t="s">
        <v>33</v>
      </c>
      <c r="D302">
        <v>465</v>
      </c>
      <c r="E302" t="s">
        <v>42</v>
      </c>
      <c r="F302">
        <v>2</v>
      </c>
      <c r="G302">
        <v>2</v>
      </c>
      <c r="H302" t="s">
        <v>35</v>
      </c>
      <c r="I302">
        <v>1</v>
      </c>
      <c r="J302">
        <v>328</v>
      </c>
      <c r="K302">
        <v>1</v>
      </c>
      <c r="L302" s="17" t="s">
        <v>36</v>
      </c>
      <c r="M302">
        <v>39</v>
      </c>
      <c r="N302">
        <v>3</v>
      </c>
      <c r="O302">
        <v>1</v>
      </c>
      <c r="P302" t="s">
        <v>47</v>
      </c>
      <c r="Q302">
        <v>1</v>
      </c>
      <c r="R302" t="s">
        <v>45</v>
      </c>
      <c r="S302" s="6">
        <v>2707</v>
      </c>
      <c r="T302">
        <v>21509</v>
      </c>
      <c r="U302">
        <v>7</v>
      </c>
      <c r="V302" t="s">
        <v>39</v>
      </c>
      <c r="W302" t="s">
        <v>40</v>
      </c>
      <c r="X302">
        <v>20</v>
      </c>
      <c r="Y302">
        <v>4</v>
      </c>
      <c r="Z302">
        <v>1</v>
      </c>
      <c r="AA302">
        <v>80</v>
      </c>
      <c r="AB302">
        <v>0</v>
      </c>
      <c r="AC302">
        <v>13</v>
      </c>
      <c r="AD302">
        <v>3</v>
      </c>
      <c r="AE302">
        <v>4</v>
      </c>
      <c r="AF302">
        <v>9</v>
      </c>
      <c r="AG302">
        <v>7</v>
      </c>
      <c r="AH302">
        <v>1</v>
      </c>
      <c r="AI302">
        <v>7</v>
      </c>
    </row>
    <row r="303" spans="1:35" x14ac:dyDescent="0.3">
      <c r="A303">
        <v>28</v>
      </c>
      <c r="B303" t="s">
        <v>40</v>
      </c>
      <c r="C303" t="s">
        <v>33</v>
      </c>
      <c r="D303">
        <v>440</v>
      </c>
      <c r="E303" t="s">
        <v>42</v>
      </c>
      <c r="F303">
        <v>21</v>
      </c>
      <c r="G303">
        <v>3</v>
      </c>
      <c r="H303" t="s">
        <v>48</v>
      </c>
      <c r="I303">
        <v>1</v>
      </c>
      <c r="J303">
        <v>221</v>
      </c>
      <c r="K303">
        <v>3</v>
      </c>
      <c r="L303" s="17" t="s">
        <v>43</v>
      </c>
      <c r="M303">
        <v>42</v>
      </c>
      <c r="N303">
        <v>3</v>
      </c>
      <c r="O303">
        <v>1</v>
      </c>
      <c r="P303" t="s">
        <v>44</v>
      </c>
      <c r="Q303">
        <v>4</v>
      </c>
      <c r="R303" t="s">
        <v>45</v>
      </c>
      <c r="S303" s="6">
        <v>2713</v>
      </c>
      <c r="T303">
        <v>6672</v>
      </c>
      <c r="U303">
        <v>1</v>
      </c>
      <c r="V303" t="s">
        <v>39</v>
      </c>
      <c r="W303" t="s">
        <v>40</v>
      </c>
      <c r="X303">
        <v>11</v>
      </c>
      <c r="Y303">
        <v>3</v>
      </c>
      <c r="Z303">
        <v>3</v>
      </c>
      <c r="AA303">
        <v>80</v>
      </c>
      <c r="AB303">
        <v>1</v>
      </c>
      <c r="AC303">
        <v>5</v>
      </c>
      <c r="AD303">
        <v>2</v>
      </c>
      <c r="AE303">
        <v>1</v>
      </c>
      <c r="AF303">
        <v>5</v>
      </c>
      <c r="AG303">
        <v>2</v>
      </c>
      <c r="AH303">
        <v>0</v>
      </c>
      <c r="AI303">
        <v>2</v>
      </c>
    </row>
    <row r="304" spans="1:35" x14ac:dyDescent="0.3">
      <c r="A304">
        <v>21</v>
      </c>
      <c r="B304" t="s">
        <v>32</v>
      </c>
      <c r="C304" t="s">
        <v>33</v>
      </c>
      <c r="D304">
        <v>156</v>
      </c>
      <c r="E304" t="s">
        <v>34</v>
      </c>
      <c r="F304">
        <v>12</v>
      </c>
      <c r="G304">
        <v>3</v>
      </c>
      <c r="H304" t="s">
        <v>35</v>
      </c>
      <c r="I304">
        <v>1</v>
      </c>
      <c r="J304">
        <v>494</v>
      </c>
      <c r="K304">
        <v>3</v>
      </c>
      <c r="L304" s="17" t="s">
        <v>36</v>
      </c>
      <c r="M304">
        <v>90</v>
      </c>
      <c r="N304">
        <v>4</v>
      </c>
      <c r="O304">
        <v>1</v>
      </c>
      <c r="P304" t="s">
        <v>54</v>
      </c>
      <c r="Q304">
        <v>2</v>
      </c>
      <c r="R304" t="s">
        <v>38</v>
      </c>
      <c r="S304" s="6">
        <v>2716</v>
      </c>
      <c r="T304">
        <v>25422</v>
      </c>
      <c r="U304">
        <v>1</v>
      </c>
      <c r="V304" t="s">
        <v>39</v>
      </c>
      <c r="W304" t="s">
        <v>40</v>
      </c>
      <c r="X304">
        <v>15</v>
      </c>
      <c r="Y304">
        <v>3</v>
      </c>
      <c r="Z304">
        <v>4</v>
      </c>
      <c r="AA304">
        <v>80</v>
      </c>
      <c r="AB304">
        <v>0</v>
      </c>
      <c r="AC304">
        <v>1</v>
      </c>
      <c r="AD304">
        <v>0</v>
      </c>
      <c r="AE304">
        <v>3</v>
      </c>
      <c r="AF304">
        <v>1</v>
      </c>
      <c r="AG304">
        <v>0</v>
      </c>
      <c r="AH304">
        <v>0</v>
      </c>
      <c r="AI304">
        <v>0</v>
      </c>
    </row>
    <row r="305" spans="1:35" x14ac:dyDescent="0.3">
      <c r="A305">
        <v>32</v>
      </c>
      <c r="B305" t="s">
        <v>40</v>
      </c>
      <c r="C305" t="s">
        <v>52</v>
      </c>
      <c r="D305">
        <v>953</v>
      </c>
      <c r="E305" t="s">
        <v>42</v>
      </c>
      <c r="F305">
        <v>5</v>
      </c>
      <c r="G305">
        <v>4</v>
      </c>
      <c r="H305" t="s">
        <v>57</v>
      </c>
      <c r="I305">
        <v>1</v>
      </c>
      <c r="J305">
        <v>1764</v>
      </c>
      <c r="K305">
        <v>2</v>
      </c>
      <c r="L305" s="17" t="s">
        <v>43</v>
      </c>
      <c r="M305">
        <v>65</v>
      </c>
      <c r="N305">
        <v>3</v>
      </c>
      <c r="O305">
        <v>1</v>
      </c>
      <c r="P305" t="s">
        <v>44</v>
      </c>
      <c r="Q305">
        <v>2</v>
      </c>
      <c r="R305" t="s">
        <v>38</v>
      </c>
      <c r="S305" s="6">
        <v>2718</v>
      </c>
      <c r="T305">
        <v>17674</v>
      </c>
      <c r="U305">
        <v>2</v>
      </c>
      <c r="V305" t="s">
        <v>39</v>
      </c>
      <c r="W305" t="s">
        <v>40</v>
      </c>
      <c r="X305">
        <v>14</v>
      </c>
      <c r="Y305">
        <v>3</v>
      </c>
      <c r="Z305">
        <v>2</v>
      </c>
      <c r="AA305">
        <v>80</v>
      </c>
      <c r="AB305">
        <v>0</v>
      </c>
      <c r="AC305">
        <v>12</v>
      </c>
      <c r="AD305">
        <v>3</v>
      </c>
      <c r="AE305">
        <v>3</v>
      </c>
      <c r="AF305">
        <v>7</v>
      </c>
      <c r="AG305">
        <v>7</v>
      </c>
      <c r="AH305">
        <v>0</v>
      </c>
      <c r="AI305">
        <v>7</v>
      </c>
    </row>
    <row r="306" spans="1:35" x14ac:dyDescent="0.3">
      <c r="A306">
        <v>30</v>
      </c>
      <c r="B306" t="s">
        <v>40</v>
      </c>
      <c r="C306" t="s">
        <v>33</v>
      </c>
      <c r="D306">
        <v>1427</v>
      </c>
      <c r="E306" t="s">
        <v>42</v>
      </c>
      <c r="F306">
        <v>2</v>
      </c>
      <c r="G306">
        <v>1</v>
      </c>
      <c r="H306" t="s">
        <v>48</v>
      </c>
      <c r="I306">
        <v>1</v>
      </c>
      <c r="J306">
        <v>198</v>
      </c>
      <c r="K306">
        <v>2</v>
      </c>
      <c r="L306" s="17" t="s">
        <v>43</v>
      </c>
      <c r="M306">
        <v>35</v>
      </c>
      <c r="N306">
        <v>2</v>
      </c>
      <c r="O306">
        <v>1</v>
      </c>
      <c r="P306" t="s">
        <v>47</v>
      </c>
      <c r="Q306">
        <v>4</v>
      </c>
      <c r="R306" t="s">
        <v>38</v>
      </c>
      <c r="S306" s="6">
        <v>2720</v>
      </c>
      <c r="T306">
        <v>11162</v>
      </c>
      <c r="U306">
        <v>0</v>
      </c>
      <c r="V306" t="s">
        <v>39</v>
      </c>
      <c r="W306" t="s">
        <v>40</v>
      </c>
      <c r="X306">
        <v>13</v>
      </c>
      <c r="Y306">
        <v>3</v>
      </c>
      <c r="Z306">
        <v>4</v>
      </c>
      <c r="AA306">
        <v>80</v>
      </c>
      <c r="AB306">
        <v>0</v>
      </c>
      <c r="AC306">
        <v>6</v>
      </c>
      <c r="AD306">
        <v>3</v>
      </c>
      <c r="AE306">
        <v>3</v>
      </c>
      <c r="AF306">
        <v>5</v>
      </c>
      <c r="AG306">
        <v>3</v>
      </c>
      <c r="AH306">
        <v>1</v>
      </c>
      <c r="AI306">
        <v>2</v>
      </c>
    </row>
    <row r="307" spans="1:35" x14ac:dyDescent="0.3">
      <c r="A307">
        <v>29</v>
      </c>
      <c r="B307" t="s">
        <v>40</v>
      </c>
      <c r="C307" t="s">
        <v>41</v>
      </c>
      <c r="D307">
        <v>806</v>
      </c>
      <c r="E307" t="s">
        <v>42</v>
      </c>
      <c r="F307">
        <v>1</v>
      </c>
      <c r="G307">
        <v>4</v>
      </c>
      <c r="H307" t="s">
        <v>35</v>
      </c>
      <c r="I307">
        <v>1</v>
      </c>
      <c r="J307">
        <v>710</v>
      </c>
      <c r="K307">
        <v>2</v>
      </c>
      <c r="L307" s="17" t="s">
        <v>43</v>
      </c>
      <c r="M307">
        <v>76</v>
      </c>
      <c r="N307">
        <v>1</v>
      </c>
      <c r="O307">
        <v>1</v>
      </c>
      <c r="P307" t="s">
        <v>44</v>
      </c>
      <c r="Q307">
        <v>4</v>
      </c>
      <c r="R307" t="s">
        <v>49</v>
      </c>
      <c r="S307" s="6">
        <v>2720</v>
      </c>
      <c r="T307">
        <v>18959</v>
      </c>
      <c r="U307">
        <v>1</v>
      </c>
      <c r="V307" t="s">
        <v>39</v>
      </c>
      <c r="W307" t="s">
        <v>40</v>
      </c>
      <c r="X307">
        <v>18</v>
      </c>
      <c r="Y307">
        <v>3</v>
      </c>
      <c r="Z307">
        <v>4</v>
      </c>
      <c r="AA307">
        <v>80</v>
      </c>
      <c r="AB307">
        <v>1</v>
      </c>
      <c r="AC307">
        <v>10</v>
      </c>
      <c r="AD307">
        <v>5</v>
      </c>
      <c r="AE307">
        <v>3</v>
      </c>
      <c r="AF307">
        <v>10</v>
      </c>
      <c r="AG307">
        <v>7</v>
      </c>
      <c r="AH307">
        <v>2</v>
      </c>
      <c r="AI307">
        <v>8</v>
      </c>
    </row>
    <row r="308" spans="1:35" x14ac:dyDescent="0.3">
      <c r="A308">
        <v>51</v>
      </c>
      <c r="B308" t="s">
        <v>40</v>
      </c>
      <c r="C308" t="s">
        <v>33</v>
      </c>
      <c r="D308">
        <v>833</v>
      </c>
      <c r="E308" t="s">
        <v>42</v>
      </c>
      <c r="F308">
        <v>1</v>
      </c>
      <c r="G308">
        <v>3</v>
      </c>
      <c r="H308" t="s">
        <v>35</v>
      </c>
      <c r="I308">
        <v>1</v>
      </c>
      <c r="J308">
        <v>353</v>
      </c>
      <c r="K308">
        <v>3</v>
      </c>
      <c r="L308" s="17" t="s">
        <v>43</v>
      </c>
      <c r="M308">
        <v>96</v>
      </c>
      <c r="N308">
        <v>3</v>
      </c>
      <c r="O308">
        <v>1</v>
      </c>
      <c r="P308" t="s">
        <v>44</v>
      </c>
      <c r="Q308">
        <v>4</v>
      </c>
      <c r="R308" t="s">
        <v>45</v>
      </c>
      <c r="S308" s="6">
        <v>2723</v>
      </c>
      <c r="T308">
        <v>23231</v>
      </c>
      <c r="U308">
        <v>1</v>
      </c>
      <c r="V308" t="s">
        <v>39</v>
      </c>
      <c r="W308" t="s">
        <v>40</v>
      </c>
      <c r="X308">
        <v>11</v>
      </c>
      <c r="Y308">
        <v>3</v>
      </c>
      <c r="Z308">
        <v>2</v>
      </c>
      <c r="AA308">
        <v>80</v>
      </c>
      <c r="AB308">
        <v>0</v>
      </c>
      <c r="AC308">
        <v>1</v>
      </c>
      <c r="AD308">
        <v>0</v>
      </c>
      <c r="AE308">
        <v>2</v>
      </c>
      <c r="AF308">
        <v>1</v>
      </c>
      <c r="AG308">
        <v>0</v>
      </c>
      <c r="AH308">
        <v>0</v>
      </c>
      <c r="AI308">
        <v>0</v>
      </c>
    </row>
    <row r="309" spans="1:35" x14ac:dyDescent="0.3">
      <c r="A309">
        <v>24</v>
      </c>
      <c r="B309" t="s">
        <v>40</v>
      </c>
      <c r="C309" t="s">
        <v>33</v>
      </c>
      <c r="D309">
        <v>691</v>
      </c>
      <c r="E309" t="s">
        <v>42</v>
      </c>
      <c r="F309">
        <v>23</v>
      </c>
      <c r="G309">
        <v>3</v>
      </c>
      <c r="H309" t="s">
        <v>48</v>
      </c>
      <c r="I309">
        <v>1</v>
      </c>
      <c r="J309">
        <v>639</v>
      </c>
      <c r="K309">
        <v>2</v>
      </c>
      <c r="L309" s="17" t="s">
        <v>43</v>
      </c>
      <c r="M309">
        <v>89</v>
      </c>
      <c r="N309">
        <v>4</v>
      </c>
      <c r="O309">
        <v>1</v>
      </c>
      <c r="P309" t="s">
        <v>44</v>
      </c>
      <c r="Q309">
        <v>4</v>
      </c>
      <c r="R309" t="s">
        <v>45</v>
      </c>
      <c r="S309" s="6">
        <v>2725</v>
      </c>
      <c r="T309">
        <v>21630</v>
      </c>
      <c r="U309">
        <v>1</v>
      </c>
      <c r="V309" t="s">
        <v>39</v>
      </c>
      <c r="W309" t="s">
        <v>32</v>
      </c>
      <c r="X309">
        <v>11</v>
      </c>
      <c r="Y309">
        <v>3</v>
      </c>
      <c r="Z309">
        <v>2</v>
      </c>
      <c r="AA309">
        <v>80</v>
      </c>
      <c r="AB309">
        <v>2</v>
      </c>
      <c r="AC309">
        <v>6</v>
      </c>
      <c r="AD309">
        <v>3</v>
      </c>
      <c r="AE309">
        <v>3</v>
      </c>
      <c r="AF309">
        <v>6</v>
      </c>
      <c r="AG309">
        <v>5</v>
      </c>
      <c r="AH309">
        <v>1</v>
      </c>
      <c r="AI309">
        <v>4</v>
      </c>
    </row>
    <row r="310" spans="1:35" x14ac:dyDescent="0.3">
      <c r="A310">
        <v>20</v>
      </c>
      <c r="B310" t="s">
        <v>40</v>
      </c>
      <c r="C310" t="s">
        <v>33</v>
      </c>
      <c r="D310">
        <v>727</v>
      </c>
      <c r="E310" t="s">
        <v>34</v>
      </c>
      <c r="F310">
        <v>9</v>
      </c>
      <c r="G310">
        <v>1</v>
      </c>
      <c r="H310" t="s">
        <v>35</v>
      </c>
      <c r="I310">
        <v>1</v>
      </c>
      <c r="J310">
        <v>1680</v>
      </c>
      <c r="K310">
        <v>4</v>
      </c>
      <c r="L310" s="17" t="s">
        <v>43</v>
      </c>
      <c r="M310">
        <v>54</v>
      </c>
      <c r="N310">
        <v>3</v>
      </c>
      <c r="O310">
        <v>1</v>
      </c>
      <c r="P310" t="s">
        <v>54</v>
      </c>
      <c r="Q310">
        <v>1</v>
      </c>
      <c r="R310" t="s">
        <v>38</v>
      </c>
      <c r="S310" s="6">
        <v>2728</v>
      </c>
      <c r="T310">
        <v>21082</v>
      </c>
      <c r="U310">
        <v>1</v>
      </c>
      <c r="V310" t="s">
        <v>39</v>
      </c>
      <c r="W310" t="s">
        <v>40</v>
      </c>
      <c r="X310">
        <v>11</v>
      </c>
      <c r="Y310">
        <v>3</v>
      </c>
      <c r="Z310">
        <v>1</v>
      </c>
      <c r="AA310">
        <v>80</v>
      </c>
      <c r="AB310">
        <v>0</v>
      </c>
      <c r="AC310">
        <v>2</v>
      </c>
      <c r="AD310">
        <v>3</v>
      </c>
      <c r="AE310">
        <v>3</v>
      </c>
      <c r="AF310">
        <v>2</v>
      </c>
      <c r="AG310">
        <v>2</v>
      </c>
      <c r="AH310">
        <v>0</v>
      </c>
      <c r="AI310">
        <v>2</v>
      </c>
    </row>
    <row r="311" spans="1:35" x14ac:dyDescent="0.3">
      <c r="A311">
        <v>40</v>
      </c>
      <c r="B311" t="s">
        <v>40</v>
      </c>
      <c r="C311" t="s">
        <v>33</v>
      </c>
      <c r="D311">
        <v>905</v>
      </c>
      <c r="E311" t="s">
        <v>42</v>
      </c>
      <c r="F311">
        <v>19</v>
      </c>
      <c r="G311">
        <v>2</v>
      </c>
      <c r="H311" t="s">
        <v>48</v>
      </c>
      <c r="I311">
        <v>1</v>
      </c>
      <c r="J311">
        <v>281</v>
      </c>
      <c r="K311">
        <v>3</v>
      </c>
      <c r="L311" s="17" t="s">
        <v>43</v>
      </c>
      <c r="M311">
        <v>99</v>
      </c>
      <c r="N311">
        <v>3</v>
      </c>
      <c r="O311">
        <v>2</v>
      </c>
      <c r="P311" t="s">
        <v>47</v>
      </c>
      <c r="Q311">
        <v>4</v>
      </c>
      <c r="R311" t="s">
        <v>45</v>
      </c>
      <c r="S311" s="6">
        <v>2741</v>
      </c>
      <c r="T311">
        <v>16523</v>
      </c>
      <c r="U311">
        <v>8</v>
      </c>
      <c r="V311" t="s">
        <v>39</v>
      </c>
      <c r="W311" t="s">
        <v>32</v>
      </c>
      <c r="X311">
        <v>15</v>
      </c>
      <c r="Y311">
        <v>3</v>
      </c>
      <c r="Z311">
        <v>3</v>
      </c>
      <c r="AA311">
        <v>80</v>
      </c>
      <c r="AB311">
        <v>1</v>
      </c>
      <c r="AC311">
        <v>15</v>
      </c>
      <c r="AD311">
        <v>2</v>
      </c>
      <c r="AE311">
        <v>4</v>
      </c>
      <c r="AF311">
        <v>7</v>
      </c>
      <c r="AG311">
        <v>2</v>
      </c>
      <c r="AH311">
        <v>3</v>
      </c>
      <c r="AI311">
        <v>7</v>
      </c>
    </row>
    <row r="312" spans="1:35" x14ac:dyDescent="0.3">
      <c r="A312">
        <v>26</v>
      </c>
      <c r="B312" t="s">
        <v>32</v>
      </c>
      <c r="C312" t="s">
        <v>41</v>
      </c>
      <c r="D312">
        <v>426</v>
      </c>
      <c r="E312" t="s">
        <v>58</v>
      </c>
      <c r="F312">
        <v>17</v>
      </c>
      <c r="G312">
        <v>4</v>
      </c>
      <c r="H312" t="s">
        <v>35</v>
      </c>
      <c r="I312">
        <v>1</v>
      </c>
      <c r="J312">
        <v>608</v>
      </c>
      <c r="K312">
        <v>2</v>
      </c>
      <c r="L312" s="17" t="s">
        <v>36</v>
      </c>
      <c r="M312">
        <v>58</v>
      </c>
      <c r="N312">
        <v>3</v>
      </c>
      <c r="O312">
        <v>1</v>
      </c>
      <c r="P312" t="s">
        <v>58</v>
      </c>
      <c r="Q312">
        <v>3</v>
      </c>
      <c r="R312" t="s">
        <v>49</v>
      </c>
      <c r="S312" s="6">
        <v>2741</v>
      </c>
      <c r="T312">
        <v>22808</v>
      </c>
      <c r="U312">
        <v>0</v>
      </c>
      <c r="V312" t="s">
        <v>39</v>
      </c>
      <c r="W312" t="s">
        <v>32</v>
      </c>
      <c r="X312">
        <v>11</v>
      </c>
      <c r="Y312">
        <v>3</v>
      </c>
      <c r="Z312">
        <v>2</v>
      </c>
      <c r="AA312">
        <v>80</v>
      </c>
      <c r="AB312">
        <v>1</v>
      </c>
      <c r="AC312">
        <v>8</v>
      </c>
      <c r="AD312">
        <v>2</v>
      </c>
      <c r="AE312">
        <v>2</v>
      </c>
      <c r="AF312">
        <v>7</v>
      </c>
      <c r="AG312">
        <v>7</v>
      </c>
      <c r="AH312">
        <v>1</v>
      </c>
      <c r="AI312">
        <v>0</v>
      </c>
    </row>
    <row r="313" spans="1:35" x14ac:dyDescent="0.3">
      <c r="A313">
        <v>36</v>
      </c>
      <c r="B313" t="s">
        <v>40</v>
      </c>
      <c r="C313" t="s">
        <v>33</v>
      </c>
      <c r="D313">
        <v>917</v>
      </c>
      <c r="E313" t="s">
        <v>42</v>
      </c>
      <c r="F313">
        <v>6</v>
      </c>
      <c r="G313">
        <v>4</v>
      </c>
      <c r="H313" t="s">
        <v>35</v>
      </c>
      <c r="I313">
        <v>1</v>
      </c>
      <c r="J313">
        <v>1221</v>
      </c>
      <c r="K313">
        <v>3</v>
      </c>
      <c r="L313" s="17" t="s">
        <v>43</v>
      </c>
      <c r="M313">
        <v>60</v>
      </c>
      <c r="N313">
        <v>1</v>
      </c>
      <c r="O313">
        <v>1</v>
      </c>
      <c r="P313" t="s">
        <v>47</v>
      </c>
      <c r="Q313">
        <v>3</v>
      </c>
      <c r="R313" t="s">
        <v>49</v>
      </c>
      <c r="S313" s="6">
        <v>2741</v>
      </c>
      <c r="T313">
        <v>6865</v>
      </c>
      <c r="U313">
        <v>1</v>
      </c>
      <c r="V313" t="s">
        <v>39</v>
      </c>
      <c r="W313" t="s">
        <v>40</v>
      </c>
      <c r="X313">
        <v>14</v>
      </c>
      <c r="Y313">
        <v>3</v>
      </c>
      <c r="Z313">
        <v>3</v>
      </c>
      <c r="AA313">
        <v>80</v>
      </c>
      <c r="AB313">
        <v>1</v>
      </c>
      <c r="AC313">
        <v>7</v>
      </c>
      <c r="AD313">
        <v>4</v>
      </c>
      <c r="AE313">
        <v>3</v>
      </c>
      <c r="AF313">
        <v>7</v>
      </c>
      <c r="AG313">
        <v>7</v>
      </c>
      <c r="AH313">
        <v>1</v>
      </c>
      <c r="AI313">
        <v>7</v>
      </c>
    </row>
    <row r="314" spans="1:35" x14ac:dyDescent="0.3">
      <c r="A314">
        <v>34</v>
      </c>
      <c r="B314" t="s">
        <v>32</v>
      </c>
      <c r="C314" t="s">
        <v>33</v>
      </c>
      <c r="D314">
        <v>1107</v>
      </c>
      <c r="E314" t="s">
        <v>58</v>
      </c>
      <c r="F314">
        <v>9</v>
      </c>
      <c r="G314">
        <v>4</v>
      </c>
      <c r="H314" t="s">
        <v>57</v>
      </c>
      <c r="I314">
        <v>1</v>
      </c>
      <c r="J314">
        <v>1467</v>
      </c>
      <c r="K314">
        <v>1</v>
      </c>
      <c r="L314" s="17" t="s">
        <v>36</v>
      </c>
      <c r="M314">
        <v>52</v>
      </c>
      <c r="N314">
        <v>3</v>
      </c>
      <c r="O314">
        <v>1</v>
      </c>
      <c r="P314" t="s">
        <v>58</v>
      </c>
      <c r="Q314">
        <v>3</v>
      </c>
      <c r="R314" t="s">
        <v>45</v>
      </c>
      <c r="S314" s="6">
        <v>2742</v>
      </c>
      <c r="T314">
        <v>3072</v>
      </c>
      <c r="U314">
        <v>1</v>
      </c>
      <c r="V314" t="s">
        <v>39</v>
      </c>
      <c r="W314" t="s">
        <v>40</v>
      </c>
      <c r="X314">
        <v>15</v>
      </c>
      <c r="Y314">
        <v>3</v>
      </c>
      <c r="Z314">
        <v>4</v>
      </c>
      <c r="AA314">
        <v>80</v>
      </c>
      <c r="AB314">
        <v>0</v>
      </c>
      <c r="AC314">
        <v>2</v>
      </c>
      <c r="AD314">
        <v>0</v>
      </c>
      <c r="AE314">
        <v>3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36</v>
      </c>
      <c r="B315" t="s">
        <v>32</v>
      </c>
      <c r="C315" t="s">
        <v>33</v>
      </c>
      <c r="D315">
        <v>885</v>
      </c>
      <c r="E315" t="s">
        <v>42</v>
      </c>
      <c r="F315">
        <v>16</v>
      </c>
      <c r="G315">
        <v>4</v>
      </c>
      <c r="H315" t="s">
        <v>35</v>
      </c>
      <c r="I315">
        <v>1</v>
      </c>
      <c r="J315">
        <v>1042</v>
      </c>
      <c r="K315">
        <v>3</v>
      </c>
      <c r="L315" s="17" t="s">
        <v>36</v>
      </c>
      <c r="M315">
        <v>43</v>
      </c>
      <c r="N315">
        <v>4</v>
      </c>
      <c r="O315">
        <v>1</v>
      </c>
      <c r="P315" t="s">
        <v>47</v>
      </c>
      <c r="Q315">
        <v>1</v>
      </c>
      <c r="R315" t="s">
        <v>38</v>
      </c>
      <c r="S315" s="6">
        <v>2743</v>
      </c>
      <c r="T315">
        <v>8269</v>
      </c>
      <c r="U315">
        <v>1</v>
      </c>
      <c r="V315" t="s">
        <v>39</v>
      </c>
      <c r="W315" t="s">
        <v>40</v>
      </c>
      <c r="X315">
        <v>16</v>
      </c>
      <c r="Y315">
        <v>3</v>
      </c>
      <c r="Z315">
        <v>3</v>
      </c>
      <c r="AA315">
        <v>80</v>
      </c>
      <c r="AB315">
        <v>0</v>
      </c>
      <c r="AC315">
        <v>18</v>
      </c>
      <c r="AD315">
        <v>1</v>
      </c>
      <c r="AE315">
        <v>3</v>
      </c>
      <c r="AF315">
        <v>17</v>
      </c>
      <c r="AG315">
        <v>13</v>
      </c>
      <c r="AH315">
        <v>15</v>
      </c>
      <c r="AI315">
        <v>14</v>
      </c>
    </row>
    <row r="316" spans="1:35" x14ac:dyDescent="0.3">
      <c r="A316">
        <v>32</v>
      </c>
      <c r="B316" t="s">
        <v>40</v>
      </c>
      <c r="C316" t="s">
        <v>41</v>
      </c>
      <c r="D316">
        <v>116</v>
      </c>
      <c r="E316" t="s">
        <v>42</v>
      </c>
      <c r="F316">
        <v>13</v>
      </c>
      <c r="G316">
        <v>3</v>
      </c>
      <c r="H316" t="s">
        <v>46</v>
      </c>
      <c r="I316">
        <v>1</v>
      </c>
      <c r="J316">
        <v>1234</v>
      </c>
      <c r="K316">
        <v>3</v>
      </c>
      <c r="L316" s="17" t="s">
        <v>36</v>
      </c>
      <c r="M316">
        <v>77</v>
      </c>
      <c r="N316">
        <v>2</v>
      </c>
      <c r="O316">
        <v>1</v>
      </c>
      <c r="P316" t="s">
        <v>47</v>
      </c>
      <c r="Q316">
        <v>2</v>
      </c>
      <c r="R316" t="s">
        <v>45</v>
      </c>
      <c r="S316" s="6">
        <v>2743</v>
      </c>
      <c r="T316">
        <v>7331</v>
      </c>
      <c r="U316">
        <v>1</v>
      </c>
      <c r="V316" t="s">
        <v>39</v>
      </c>
      <c r="W316" t="s">
        <v>40</v>
      </c>
      <c r="X316">
        <v>20</v>
      </c>
      <c r="Y316">
        <v>4</v>
      </c>
      <c r="Z316">
        <v>3</v>
      </c>
      <c r="AA316">
        <v>80</v>
      </c>
      <c r="AB316">
        <v>1</v>
      </c>
      <c r="AC316">
        <v>2</v>
      </c>
      <c r="AD316">
        <v>2</v>
      </c>
      <c r="AE316">
        <v>3</v>
      </c>
      <c r="AF316">
        <v>2</v>
      </c>
      <c r="AG316">
        <v>2</v>
      </c>
      <c r="AH316">
        <v>2</v>
      </c>
      <c r="AI316">
        <v>2</v>
      </c>
    </row>
    <row r="317" spans="1:35" x14ac:dyDescent="0.3">
      <c r="A317">
        <v>33</v>
      </c>
      <c r="B317" t="s">
        <v>40</v>
      </c>
      <c r="C317" t="s">
        <v>33</v>
      </c>
      <c r="D317">
        <v>931</v>
      </c>
      <c r="E317" t="s">
        <v>42</v>
      </c>
      <c r="F317">
        <v>14</v>
      </c>
      <c r="G317">
        <v>3</v>
      </c>
      <c r="H317" t="s">
        <v>48</v>
      </c>
      <c r="I317">
        <v>1</v>
      </c>
      <c r="J317">
        <v>252</v>
      </c>
      <c r="K317">
        <v>4</v>
      </c>
      <c r="L317" s="17" t="s">
        <v>36</v>
      </c>
      <c r="M317">
        <v>72</v>
      </c>
      <c r="N317">
        <v>3</v>
      </c>
      <c r="O317">
        <v>1</v>
      </c>
      <c r="P317" t="s">
        <v>44</v>
      </c>
      <c r="Q317">
        <v>2</v>
      </c>
      <c r="R317" t="s">
        <v>45</v>
      </c>
      <c r="S317" s="6">
        <v>2756</v>
      </c>
      <c r="T317">
        <v>4673</v>
      </c>
      <c r="U317">
        <v>1</v>
      </c>
      <c r="V317" t="s">
        <v>39</v>
      </c>
      <c r="W317" t="s">
        <v>40</v>
      </c>
      <c r="X317">
        <v>13</v>
      </c>
      <c r="Y317">
        <v>3</v>
      </c>
      <c r="Z317">
        <v>4</v>
      </c>
      <c r="AA317">
        <v>80</v>
      </c>
      <c r="AB317">
        <v>1</v>
      </c>
      <c r="AC317">
        <v>8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6</v>
      </c>
    </row>
    <row r="318" spans="1:35" x14ac:dyDescent="0.3">
      <c r="A318">
        <v>42</v>
      </c>
      <c r="B318" t="s">
        <v>32</v>
      </c>
      <c r="C318" t="s">
        <v>41</v>
      </c>
      <c r="D318">
        <v>933</v>
      </c>
      <c r="E318" t="s">
        <v>42</v>
      </c>
      <c r="F318">
        <v>19</v>
      </c>
      <c r="G318">
        <v>3</v>
      </c>
      <c r="H318" t="s">
        <v>48</v>
      </c>
      <c r="I318">
        <v>1</v>
      </c>
      <c r="J318">
        <v>752</v>
      </c>
      <c r="K318">
        <v>3</v>
      </c>
      <c r="L318" s="17" t="s">
        <v>43</v>
      </c>
      <c r="M318">
        <v>57</v>
      </c>
      <c r="N318">
        <v>4</v>
      </c>
      <c r="O318">
        <v>1</v>
      </c>
      <c r="P318" t="s">
        <v>44</v>
      </c>
      <c r="Q318">
        <v>3</v>
      </c>
      <c r="R318" t="s">
        <v>49</v>
      </c>
      <c r="S318" s="6">
        <v>2759</v>
      </c>
      <c r="T318">
        <v>20366</v>
      </c>
      <c r="U318">
        <v>6</v>
      </c>
      <c r="V318" t="s">
        <v>39</v>
      </c>
      <c r="W318" t="s">
        <v>32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7</v>
      </c>
      <c r="AD318">
        <v>2</v>
      </c>
      <c r="AE318">
        <v>3</v>
      </c>
      <c r="AF318">
        <v>2</v>
      </c>
      <c r="AG318">
        <v>2</v>
      </c>
      <c r="AH318">
        <v>2</v>
      </c>
      <c r="AI318">
        <v>2</v>
      </c>
    </row>
    <row r="319" spans="1:35" x14ac:dyDescent="0.3">
      <c r="A319">
        <v>29</v>
      </c>
      <c r="B319" t="s">
        <v>32</v>
      </c>
      <c r="C319" t="s">
        <v>33</v>
      </c>
      <c r="D319">
        <v>428</v>
      </c>
      <c r="E319" t="s">
        <v>34</v>
      </c>
      <c r="F319">
        <v>9</v>
      </c>
      <c r="G319">
        <v>3</v>
      </c>
      <c r="H319" t="s">
        <v>56</v>
      </c>
      <c r="I319">
        <v>1</v>
      </c>
      <c r="J319">
        <v>1752</v>
      </c>
      <c r="K319">
        <v>2</v>
      </c>
      <c r="L319" s="17" t="s">
        <v>36</v>
      </c>
      <c r="M319">
        <v>52</v>
      </c>
      <c r="N319">
        <v>1</v>
      </c>
      <c r="O319">
        <v>1</v>
      </c>
      <c r="P319" t="s">
        <v>54</v>
      </c>
      <c r="Q319">
        <v>2</v>
      </c>
      <c r="R319" t="s">
        <v>38</v>
      </c>
      <c r="S319" s="6">
        <v>2760</v>
      </c>
      <c r="T319">
        <v>14630</v>
      </c>
      <c r="U319">
        <v>1</v>
      </c>
      <c r="V319" t="s">
        <v>39</v>
      </c>
      <c r="W319" t="s">
        <v>40</v>
      </c>
      <c r="X319">
        <v>13</v>
      </c>
      <c r="Y319">
        <v>3</v>
      </c>
      <c r="Z319">
        <v>3</v>
      </c>
      <c r="AA319">
        <v>80</v>
      </c>
      <c r="AB319">
        <v>0</v>
      </c>
      <c r="AC319">
        <v>2</v>
      </c>
      <c r="AD319">
        <v>3</v>
      </c>
      <c r="AE319">
        <v>3</v>
      </c>
      <c r="AF319">
        <v>2</v>
      </c>
      <c r="AG319">
        <v>2</v>
      </c>
      <c r="AH319">
        <v>2</v>
      </c>
      <c r="AI319">
        <v>2</v>
      </c>
    </row>
    <row r="320" spans="1:35" x14ac:dyDescent="0.3">
      <c r="A320">
        <v>42</v>
      </c>
      <c r="B320" t="s">
        <v>40</v>
      </c>
      <c r="C320" t="s">
        <v>33</v>
      </c>
      <c r="D320">
        <v>855</v>
      </c>
      <c r="E320" t="s">
        <v>42</v>
      </c>
      <c r="F320">
        <v>12</v>
      </c>
      <c r="G320">
        <v>3</v>
      </c>
      <c r="H320" t="s">
        <v>48</v>
      </c>
      <c r="I320">
        <v>1</v>
      </c>
      <c r="J320">
        <v>1768</v>
      </c>
      <c r="K320">
        <v>2</v>
      </c>
      <c r="L320" s="17" t="s">
        <v>43</v>
      </c>
      <c r="M320">
        <v>57</v>
      </c>
      <c r="N320">
        <v>3</v>
      </c>
      <c r="O320">
        <v>1</v>
      </c>
      <c r="P320" t="s">
        <v>47</v>
      </c>
      <c r="Q320">
        <v>2</v>
      </c>
      <c r="R320" t="s">
        <v>49</v>
      </c>
      <c r="S320" s="6">
        <v>2766</v>
      </c>
      <c r="T320">
        <v>8952</v>
      </c>
      <c r="U320">
        <v>8</v>
      </c>
      <c r="V320" t="s">
        <v>39</v>
      </c>
      <c r="W320" t="s">
        <v>40</v>
      </c>
      <c r="X320">
        <v>22</v>
      </c>
      <c r="Y320">
        <v>4</v>
      </c>
      <c r="Z320">
        <v>2</v>
      </c>
      <c r="AA320">
        <v>80</v>
      </c>
      <c r="AB320">
        <v>3</v>
      </c>
      <c r="AC320">
        <v>7</v>
      </c>
      <c r="AD320">
        <v>6</v>
      </c>
      <c r="AE320">
        <v>2</v>
      </c>
      <c r="AF320">
        <v>5</v>
      </c>
      <c r="AG320">
        <v>3</v>
      </c>
      <c r="AH320">
        <v>0</v>
      </c>
      <c r="AI320">
        <v>4</v>
      </c>
    </row>
    <row r="321" spans="1:35" x14ac:dyDescent="0.3">
      <c r="A321">
        <v>34</v>
      </c>
      <c r="B321" t="s">
        <v>40</v>
      </c>
      <c r="C321" t="s">
        <v>33</v>
      </c>
      <c r="D321">
        <v>1303</v>
      </c>
      <c r="E321" t="s">
        <v>42</v>
      </c>
      <c r="F321">
        <v>2</v>
      </c>
      <c r="G321">
        <v>4</v>
      </c>
      <c r="H321" t="s">
        <v>35</v>
      </c>
      <c r="I321">
        <v>1</v>
      </c>
      <c r="J321">
        <v>579</v>
      </c>
      <c r="K321">
        <v>4</v>
      </c>
      <c r="L321" s="17" t="s">
        <v>43</v>
      </c>
      <c r="M321">
        <v>62</v>
      </c>
      <c r="N321">
        <v>2</v>
      </c>
      <c r="O321">
        <v>1</v>
      </c>
      <c r="P321" t="s">
        <v>44</v>
      </c>
      <c r="Q321">
        <v>3</v>
      </c>
      <c r="R321" t="s">
        <v>49</v>
      </c>
      <c r="S321" s="6">
        <v>2768</v>
      </c>
      <c r="T321">
        <v>8416</v>
      </c>
      <c r="U321">
        <v>3</v>
      </c>
      <c r="V321" t="s">
        <v>39</v>
      </c>
      <c r="W321" t="s">
        <v>40</v>
      </c>
      <c r="X321">
        <v>12</v>
      </c>
      <c r="Y321">
        <v>3</v>
      </c>
      <c r="Z321">
        <v>3</v>
      </c>
      <c r="AA321">
        <v>80</v>
      </c>
      <c r="AB321">
        <v>1</v>
      </c>
      <c r="AC321">
        <v>14</v>
      </c>
      <c r="AD321">
        <v>3</v>
      </c>
      <c r="AE321">
        <v>3</v>
      </c>
      <c r="AF321">
        <v>7</v>
      </c>
      <c r="AG321">
        <v>3</v>
      </c>
      <c r="AH321">
        <v>5</v>
      </c>
      <c r="AI321">
        <v>7</v>
      </c>
    </row>
    <row r="322" spans="1:35" x14ac:dyDescent="0.3">
      <c r="A322">
        <v>22</v>
      </c>
      <c r="B322" t="s">
        <v>40</v>
      </c>
      <c r="C322" t="s">
        <v>33</v>
      </c>
      <c r="D322">
        <v>604</v>
      </c>
      <c r="E322" t="s">
        <v>42</v>
      </c>
      <c r="F322">
        <v>6</v>
      </c>
      <c r="G322">
        <v>1</v>
      </c>
      <c r="H322" t="s">
        <v>48</v>
      </c>
      <c r="I322">
        <v>1</v>
      </c>
      <c r="J322">
        <v>675</v>
      </c>
      <c r="K322">
        <v>1</v>
      </c>
      <c r="L322" s="17" t="s">
        <v>43</v>
      </c>
      <c r="M322">
        <v>69</v>
      </c>
      <c r="N322">
        <v>3</v>
      </c>
      <c r="O322">
        <v>1</v>
      </c>
      <c r="P322" t="s">
        <v>44</v>
      </c>
      <c r="Q322">
        <v>3</v>
      </c>
      <c r="R322" t="s">
        <v>45</v>
      </c>
      <c r="S322" s="6">
        <v>2773</v>
      </c>
      <c r="T322">
        <v>12145</v>
      </c>
      <c r="U322">
        <v>0</v>
      </c>
      <c r="V322" t="s">
        <v>39</v>
      </c>
      <c r="W322" t="s">
        <v>40</v>
      </c>
      <c r="X322">
        <v>20</v>
      </c>
      <c r="Y322">
        <v>4</v>
      </c>
      <c r="Z322">
        <v>4</v>
      </c>
      <c r="AA322">
        <v>80</v>
      </c>
      <c r="AB322">
        <v>0</v>
      </c>
      <c r="AC322">
        <v>3</v>
      </c>
      <c r="AD322">
        <v>3</v>
      </c>
      <c r="AE322">
        <v>3</v>
      </c>
      <c r="AF322">
        <v>2</v>
      </c>
      <c r="AG322">
        <v>2</v>
      </c>
      <c r="AH322">
        <v>2</v>
      </c>
      <c r="AI322">
        <v>2</v>
      </c>
    </row>
    <row r="323" spans="1:35" x14ac:dyDescent="0.3">
      <c r="A323">
        <v>24</v>
      </c>
      <c r="B323" t="s">
        <v>40</v>
      </c>
      <c r="C323" t="s">
        <v>33</v>
      </c>
      <c r="D323">
        <v>1127</v>
      </c>
      <c r="E323" t="s">
        <v>42</v>
      </c>
      <c r="F323">
        <v>18</v>
      </c>
      <c r="G323">
        <v>1</v>
      </c>
      <c r="H323" t="s">
        <v>35</v>
      </c>
      <c r="I323">
        <v>1</v>
      </c>
      <c r="J323">
        <v>150</v>
      </c>
      <c r="K323">
        <v>2</v>
      </c>
      <c r="L323" s="17" t="s">
        <v>43</v>
      </c>
      <c r="M323">
        <v>52</v>
      </c>
      <c r="N323">
        <v>3</v>
      </c>
      <c r="O323">
        <v>1</v>
      </c>
      <c r="P323" t="s">
        <v>47</v>
      </c>
      <c r="Q323">
        <v>3</v>
      </c>
      <c r="R323" t="s">
        <v>45</v>
      </c>
      <c r="S323" s="6">
        <v>2774</v>
      </c>
      <c r="T323">
        <v>13257</v>
      </c>
      <c r="U323">
        <v>0</v>
      </c>
      <c r="V323" t="s">
        <v>39</v>
      </c>
      <c r="W323" t="s">
        <v>40</v>
      </c>
      <c r="X323">
        <v>12</v>
      </c>
      <c r="Y323">
        <v>3</v>
      </c>
      <c r="Z323">
        <v>3</v>
      </c>
      <c r="AA323">
        <v>80</v>
      </c>
      <c r="AB323">
        <v>1</v>
      </c>
      <c r="AC323">
        <v>6</v>
      </c>
      <c r="AD323">
        <v>2</v>
      </c>
      <c r="AE323">
        <v>3</v>
      </c>
      <c r="AF323">
        <v>5</v>
      </c>
      <c r="AG323">
        <v>3</v>
      </c>
      <c r="AH323">
        <v>1</v>
      </c>
      <c r="AI323">
        <v>2</v>
      </c>
    </row>
    <row r="324" spans="1:35" x14ac:dyDescent="0.3">
      <c r="A324">
        <v>41</v>
      </c>
      <c r="B324" t="s">
        <v>32</v>
      </c>
      <c r="C324" t="s">
        <v>33</v>
      </c>
      <c r="D324">
        <v>1085</v>
      </c>
      <c r="E324" t="s">
        <v>42</v>
      </c>
      <c r="F324">
        <v>2</v>
      </c>
      <c r="G324">
        <v>4</v>
      </c>
      <c r="H324" t="s">
        <v>35</v>
      </c>
      <c r="I324">
        <v>1</v>
      </c>
      <c r="J324">
        <v>927</v>
      </c>
      <c r="K324">
        <v>2</v>
      </c>
      <c r="L324" s="17" t="s">
        <v>36</v>
      </c>
      <c r="M324">
        <v>57</v>
      </c>
      <c r="N324">
        <v>1</v>
      </c>
      <c r="O324">
        <v>1</v>
      </c>
      <c r="P324" t="s">
        <v>47</v>
      </c>
      <c r="Q324">
        <v>4</v>
      </c>
      <c r="R324" t="s">
        <v>49</v>
      </c>
      <c r="S324" s="6">
        <v>2778</v>
      </c>
      <c r="T324">
        <v>17725</v>
      </c>
      <c r="U324">
        <v>4</v>
      </c>
      <c r="V324" t="s">
        <v>39</v>
      </c>
      <c r="W324" t="s">
        <v>32</v>
      </c>
      <c r="X324">
        <v>13</v>
      </c>
      <c r="Y324">
        <v>3</v>
      </c>
      <c r="Z324">
        <v>3</v>
      </c>
      <c r="AA324">
        <v>80</v>
      </c>
      <c r="AB324">
        <v>1</v>
      </c>
      <c r="AC324">
        <v>10</v>
      </c>
      <c r="AD324">
        <v>1</v>
      </c>
      <c r="AE324">
        <v>2</v>
      </c>
      <c r="AF324">
        <v>7</v>
      </c>
      <c r="AG324">
        <v>7</v>
      </c>
      <c r="AH324">
        <v>1</v>
      </c>
      <c r="AI324">
        <v>0</v>
      </c>
    </row>
    <row r="325" spans="1:35" x14ac:dyDescent="0.3">
      <c r="A325">
        <v>33</v>
      </c>
      <c r="B325" t="s">
        <v>40</v>
      </c>
      <c r="C325" t="s">
        <v>33</v>
      </c>
      <c r="D325">
        <v>117</v>
      </c>
      <c r="E325" t="s">
        <v>42</v>
      </c>
      <c r="F325">
        <v>9</v>
      </c>
      <c r="G325">
        <v>3</v>
      </c>
      <c r="H325" t="s">
        <v>48</v>
      </c>
      <c r="I325">
        <v>1</v>
      </c>
      <c r="J325">
        <v>1238</v>
      </c>
      <c r="K325">
        <v>1</v>
      </c>
      <c r="L325" s="17" t="s">
        <v>43</v>
      </c>
      <c r="M325">
        <v>60</v>
      </c>
      <c r="N325">
        <v>3</v>
      </c>
      <c r="O325">
        <v>1</v>
      </c>
      <c r="P325" t="s">
        <v>44</v>
      </c>
      <c r="Q325">
        <v>4</v>
      </c>
      <c r="R325" t="s">
        <v>45</v>
      </c>
      <c r="S325" s="6">
        <v>2781</v>
      </c>
      <c r="T325">
        <v>6311</v>
      </c>
      <c r="U325">
        <v>0</v>
      </c>
      <c r="V325" t="s">
        <v>39</v>
      </c>
      <c r="W325" t="s">
        <v>40</v>
      </c>
      <c r="X325">
        <v>13</v>
      </c>
      <c r="Y325">
        <v>3</v>
      </c>
      <c r="Z325">
        <v>2</v>
      </c>
      <c r="AA325">
        <v>80</v>
      </c>
      <c r="AB325">
        <v>1</v>
      </c>
      <c r="AC325">
        <v>15</v>
      </c>
      <c r="AD325">
        <v>5</v>
      </c>
      <c r="AE325">
        <v>3</v>
      </c>
      <c r="AF325">
        <v>14</v>
      </c>
      <c r="AG325">
        <v>10</v>
      </c>
      <c r="AH325">
        <v>4</v>
      </c>
      <c r="AI325">
        <v>10</v>
      </c>
    </row>
    <row r="326" spans="1:35" x14ac:dyDescent="0.3">
      <c r="A326">
        <v>37</v>
      </c>
      <c r="B326" t="s">
        <v>40</v>
      </c>
      <c r="C326" t="s">
        <v>33</v>
      </c>
      <c r="D326">
        <v>571</v>
      </c>
      <c r="E326" t="s">
        <v>42</v>
      </c>
      <c r="F326">
        <v>10</v>
      </c>
      <c r="G326">
        <v>1</v>
      </c>
      <c r="H326" t="s">
        <v>35</v>
      </c>
      <c r="I326">
        <v>1</v>
      </c>
      <c r="J326">
        <v>802</v>
      </c>
      <c r="K326">
        <v>4</v>
      </c>
      <c r="L326" s="17" t="s">
        <v>36</v>
      </c>
      <c r="M326">
        <v>82</v>
      </c>
      <c r="N326">
        <v>3</v>
      </c>
      <c r="O326">
        <v>1</v>
      </c>
      <c r="P326" t="s">
        <v>44</v>
      </c>
      <c r="Q326">
        <v>1</v>
      </c>
      <c r="R326" t="s">
        <v>49</v>
      </c>
      <c r="S326" s="6">
        <v>2782</v>
      </c>
      <c r="T326">
        <v>19905</v>
      </c>
      <c r="U326">
        <v>0</v>
      </c>
      <c r="V326" t="s">
        <v>39</v>
      </c>
      <c r="W326" t="s">
        <v>32</v>
      </c>
      <c r="X326">
        <v>13</v>
      </c>
      <c r="Y326">
        <v>3</v>
      </c>
      <c r="Z326">
        <v>2</v>
      </c>
      <c r="AA326">
        <v>80</v>
      </c>
      <c r="AB326">
        <v>2</v>
      </c>
      <c r="AC326">
        <v>6</v>
      </c>
      <c r="AD326">
        <v>3</v>
      </c>
      <c r="AE326">
        <v>2</v>
      </c>
      <c r="AF326">
        <v>5</v>
      </c>
      <c r="AG326">
        <v>3</v>
      </c>
      <c r="AH326">
        <v>4</v>
      </c>
      <c r="AI326">
        <v>3</v>
      </c>
    </row>
    <row r="327" spans="1:35" x14ac:dyDescent="0.3">
      <c r="A327">
        <v>41</v>
      </c>
      <c r="B327" t="s">
        <v>40</v>
      </c>
      <c r="C327" t="s">
        <v>33</v>
      </c>
      <c r="D327">
        <v>642</v>
      </c>
      <c r="E327" t="s">
        <v>42</v>
      </c>
      <c r="F327">
        <v>1</v>
      </c>
      <c r="G327">
        <v>3</v>
      </c>
      <c r="H327" t="s">
        <v>35</v>
      </c>
      <c r="I327">
        <v>1</v>
      </c>
      <c r="J327">
        <v>1999</v>
      </c>
      <c r="K327">
        <v>4</v>
      </c>
      <c r="L327" s="17" t="s">
        <v>43</v>
      </c>
      <c r="M327">
        <v>76</v>
      </c>
      <c r="N327">
        <v>3</v>
      </c>
      <c r="O327">
        <v>1</v>
      </c>
      <c r="P327" t="s">
        <v>44</v>
      </c>
      <c r="Q327">
        <v>4</v>
      </c>
      <c r="R327" t="s">
        <v>45</v>
      </c>
      <c r="S327" s="6">
        <v>2782</v>
      </c>
      <c r="T327">
        <v>21412</v>
      </c>
      <c r="U327">
        <v>3</v>
      </c>
      <c r="V327" t="s">
        <v>39</v>
      </c>
      <c r="W327" t="s">
        <v>40</v>
      </c>
      <c r="X327">
        <v>22</v>
      </c>
      <c r="Y327">
        <v>4</v>
      </c>
      <c r="Z327">
        <v>1</v>
      </c>
      <c r="AA327">
        <v>80</v>
      </c>
      <c r="AB327">
        <v>1</v>
      </c>
      <c r="AC327">
        <v>12</v>
      </c>
      <c r="AD327">
        <v>3</v>
      </c>
      <c r="AE327">
        <v>3</v>
      </c>
      <c r="AF327">
        <v>5</v>
      </c>
      <c r="AG327">
        <v>3</v>
      </c>
      <c r="AH327">
        <v>1</v>
      </c>
      <c r="AI327">
        <v>0</v>
      </c>
    </row>
    <row r="328" spans="1:35" x14ac:dyDescent="0.3">
      <c r="A328">
        <v>20</v>
      </c>
      <c r="B328" t="s">
        <v>40</v>
      </c>
      <c r="C328" t="s">
        <v>33</v>
      </c>
      <c r="D328">
        <v>1141</v>
      </c>
      <c r="E328" t="s">
        <v>34</v>
      </c>
      <c r="F328">
        <v>2</v>
      </c>
      <c r="G328">
        <v>3</v>
      </c>
      <c r="H328" t="s">
        <v>48</v>
      </c>
      <c r="I328">
        <v>1</v>
      </c>
      <c r="J328">
        <v>1657</v>
      </c>
      <c r="K328">
        <v>3</v>
      </c>
      <c r="L328" s="17" t="s">
        <v>36</v>
      </c>
      <c r="M328">
        <v>31</v>
      </c>
      <c r="N328">
        <v>3</v>
      </c>
      <c r="O328">
        <v>1</v>
      </c>
      <c r="P328" t="s">
        <v>54</v>
      </c>
      <c r="Q328">
        <v>3</v>
      </c>
      <c r="R328" t="s">
        <v>38</v>
      </c>
      <c r="S328" s="6">
        <v>2783</v>
      </c>
      <c r="T328">
        <v>13251</v>
      </c>
      <c r="U328">
        <v>1</v>
      </c>
      <c r="V328" t="s">
        <v>39</v>
      </c>
      <c r="W328" t="s">
        <v>40</v>
      </c>
      <c r="X328">
        <v>19</v>
      </c>
      <c r="Y328">
        <v>3</v>
      </c>
      <c r="Z328">
        <v>1</v>
      </c>
      <c r="AA328">
        <v>80</v>
      </c>
      <c r="AB328">
        <v>0</v>
      </c>
      <c r="AC328">
        <v>2</v>
      </c>
      <c r="AD328">
        <v>3</v>
      </c>
      <c r="AE328">
        <v>3</v>
      </c>
      <c r="AF328">
        <v>2</v>
      </c>
      <c r="AG328">
        <v>2</v>
      </c>
      <c r="AH328">
        <v>2</v>
      </c>
      <c r="AI328">
        <v>2</v>
      </c>
    </row>
    <row r="329" spans="1:35" x14ac:dyDescent="0.3">
      <c r="A329">
        <v>31</v>
      </c>
      <c r="B329" t="s">
        <v>32</v>
      </c>
      <c r="C329" t="s">
        <v>41</v>
      </c>
      <c r="D329">
        <v>703</v>
      </c>
      <c r="E329" t="s">
        <v>34</v>
      </c>
      <c r="F329">
        <v>2</v>
      </c>
      <c r="G329">
        <v>3</v>
      </c>
      <c r="H329" t="s">
        <v>35</v>
      </c>
      <c r="I329">
        <v>1</v>
      </c>
      <c r="J329">
        <v>1379</v>
      </c>
      <c r="K329">
        <v>3</v>
      </c>
      <c r="L329" s="17" t="s">
        <v>36</v>
      </c>
      <c r="M329">
        <v>90</v>
      </c>
      <c r="N329">
        <v>2</v>
      </c>
      <c r="O329">
        <v>1</v>
      </c>
      <c r="P329" t="s">
        <v>54</v>
      </c>
      <c r="Q329">
        <v>4</v>
      </c>
      <c r="R329" t="s">
        <v>38</v>
      </c>
      <c r="S329" s="6">
        <v>2785</v>
      </c>
      <c r="T329">
        <v>11882</v>
      </c>
      <c r="U329">
        <v>7</v>
      </c>
      <c r="V329" t="s">
        <v>39</v>
      </c>
      <c r="W329" t="s">
        <v>40</v>
      </c>
      <c r="X329">
        <v>14</v>
      </c>
      <c r="Y329">
        <v>3</v>
      </c>
      <c r="Z329">
        <v>3</v>
      </c>
      <c r="AA329">
        <v>80</v>
      </c>
      <c r="AB329">
        <v>0</v>
      </c>
      <c r="AC329">
        <v>3</v>
      </c>
      <c r="AD329">
        <v>3</v>
      </c>
      <c r="AE329">
        <v>4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31</v>
      </c>
      <c r="B330" t="s">
        <v>40</v>
      </c>
      <c r="C330" t="s">
        <v>41</v>
      </c>
      <c r="D330">
        <v>444</v>
      </c>
      <c r="E330" t="s">
        <v>34</v>
      </c>
      <c r="F330">
        <v>5</v>
      </c>
      <c r="G330">
        <v>3</v>
      </c>
      <c r="H330" t="s">
        <v>56</v>
      </c>
      <c r="I330">
        <v>1</v>
      </c>
      <c r="J330">
        <v>399</v>
      </c>
      <c r="K330">
        <v>4</v>
      </c>
      <c r="L330" s="17" t="s">
        <v>36</v>
      </c>
      <c r="M330">
        <v>84</v>
      </c>
      <c r="N330">
        <v>3</v>
      </c>
      <c r="O330">
        <v>1</v>
      </c>
      <c r="P330" t="s">
        <v>54</v>
      </c>
      <c r="Q330">
        <v>2</v>
      </c>
      <c r="R330" t="s">
        <v>49</v>
      </c>
      <c r="S330" s="6">
        <v>2789</v>
      </c>
      <c r="T330">
        <v>3909</v>
      </c>
      <c r="U330">
        <v>1</v>
      </c>
      <c r="V330" t="s">
        <v>39</v>
      </c>
      <c r="W330" t="s">
        <v>40</v>
      </c>
      <c r="X330">
        <v>11</v>
      </c>
      <c r="Y330">
        <v>3</v>
      </c>
      <c r="Z330">
        <v>3</v>
      </c>
      <c r="AA330">
        <v>80</v>
      </c>
      <c r="AB330">
        <v>1</v>
      </c>
      <c r="AC330">
        <v>2</v>
      </c>
      <c r="AD330">
        <v>5</v>
      </c>
      <c r="AE330">
        <v>2</v>
      </c>
      <c r="AF330">
        <v>2</v>
      </c>
      <c r="AG330">
        <v>2</v>
      </c>
      <c r="AH330">
        <v>2</v>
      </c>
      <c r="AI330">
        <v>2</v>
      </c>
    </row>
    <row r="331" spans="1:35" x14ac:dyDescent="0.3">
      <c r="A331">
        <v>31</v>
      </c>
      <c r="B331" t="s">
        <v>40</v>
      </c>
      <c r="C331" t="s">
        <v>41</v>
      </c>
      <c r="D331">
        <v>793</v>
      </c>
      <c r="E331" t="s">
        <v>34</v>
      </c>
      <c r="F331">
        <v>20</v>
      </c>
      <c r="G331">
        <v>3</v>
      </c>
      <c r="H331" t="s">
        <v>35</v>
      </c>
      <c r="I331">
        <v>1</v>
      </c>
      <c r="J331">
        <v>1135</v>
      </c>
      <c r="K331">
        <v>3</v>
      </c>
      <c r="L331" s="17" t="s">
        <v>43</v>
      </c>
      <c r="M331">
        <v>67</v>
      </c>
      <c r="N331">
        <v>4</v>
      </c>
      <c r="O331">
        <v>1</v>
      </c>
      <c r="P331" t="s">
        <v>54</v>
      </c>
      <c r="Q331">
        <v>4</v>
      </c>
      <c r="R331" t="s">
        <v>45</v>
      </c>
      <c r="S331" s="6">
        <v>2791</v>
      </c>
      <c r="T331">
        <v>21981</v>
      </c>
      <c r="U331">
        <v>0</v>
      </c>
      <c r="V331" t="s">
        <v>39</v>
      </c>
      <c r="W331" t="s">
        <v>40</v>
      </c>
      <c r="X331">
        <v>12</v>
      </c>
      <c r="Y331">
        <v>3</v>
      </c>
      <c r="Z331">
        <v>1</v>
      </c>
      <c r="AA331">
        <v>80</v>
      </c>
      <c r="AB331">
        <v>1</v>
      </c>
      <c r="AC331">
        <v>3</v>
      </c>
      <c r="AD331">
        <v>4</v>
      </c>
      <c r="AE331">
        <v>3</v>
      </c>
      <c r="AF331">
        <v>2</v>
      </c>
      <c r="AG331">
        <v>2</v>
      </c>
      <c r="AH331">
        <v>2</v>
      </c>
      <c r="AI331">
        <v>2</v>
      </c>
    </row>
    <row r="332" spans="1:35" x14ac:dyDescent="0.3">
      <c r="A332">
        <v>37</v>
      </c>
      <c r="B332" t="s">
        <v>40</v>
      </c>
      <c r="C332" t="s">
        <v>41</v>
      </c>
      <c r="D332">
        <v>319</v>
      </c>
      <c r="E332" t="s">
        <v>34</v>
      </c>
      <c r="F332">
        <v>4</v>
      </c>
      <c r="G332">
        <v>4</v>
      </c>
      <c r="H332" t="s">
        <v>56</v>
      </c>
      <c r="I332">
        <v>1</v>
      </c>
      <c r="J332">
        <v>311</v>
      </c>
      <c r="K332">
        <v>1</v>
      </c>
      <c r="L332" s="17" t="s">
        <v>43</v>
      </c>
      <c r="M332">
        <v>41</v>
      </c>
      <c r="N332">
        <v>3</v>
      </c>
      <c r="O332">
        <v>1</v>
      </c>
      <c r="P332" t="s">
        <v>54</v>
      </c>
      <c r="Q332">
        <v>4</v>
      </c>
      <c r="R332" t="s">
        <v>49</v>
      </c>
      <c r="S332" s="6">
        <v>2793</v>
      </c>
      <c r="T332">
        <v>2539</v>
      </c>
      <c r="U332">
        <v>4</v>
      </c>
      <c r="V332" t="s">
        <v>39</v>
      </c>
      <c r="W332" t="s">
        <v>40</v>
      </c>
      <c r="X332">
        <v>17</v>
      </c>
      <c r="Y332">
        <v>3</v>
      </c>
      <c r="Z332">
        <v>3</v>
      </c>
      <c r="AA332">
        <v>80</v>
      </c>
      <c r="AB332">
        <v>1</v>
      </c>
      <c r="AC332">
        <v>13</v>
      </c>
      <c r="AD332">
        <v>2</v>
      </c>
      <c r="AE332">
        <v>3</v>
      </c>
      <c r="AF332">
        <v>9</v>
      </c>
      <c r="AG332">
        <v>8</v>
      </c>
      <c r="AH332">
        <v>5</v>
      </c>
      <c r="AI332">
        <v>8</v>
      </c>
    </row>
    <row r="333" spans="1:35" x14ac:dyDescent="0.3">
      <c r="A333">
        <v>32</v>
      </c>
      <c r="B333" t="s">
        <v>40</v>
      </c>
      <c r="C333" t="s">
        <v>41</v>
      </c>
      <c r="D333">
        <v>1311</v>
      </c>
      <c r="E333" t="s">
        <v>42</v>
      </c>
      <c r="F333">
        <v>7</v>
      </c>
      <c r="G333">
        <v>3</v>
      </c>
      <c r="H333" t="s">
        <v>35</v>
      </c>
      <c r="I333">
        <v>1</v>
      </c>
      <c r="J333">
        <v>359</v>
      </c>
      <c r="K333">
        <v>2</v>
      </c>
      <c r="L333" s="17" t="s">
        <v>43</v>
      </c>
      <c r="M333">
        <v>100</v>
      </c>
      <c r="N333">
        <v>4</v>
      </c>
      <c r="O333">
        <v>1</v>
      </c>
      <c r="P333" t="s">
        <v>47</v>
      </c>
      <c r="Q333">
        <v>2</v>
      </c>
      <c r="R333" t="s">
        <v>45</v>
      </c>
      <c r="S333" s="6">
        <v>2794</v>
      </c>
      <c r="T333">
        <v>26062</v>
      </c>
      <c r="U333">
        <v>1</v>
      </c>
      <c r="V333" t="s">
        <v>39</v>
      </c>
      <c r="W333" t="s">
        <v>40</v>
      </c>
      <c r="X333">
        <v>20</v>
      </c>
      <c r="Y333">
        <v>4</v>
      </c>
      <c r="Z333">
        <v>3</v>
      </c>
      <c r="AA333">
        <v>80</v>
      </c>
      <c r="AB333">
        <v>0</v>
      </c>
      <c r="AC333">
        <v>5</v>
      </c>
      <c r="AD333">
        <v>3</v>
      </c>
      <c r="AE333">
        <v>1</v>
      </c>
      <c r="AF333">
        <v>5</v>
      </c>
      <c r="AG333">
        <v>1</v>
      </c>
      <c r="AH333">
        <v>0</v>
      </c>
      <c r="AI333">
        <v>3</v>
      </c>
    </row>
    <row r="334" spans="1:35" x14ac:dyDescent="0.3">
      <c r="A334">
        <v>32</v>
      </c>
      <c r="B334" t="s">
        <v>32</v>
      </c>
      <c r="C334" t="s">
        <v>33</v>
      </c>
      <c r="D334">
        <v>374</v>
      </c>
      <c r="E334" t="s">
        <v>42</v>
      </c>
      <c r="F334">
        <v>25</v>
      </c>
      <c r="G334">
        <v>4</v>
      </c>
      <c r="H334" t="s">
        <v>35</v>
      </c>
      <c r="I334">
        <v>1</v>
      </c>
      <c r="J334">
        <v>911</v>
      </c>
      <c r="K334">
        <v>1</v>
      </c>
      <c r="L334" s="17" t="s">
        <v>43</v>
      </c>
      <c r="M334">
        <v>87</v>
      </c>
      <c r="N334">
        <v>3</v>
      </c>
      <c r="O334">
        <v>1</v>
      </c>
      <c r="P334" t="s">
        <v>47</v>
      </c>
      <c r="Q334">
        <v>4</v>
      </c>
      <c r="R334" t="s">
        <v>38</v>
      </c>
      <c r="S334" s="6">
        <v>2795</v>
      </c>
      <c r="T334">
        <v>18016</v>
      </c>
      <c r="U334">
        <v>1</v>
      </c>
      <c r="V334" t="s">
        <v>39</v>
      </c>
      <c r="W334" t="s">
        <v>32</v>
      </c>
      <c r="X334">
        <v>24</v>
      </c>
      <c r="Y334">
        <v>4</v>
      </c>
      <c r="Z334">
        <v>3</v>
      </c>
      <c r="AA334">
        <v>80</v>
      </c>
      <c r="AB334">
        <v>0</v>
      </c>
      <c r="AC334">
        <v>1</v>
      </c>
      <c r="AD334">
        <v>2</v>
      </c>
      <c r="AE334">
        <v>1</v>
      </c>
      <c r="AF334">
        <v>1</v>
      </c>
      <c r="AG334">
        <v>0</v>
      </c>
      <c r="AH334">
        <v>0</v>
      </c>
      <c r="AI334">
        <v>1</v>
      </c>
    </row>
    <row r="335" spans="1:35" x14ac:dyDescent="0.3">
      <c r="A335">
        <v>33</v>
      </c>
      <c r="B335" t="s">
        <v>40</v>
      </c>
      <c r="C335" t="s">
        <v>33</v>
      </c>
      <c r="D335">
        <v>1198</v>
      </c>
      <c r="E335" t="s">
        <v>42</v>
      </c>
      <c r="F335">
        <v>1</v>
      </c>
      <c r="G335">
        <v>4</v>
      </c>
      <c r="H335" t="s">
        <v>46</v>
      </c>
      <c r="I335">
        <v>1</v>
      </c>
      <c r="J335">
        <v>939</v>
      </c>
      <c r="K335">
        <v>3</v>
      </c>
      <c r="L335" s="17" t="s">
        <v>43</v>
      </c>
      <c r="M335">
        <v>100</v>
      </c>
      <c r="N335">
        <v>2</v>
      </c>
      <c r="O335">
        <v>1</v>
      </c>
      <c r="P335" t="s">
        <v>44</v>
      </c>
      <c r="Q335">
        <v>1</v>
      </c>
      <c r="R335" t="s">
        <v>38</v>
      </c>
      <c r="S335" s="6">
        <v>2799</v>
      </c>
      <c r="T335">
        <v>3339</v>
      </c>
      <c r="U335">
        <v>3</v>
      </c>
      <c r="V335" t="s">
        <v>39</v>
      </c>
      <c r="W335" t="s">
        <v>32</v>
      </c>
      <c r="X335">
        <v>11</v>
      </c>
      <c r="Y335">
        <v>3</v>
      </c>
      <c r="Z335">
        <v>2</v>
      </c>
      <c r="AA335">
        <v>80</v>
      </c>
      <c r="AB335">
        <v>0</v>
      </c>
      <c r="AC335">
        <v>6</v>
      </c>
      <c r="AD335">
        <v>1</v>
      </c>
      <c r="AE335">
        <v>3</v>
      </c>
      <c r="AF335">
        <v>3</v>
      </c>
      <c r="AG335">
        <v>2</v>
      </c>
      <c r="AH335">
        <v>0</v>
      </c>
      <c r="AI335">
        <v>2</v>
      </c>
    </row>
    <row r="336" spans="1:35" x14ac:dyDescent="0.3">
      <c r="A336">
        <v>29</v>
      </c>
      <c r="B336" t="s">
        <v>32</v>
      </c>
      <c r="C336" t="s">
        <v>33</v>
      </c>
      <c r="D336">
        <v>341</v>
      </c>
      <c r="E336" t="s">
        <v>34</v>
      </c>
      <c r="F336">
        <v>1</v>
      </c>
      <c r="G336">
        <v>3</v>
      </c>
      <c r="H336" t="s">
        <v>48</v>
      </c>
      <c r="I336">
        <v>1</v>
      </c>
      <c r="J336">
        <v>896</v>
      </c>
      <c r="K336">
        <v>2</v>
      </c>
      <c r="L336" s="17" t="s">
        <v>36</v>
      </c>
      <c r="M336">
        <v>48</v>
      </c>
      <c r="N336">
        <v>2</v>
      </c>
      <c r="O336">
        <v>1</v>
      </c>
      <c r="P336" t="s">
        <v>54</v>
      </c>
      <c r="Q336">
        <v>3</v>
      </c>
      <c r="R336" t="s">
        <v>49</v>
      </c>
      <c r="S336" s="6">
        <v>2800</v>
      </c>
      <c r="T336">
        <v>23522</v>
      </c>
      <c r="U336">
        <v>6</v>
      </c>
      <c r="V336" t="s">
        <v>39</v>
      </c>
      <c r="W336" t="s">
        <v>32</v>
      </c>
      <c r="X336">
        <v>19</v>
      </c>
      <c r="Y336">
        <v>3</v>
      </c>
      <c r="Z336">
        <v>3</v>
      </c>
      <c r="AA336">
        <v>80</v>
      </c>
      <c r="AB336">
        <v>3</v>
      </c>
      <c r="AC336">
        <v>5</v>
      </c>
      <c r="AD336">
        <v>3</v>
      </c>
      <c r="AE336">
        <v>3</v>
      </c>
      <c r="AF336">
        <v>3</v>
      </c>
      <c r="AG336">
        <v>2</v>
      </c>
      <c r="AH336">
        <v>0</v>
      </c>
      <c r="AI336">
        <v>2</v>
      </c>
    </row>
    <row r="337" spans="1:35" x14ac:dyDescent="0.3">
      <c r="A337">
        <v>29</v>
      </c>
      <c r="B337" t="s">
        <v>40</v>
      </c>
      <c r="C337" t="s">
        <v>33</v>
      </c>
      <c r="D337">
        <v>352</v>
      </c>
      <c r="E337" t="s">
        <v>58</v>
      </c>
      <c r="F337">
        <v>6</v>
      </c>
      <c r="G337">
        <v>1</v>
      </c>
      <c r="H337" t="s">
        <v>48</v>
      </c>
      <c r="I337">
        <v>1</v>
      </c>
      <c r="J337">
        <v>1865</v>
      </c>
      <c r="K337">
        <v>4</v>
      </c>
      <c r="L337" s="17" t="s">
        <v>43</v>
      </c>
      <c r="M337">
        <v>87</v>
      </c>
      <c r="N337">
        <v>2</v>
      </c>
      <c r="O337">
        <v>1</v>
      </c>
      <c r="P337" t="s">
        <v>58</v>
      </c>
      <c r="Q337">
        <v>2</v>
      </c>
      <c r="R337" t="s">
        <v>45</v>
      </c>
      <c r="S337" s="6">
        <v>2804</v>
      </c>
      <c r="T337">
        <v>15434</v>
      </c>
      <c r="U337">
        <v>1</v>
      </c>
      <c r="V337" t="s">
        <v>39</v>
      </c>
      <c r="W337" t="s">
        <v>40</v>
      </c>
      <c r="X337">
        <v>11</v>
      </c>
      <c r="Y337">
        <v>3</v>
      </c>
      <c r="Z337">
        <v>4</v>
      </c>
      <c r="AA337">
        <v>80</v>
      </c>
      <c r="AB337">
        <v>0</v>
      </c>
      <c r="AC337">
        <v>1</v>
      </c>
      <c r="AD337">
        <v>3</v>
      </c>
      <c r="AE337">
        <v>3</v>
      </c>
      <c r="AF337">
        <v>1</v>
      </c>
      <c r="AG337">
        <v>0</v>
      </c>
      <c r="AH337">
        <v>0</v>
      </c>
      <c r="AI337">
        <v>0</v>
      </c>
    </row>
    <row r="338" spans="1:35" x14ac:dyDescent="0.3">
      <c r="A338">
        <v>40</v>
      </c>
      <c r="B338" t="s">
        <v>40</v>
      </c>
      <c r="C338" t="s">
        <v>33</v>
      </c>
      <c r="D338">
        <v>1322</v>
      </c>
      <c r="E338" t="s">
        <v>42</v>
      </c>
      <c r="F338">
        <v>2</v>
      </c>
      <c r="G338">
        <v>4</v>
      </c>
      <c r="H338" t="s">
        <v>35</v>
      </c>
      <c r="I338">
        <v>1</v>
      </c>
      <c r="J338">
        <v>2048</v>
      </c>
      <c r="K338">
        <v>3</v>
      </c>
      <c r="L338" s="17" t="s">
        <v>43</v>
      </c>
      <c r="M338">
        <v>52</v>
      </c>
      <c r="N338">
        <v>2</v>
      </c>
      <c r="O338">
        <v>1</v>
      </c>
      <c r="P338" t="s">
        <v>44</v>
      </c>
      <c r="Q338">
        <v>3</v>
      </c>
      <c r="R338" t="s">
        <v>38</v>
      </c>
      <c r="S338" s="6">
        <v>2809</v>
      </c>
      <c r="T338">
        <v>2725</v>
      </c>
      <c r="U338">
        <v>2</v>
      </c>
      <c r="V338" t="s">
        <v>39</v>
      </c>
      <c r="W338" t="s">
        <v>40</v>
      </c>
      <c r="X338">
        <v>14</v>
      </c>
      <c r="Y338">
        <v>3</v>
      </c>
      <c r="Z338">
        <v>4</v>
      </c>
      <c r="AA338">
        <v>80</v>
      </c>
      <c r="AB338">
        <v>0</v>
      </c>
      <c r="AC338">
        <v>8</v>
      </c>
      <c r="AD338">
        <v>2</v>
      </c>
      <c r="AE338">
        <v>3</v>
      </c>
      <c r="AF338">
        <v>2</v>
      </c>
      <c r="AG338">
        <v>2</v>
      </c>
      <c r="AH338">
        <v>2</v>
      </c>
      <c r="AI338">
        <v>2</v>
      </c>
    </row>
    <row r="339" spans="1:35" x14ac:dyDescent="0.3">
      <c r="A339">
        <v>36</v>
      </c>
      <c r="B339" t="s">
        <v>40</v>
      </c>
      <c r="C339" t="s">
        <v>52</v>
      </c>
      <c r="D339">
        <v>1351</v>
      </c>
      <c r="E339" t="s">
        <v>42</v>
      </c>
      <c r="F339">
        <v>9</v>
      </c>
      <c r="G339">
        <v>4</v>
      </c>
      <c r="H339" t="s">
        <v>35</v>
      </c>
      <c r="I339">
        <v>1</v>
      </c>
      <c r="J339">
        <v>1949</v>
      </c>
      <c r="K339">
        <v>1</v>
      </c>
      <c r="L339" s="17" t="s">
        <v>43</v>
      </c>
      <c r="M339">
        <v>66</v>
      </c>
      <c r="N339">
        <v>4</v>
      </c>
      <c r="O339">
        <v>1</v>
      </c>
      <c r="P339" t="s">
        <v>47</v>
      </c>
      <c r="Q339">
        <v>2</v>
      </c>
      <c r="R339" t="s">
        <v>45</v>
      </c>
      <c r="S339" s="6">
        <v>2810</v>
      </c>
      <c r="T339">
        <v>9238</v>
      </c>
      <c r="U339">
        <v>1</v>
      </c>
      <c r="V339" t="s">
        <v>39</v>
      </c>
      <c r="W339" t="s">
        <v>40</v>
      </c>
      <c r="X339">
        <v>22</v>
      </c>
      <c r="Y339">
        <v>4</v>
      </c>
      <c r="Z339">
        <v>2</v>
      </c>
      <c r="AA339">
        <v>80</v>
      </c>
      <c r="AB339">
        <v>0</v>
      </c>
      <c r="AC339">
        <v>5</v>
      </c>
      <c r="AD339">
        <v>3</v>
      </c>
      <c r="AE339">
        <v>3</v>
      </c>
      <c r="AF339">
        <v>5</v>
      </c>
      <c r="AG339">
        <v>4</v>
      </c>
      <c r="AH339">
        <v>0</v>
      </c>
      <c r="AI339">
        <v>2</v>
      </c>
    </row>
    <row r="340" spans="1:35" x14ac:dyDescent="0.3">
      <c r="A340">
        <v>27</v>
      </c>
      <c r="B340" t="s">
        <v>40</v>
      </c>
      <c r="C340" t="s">
        <v>33</v>
      </c>
      <c r="D340">
        <v>1134</v>
      </c>
      <c r="E340" t="s">
        <v>42</v>
      </c>
      <c r="F340">
        <v>16</v>
      </c>
      <c r="G340">
        <v>4</v>
      </c>
      <c r="H340" t="s">
        <v>57</v>
      </c>
      <c r="I340">
        <v>1</v>
      </c>
      <c r="J340">
        <v>1001</v>
      </c>
      <c r="K340">
        <v>3</v>
      </c>
      <c r="L340" s="17" t="s">
        <v>36</v>
      </c>
      <c r="M340">
        <v>37</v>
      </c>
      <c r="N340">
        <v>3</v>
      </c>
      <c r="O340">
        <v>1</v>
      </c>
      <c r="P340" t="s">
        <v>47</v>
      </c>
      <c r="Q340">
        <v>2</v>
      </c>
      <c r="R340" t="s">
        <v>45</v>
      </c>
      <c r="S340" s="6">
        <v>2811</v>
      </c>
      <c r="T340">
        <v>12086</v>
      </c>
      <c r="U340">
        <v>9</v>
      </c>
      <c r="V340" t="s">
        <v>39</v>
      </c>
      <c r="W340" t="s">
        <v>40</v>
      </c>
      <c r="X340">
        <v>14</v>
      </c>
      <c r="Y340">
        <v>3</v>
      </c>
      <c r="Z340">
        <v>2</v>
      </c>
      <c r="AA340">
        <v>80</v>
      </c>
      <c r="AB340">
        <v>1</v>
      </c>
      <c r="AC340">
        <v>4</v>
      </c>
      <c r="AD340">
        <v>2</v>
      </c>
      <c r="AE340">
        <v>3</v>
      </c>
      <c r="AF340">
        <v>2</v>
      </c>
      <c r="AG340">
        <v>2</v>
      </c>
      <c r="AH340">
        <v>2</v>
      </c>
      <c r="AI340">
        <v>2</v>
      </c>
    </row>
    <row r="341" spans="1:35" x14ac:dyDescent="0.3">
      <c r="A341">
        <v>22</v>
      </c>
      <c r="B341" t="s">
        <v>40</v>
      </c>
      <c r="C341" t="s">
        <v>52</v>
      </c>
      <c r="D341">
        <v>457</v>
      </c>
      <c r="E341" t="s">
        <v>42</v>
      </c>
      <c r="F341">
        <v>26</v>
      </c>
      <c r="G341">
        <v>2</v>
      </c>
      <c r="H341" t="s">
        <v>46</v>
      </c>
      <c r="I341">
        <v>1</v>
      </c>
      <c r="J341">
        <v>1605</v>
      </c>
      <c r="K341">
        <v>2</v>
      </c>
      <c r="L341" s="17" t="s">
        <v>36</v>
      </c>
      <c r="M341">
        <v>85</v>
      </c>
      <c r="N341">
        <v>2</v>
      </c>
      <c r="O341">
        <v>1</v>
      </c>
      <c r="P341" t="s">
        <v>44</v>
      </c>
      <c r="Q341">
        <v>3</v>
      </c>
      <c r="R341" t="s">
        <v>45</v>
      </c>
      <c r="S341" s="6">
        <v>2814</v>
      </c>
      <c r="T341">
        <v>10293</v>
      </c>
      <c r="U341">
        <v>1</v>
      </c>
      <c r="V341" t="s">
        <v>39</v>
      </c>
      <c r="W341" t="s">
        <v>32</v>
      </c>
      <c r="X341">
        <v>14</v>
      </c>
      <c r="Y341">
        <v>3</v>
      </c>
      <c r="Z341">
        <v>2</v>
      </c>
      <c r="AA341">
        <v>80</v>
      </c>
      <c r="AB341">
        <v>0</v>
      </c>
      <c r="AC341">
        <v>4</v>
      </c>
      <c r="AD341">
        <v>2</v>
      </c>
      <c r="AE341">
        <v>2</v>
      </c>
      <c r="AF341">
        <v>4</v>
      </c>
      <c r="AG341">
        <v>2</v>
      </c>
      <c r="AH341">
        <v>1</v>
      </c>
      <c r="AI341">
        <v>3</v>
      </c>
    </row>
    <row r="342" spans="1:35" x14ac:dyDescent="0.3">
      <c r="A342">
        <v>44</v>
      </c>
      <c r="B342" t="s">
        <v>40</v>
      </c>
      <c r="C342" t="s">
        <v>33</v>
      </c>
      <c r="D342">
        <v>986</v>
      </c>
      <c r="E342" t="s">
        <v>42</v>
      </c>
      <c r="F342">
        <v>8</v>
      </c>
      <c r="G342">
        <v>4</v>
      </c>
      <c r="H342" t="s">
        <v>35</v>
      </c>
      <c r="I342">
        <v>1</v>
      </c>
      <c r="J342">
        <v>874</v>
      </c>
      <c r="K342">
        <v>1</v>
      </c>
      <c r="L342" s="17" t="s">
        <v>43</v>
      </c>
      <c r="M342">
        <v>62</v>
      </c>
      <c r="N342">
        <v>4</v>
      </c>
      <c r="O342">
        <v>1</v>
      </c>
      <c r="P342" t="s">
        <v>47</v>
      </c>
      <c r="Q342">
        <v>4</v>
      </c>
      <c r="R342" t="s">
        <v>45</v>
      </c>
      <c r="S342" s="6">
        <v>2818</v>
      </c>
      <c r="T342">
        <v>5044</v>
      </c>
      <c r="U342">
        <v>2</v>
      </c>
      <c r="V342" t="s">
        <v>39</v>
      </c>
      <c r="W342" t="s">
        <v>32</v>
      </c>
      <c r="X342">
        <v>24</v>
      </c>
      <c r="Y342">
        <v>4</v>
      </c>
      <c r="Z342">
        <v>3</v>
      </c>
      <c r="AA342">
        <v>80</v>
      </c>
      <c r="AB342">
        <v>1</v>
      </c>
      <c r="AC342">
        <v>10</v>
      </c>
      <c r="AD342">
        <v>2</v>
      </c>
      <c r="AE342">
        <v>2</v>
      </c>
      <c r="AF342">
        <v>3</v>
      </c>
      <c r="AG342">
        <v>2</v>
      </c>
      <c r="AH342">
        <v>0</v>
      </c>
      <c r="AI342">
        <v>2</v>
      </c>
    </row>
    <row r="343" spans="1:35" x14ac:dyDescent="0.3">
      <c r="A343">
        <v>23</v>
      </c>
      <c r="B343" t="s">
        <v>40</v>
      </c>
      <c r="C343" t="s">
        <v>33</v>
      </c>
      <c r="D343">
        <v>885</v>
      </c>
      <c r="E343" t="s">
        <v>42</v>
      </c>
      <c r="F343">
        <v>4</v>
      </c>
      <c r="G343">
        <v>3</v>
      </c>
      <c r="H343" t="s">
        <v>48</v>
      </c>
      <c r="I343">
        <v>1</v>
      </c>
      <c r="J343">
        <v>705</v>
      </c>
      <c r="K343">
        <v>1</v>
      </c>
      <c r="L343" s="17" t="s">
        <v>43</v>
      </c>
      <c r="M343">
        <v>58</v>
      </c>
      <c r="N343">
        <v>4</v>
      </c>
      <c r="O343">
        <v>1</v>
      </c>
      <c r="P343" t="s">
        <v>44</v>
      </c>
      <c r="Q343">
        <v>1</v>
      </c>
      <c r="R343" t="s">
        <v>45</v>
      </c>
      <c r="S343" s="6">
        <v>2819</v>
      </c>
      <c r="T343">
        <v>8544</v>
      </c>
      <c r="U343">
        <v>2</v>
      </c>
      <c r="V343" t="s">
        <v>39</v>
      </c>
      <c r="W343" t="s">
        <v>40</v>
      </c>
      <c r="X343">
        <v>16</v>
      </c>
      <c r="Y343">
        <v>3</v>
      </c>
      <c r="Z343">
        <v>1</v>
      </c>
      <c r="AA343">
        <v>80</v>
      </c>
      <c r="AB343">
        <v>1</v>
      </c>
      <c r="AC343">
        <v>5</v>
      </c>
      <c r="AD343">
        <v>3</v>
      </c>
      <c r="AE343">
        <v>4</v>
      </c>
      <c r="AF343">
        <v>3</v>
      </c>
      <c r="AG343">
        <v>2</v>
      </c>
      <c r="AH343">
        <v>0</v>
      </c>
      <c r="AI343">
        <v>2</v>
      </c>
    </row>
    <row r="344" spans="1:35" x14ac:dyDescent="0.3">
      <c r="A344">
        <v>38</v>
      </c>
      <c r="B344" t="s">
        <v>40</v>
      </c>
      <c r="C344" t="s">
        <v>41</v>
      </c>
      <c r="D344">
        <v>1186</v>
      </c>
      <c r="E344" t="s">
        <v>42</v>
      </c>
      <c r="F344">
        <v>3</v>
      </c>
      <c r="G344">
        <v>4</v>
      </c>
      <c r="H344" t="s">
        <v>46</v>
      </c>
      <c r="I344">
        <v>1</v>
      </c>
      <c r="J344">
        <v>1060</v>
      </c>
      <c r="K344">
        <v>3</v>
      </c>
      <c r="L344" s="17" t="s">
        <v>43</v>
      </c>
      <c r="M344">
        <v>44</v>
      </c>
      <c r="N344">
        <v>3</v>
      </c>
      <c r="O344">
        <v>1</v>
      </c>
      <c r="P344" t="s">
        <v>44</v>
      </c>
      <c r="Q344">
        <v>3</v>
      </c>
      <c r="R344" t="s">
        <v>45</v>
      </c>
      <c r="S344" s="6">
        <v>2821</v>
      </c>
      <c r="T344">
        <v>2997</v>
      </c>
      <c r="U344">
        <v>3</v>
      </c>
      <c r="V344" t="s">
        <v>39</v>
      </c>
      <c r="W344" t="s">
        <v>40</v>
      </c>
      <c r="X344">
        <v>16</v>
      </c>
      <c r="Y344">
        <v>3</v>
      </c>
      <c r="Z344">
        <v>1</v>
      </c>
      <c r="AA344">
        <v>80</v>
      </c>
      <c r="AB344">
        <v>1</v>
      </c>
      <c r="AC344">
        <v>8</v>
      </c>
      <c r="AD344">
        <v>2</v>
      </c>
      <c r="AE344">
        <v>3</v>
      </c>
      <c r="AF344">
        <v>2</v>
      </c>
      <c r="AG344">
        <v>2</v>
      </c>
      <c r="AH344">
        <v>2</v>
      </c>
      <c r="AI344">
        <v>2</v>
      </c>
    </row>
    <row r="345" spans="1:35" x14ac:dyDescent="0.3">
      <c r="A345">
        <v>32</v>
      </c>
      <c r="B345" t="s">
        <v>40</v>
      </c>
      <c r="C345" t="s">
        <v>52</v>
      </c>
      <c r="D345">
        <v>862</v>
      </c>
      <c r="E345" t="s">
        <v>34</v>
      </c>
      <c r="F345">
        <v>2</v>
      </c>
      <c r="G345">
        <v>1</v>
      </c>
      <c r="H345" t="s">
        <v>35</v>
      </c>
      <c r="I345">
        <v>1</v>
      </c>
      <c r="J345">
        <v>1190</v>
      </c>
      <c r="K345">
        <v>3</v>
      </c>
      <c r="L345" s="17" t="s">
        <v>36</v>
      </c>
      <c r="M345">
        <v>76</v>
      </c>
      <c r="N345">
        <v>3</v>
      </c>
      <c r="O345">
        <v>1</v>
      </c>
      <c r="P345" t="s">
        <v>54</v>
      </c>
      <c r="Q345">
        <v>1</v>
      </c>
      <c r="R345" t="s">
        <v>49</v>
      </c>
      <c r="S345" s="6">
        <v>2827</v>
      </c>
      <c r="T345">
        <v>14947</v>
      </c>
      <c r="U345">
        <v>1</v>
      </c>
      <c r="V345" t="s">
        <v>39</v>
      </c>
      <c r="W345" t="s">
        <v>40</v>
      </c>
      <c r="X345">
        <v>12</v>
      </c>
      <c r="Y345">
        <v>3</v>
      </c>
      <c r="Z345">
        <v>3</v>
      </c>
      <c r="AA345">
        <v>80</v>
      </c>
      <c r="AB345">
        <v>3</v>
      </c>
      <c r="AC345">
        <v>1</v>
      </c>
      <c r="AD345">
        <v>3</v>
      </c>
      <c r="AE345">
        <v>3</v>
      </c>
      <c r="AF345">
        <v>1</v>
      </c>
      <c r="AG345">
        <v>0</v>
      </c>
      <c r="AH345">
        <v>0</v>
      </c>
      <c r="AI345">
        <v>0</v>
      </c>
    </row>
    <row r="346" spans="1:35" x14ac:dyDescent="0.3">
      <c r="A346">
        <v>36</v>
      </c>
      <c r="B346" t="s">
        <v>40</v>
      </c>
      <c r="C346" t="s">
        <v>33</v>
      </c>
      <c r="D346">
        <v>922</v>
      </c>
      <c r="E346" t="s">
        <v>42</v>
      </c>
      <c r="F346">
        <v>3</v>
      </c>
      <c r="G346">
        <v>2</v>
      </c>
      <c r="H346" t="s">
        <v>35</v>
      </c>
      <c r="I346">
        <v>1</v>
      </c>
      <c r="J346">
        <v>155</v>
      </c>
      <c r="K346">
        <v>1</v>
      </c>
      <c r="L346" s="17" t="s">
        <v>36</v>
      </c>
      <c r="M346">
        <v>39</v>
      </c>
      <c r="N346">
        <v>3</v>
      </c>
      <c r="O346">
        <v>1</v>
      </c>
      <c r="P346" t="s">
        <v>47</v>
      </c>
      <c r="Q346">
        <v>4</v>
      </c>
      <c r="R346" t="s">
        <v>49</v>
      </c>
      <c r="S346" s="6">
        <v>2835</v>
      </c>
      <c r="T346">
        <v>2561</v>
      </c>
      <c r="U346">
        <v>5</v>
      </c>
      <c r="V346" t="s">
        <v>39</v>
      </c>
      <c r="W346" t="s">
        <v>40</v>
      </c>
      <c r="X346">
        <v>22</v>
      </c>
      <c r="Y346">
        <v>4</v>
      </c>
      <c r="Z346">
        <v>1</v>
      </c>
      <c r="AA346">
        <v>80</v>
      </c>
      <c r="AB346">
        <v>1</v>
      </c>
      <c r="AC346">
        <v>7</v>
      </c>
      <c r="AD346">
        <v>2</v>
      </c>
      <c r="AE346">
        <v>3</v>
      </c>
      <c r="AF346">
        <v>1</v>
      </c>
      <c r="AG346">
        <v>0</v>
      </c>
      <c r="AH346">
        <v>0</v>
      </c>
      <c r="AI346">
        <v>0</v>
      </c>
    </row>
    <row r="347" spans="1:35" x14ac:dyDescent="0.3">
      <c r="A347">
        <v>20</v>
      </c>
      <c r="B347" t="s">
        <v>40</v>
      </c>
      <c r="C347" t="s">
        <v>33</v>
      </c>
      <c r="D347">
        <v>959</v>
      </c>
      <c r="E347" t="s">
        <v>42</v>
      </c>
      <c r="F347">
        <v>1</v>
      </c>
      <c r="G347">
        <v>3</v>
      </c>
      <c r="H347" t="s">
        <v>35</v>
      </c>
      <c r="I347">
        <v>1</v>
      </c>
      <c r="J347">
        <v>657</v>
      </c>
      <c r="K347">
        <v>4</v>
      </c>
      <c r="L347" s="17" t="s">
        <v>36</v>
      </c>
      <c r="M347">
        <v>83</v>
      </c>
      <c r="N347">
        <v>2</v>
      </c>
      <c r="O347">
        <v>1</v>
      </c>
      <c r="P347" t="s">
        <v>44</v>
      </c>
      <c r="Q347">
        <v>2</v>
      </c>
      <c r="R347" t="s">
        <v>38</v>
      </c>
      <c r="S347" s="6">
        <v>2836</v>
      </c>
      <c r="T347">
        <v>11757</v>
      </c>
      <c r="U347">
        <v>1</v>
      </c>
      <c r="V347" t="s">
        <v>39</v>
      </c>
      <c r="W347" t="s">
        <v>40</v>
      </c>
      <c r="X347">
        <v>13</v>
      </c>
      <c r="Y347">
        <v>3</v>
      </c>
      <c r="Z347">
        <v>4</v>
      </c>
      <c r="AA347">
        <v>80</v>
      </c>
      <c r="AB347">
        <v>0</v>
      </c>
      <c r="AC347">
        <v>1</v>
      </c>
      <c r="AD347">
        <v>0</v>
      </c>
      <c r="AE347">
        <v>4</v>
      </c>
      <c r="AF347">
        <v>1</v>
      </c>
      <c r="AG347">
        <v>0</v>
      </c>
      <c r="AH347">
        <v>0</v>
      </c>
      <c r="AI347">
        <v>0</v>
      </c>
    </row>
    <row r="348" spans="1:35" x14ac:dyDescent="0.3">
      <c r="A348">
        <v>32</v>
      </c>
      <c r="B348" t="s">
        <v>40</v>
      </c>
      <c r="C348" t="s">
        <v>33</v>
      </c>
      <c r="D348">
        <v>267</v>
      </c>
      <c r="E348" t="s">
        <v>42</v>
      </c>
      <c r="F348">
        <v>29</v>
      </c>
      <c r="G348">
        <v>4</v>
      </c>
      <c r="H348" t="s">
        <v>35</v>
      </c>
      <c r="I348">
        <v>1</v>
      </c>
      <c r="J348">
        <v>2010</v>
      </c>
      <c r="K348">
        <v>3</v>
      </c>
      <c r="L348" s="17" t="s">
        <v>36</v>
      </c>
      <c r="M348">
        <v>49</v>
      </c>
      <c r="N348">
        <v>2</v>
      </c>
      <c r="O348">
        <v>1</v>
      </c>
      <c r="P348" t="s">
        <v>47</v>
      </c>
      <c r="Q348">
        <v>2</v>
      </c>
      <c r="R348" t="s">
        <v>38</v>
      </c>
      <c r="S348" s="6">
        <v>2837</v>
      </c>
      <c r="T348">
        <v>15919</v>
      </c>
      <c r="U348">
        <v>1</v>
      </c>
      <c r="V348" t="s">
        <v>39</v>
      </c>
      <c r="W348" t="s">
        <v>40</v>
      </c>
      <c r="X348">
        <v>13</v>
      </c>
      <c r="Y348">
        <v>3</v>
      </c>
      <c r="Z348">
        <v>3</v>
      </c>
      <c r="AA348">
        <v>80</v>
      </c>
      <c r="AB348">
        <v>0</v>
      </c>
      <c r="AC348">
        <v>6</v>
      </c>
      <c r="AD348">
        <v>3</v>
      </c>
      <c r="AE348">
        <v>3</v>
      </c>
      <c r="AF348">
        <v>6</v>
      </c>
      <c r="AG348">
        <v>2</v>
      </c>
      <c r="AH348">
        <v>4</v>
      </c>
      <c r="AI348">
        <v>1</v>
      </c>
    </row>
    <row r="349" spans="1:35" x14ac:dyDescent="0.3">
      <c r="A349">
        <v>51</v>
      </c>
      <c r="B349" t="s">
        <v>40</v>
      </c>
      <c r="C349" t="s">
        <v>41</v>
      </c>
      <c r="D349">
        <v>968</v>
      </c>
      <c r="E349" t="s">
        <v>42</v>
      </c>
      <c r="F349">
        <v>6</v>
      </c>
      <c r="G349">
        <v>2</v>
      </c>
      <c r="H349" t="s">
        <v>48</v>
      </c>
      <c r="I349">
        <v>1</v>
      </c>
      <c r="J349">
        <v>1297</v>
      </c>
      <c r="K349">
        <v>2</v>
      </c>
      <c r="L349" s="17" t="s">
        <v>36</v>
      </c>
      <c r="M349">
        <v>40</v>
      </c>
      <c r="N349">
        <v>2</v>
      </c>
      <c r="O349">
        <v>1</v>
      </c>
      <c r="P349" t="s">
        <v>47</v>
      </c>
      <c r="Q349">
        <v>3</v>
      </c>
      <c r="R349" t="s">
        <v>38</v>
      </c>
      <c r="S349" s="6">
        <v>2838</v>
      </c>
      <c r="T349">
        <v>4257</v>
      </c>
      <c r="U349">
        <v>0</v>
      </c>
      <c r="V349" t="s">
        <v>39</v>
      </c>
      <c r="W349" t="s">
        <v>40</v>
      </c>
      <c r="X349">
        <v>14</v>
      </c>
      <c r="Y349">
        <v>3</v>
      </c>
      <c r="Z349">
        <v>2</v>
      </c>
      <c r="AA349">
        <v>80</v>
      </c>
      <c r="AB349">
        <v>0</v>
      </c>
      <c r="AC349">
        <v>8</v>
      </c>
      <c r="AD349">
        <v>6</v>
      </c>
      <c r="AE349">
        <v>2</v>
      </c>
      <c r="AF349">
        <v>7</v>
      </c>
      <c r="AG349">
        <v>0</v>
      </c>
      <c r="AH349">
        <v>7</v>
      </c>
      <c r="AI349">
        <v>7</v>
      </c>
    </row>
    <row r="350" spans="1:35" x14ac:dyDescent="0.3">
      <c r="A350">
        <v>38</v>
      </c>
      <c r="B350" t="s">
        <v>40</v>
      </c>
      <c r="C350" t="s">
        <v>33</v>
      </c>
      <c r="D350">
        <v>433</v>
      </c>
      <c r="E350" t="s">
        <v>58</v>
      </c>
      <c r="F350">
        <v>1</v>
      </c>
      <c r="G350">
        <v>3</v>
      </c>
      <c r="H350" t="s">
        <v>58</v>
      </c>
      <c r="I350">
        <v>1</v>
      </c>
      <c r="J350">
        <v>1152</v>
      </c>
      <c r="K350">
        <v>3</v>
      </c>
      <c r="L350" s="17" t="s">
        <v>43</v>
      </c>
      <c r="M350">
        <v>37</v>
      </c>
      <c r="N350">
        <v>4</v>
      </c>
      <c r="O350">
        <v>1</v>
      </c>
      <c r="P350" t="s">
        <v>58</v>
      </c>
      <c r="Q350">
        <v>3</v>
      </c>
      <c r="R350" t="s">
        <v>45</v>
      </c>
      <c r="S350" s="6">
        <v>2844</v>
      </c>
      <c r="T350">
        <v>6004</v>
      </c>
      <c r="U350">
        <v>1</v>
      </c>
      <c r="V350" t="s">
        <v>39</v>
      </c>
      <c r="W350" t="s">
        <v>40</v>
      </c>
      <c r="X350">
        <v>13</v>
      </c>
      <c r="Y350">
        <v>3</v>
      </c>
      <c r="Z350">
        <v>4</v>
      </c>
      <c r="AA350">
        <v>80</v>
      </c>
      <c r="AB350">
        <v>1</v>
      </c>
      <c r="AC350">
        <v>7</v>
      </c>
      <c r="AD350">
        <v>2</v>
      </c>
      <c r="AE350">
        <v>4</v>
      </c>
      <c r="AF350">
        <v>7</v>
      </c>
      <c r="AG350">
        <v>6</v>
      </c>
      <c r="AH350">
        <v>5</v>
      </c>
      <c r="AI350">
        <v>0</v>
      </c>
    </row>
    <row r="351" spans="1:35" x14ac:dyDescent="0.3">
      <c r="A351">
        <v>33</v>
      </c>
      <c r="B351" t="s">
        <v>32</v>
      </c>
      <c r="C351" t="s">
        <v>33</v>
      </c>
      <c r="D351">
        <v>350</v>
      </c>
      <c r="E351" t="s">
        <v>34</v>
      </c>
      <c r="F351">
        <v>5</v>
      </c>
      <c r="G351">
        <v>3</v>
      </c>
      <c r="H351" t="s">
        <v>56</v>
      </c>
      <c r="I351">
        <v>1</v>
      </c>
      <c r="J351">
        <v>485</v>
      </c>
      <c r="K351">
        <v>4</v>
      </c>
      <c r="L351" s="17" t="s">
        <v>36</v>
      </c>
      <c r="M351">
        <v>34</v>
      </c>
      <c r="N351">
        <v>3</v>
      </c>
      <c r="O351">
        <v>1</v>
      </c>
      <c r="P351" t="s">
        <v>54</v>
      </c>
      <c r="Q351">
        <v>3</v>
      </c>
      <c r="R351" t="s">
        <v>38</v>
      </c>
      <c r="S351" s="6">
        <v>2851</v>
      </c>
      <c r="T351">
        <v>9150</v>
      </c>
      <c r="U351">
        <v>1</v>
      </c>
      <c r="V351" t="s">
        <v>39</v>
      </c>
      <c r="W351" t="s">
        <v>32</v>
      </c>
      <c r="X351">
        <v>13</v>
      </c>
      <c r="Y351">
        <v>3</v>
      </c>
      <c r="Z351">
        <v>2</v>
      </c>
      <c r="AA351">
        <v>80</v>
      </c>
      <c r="AB351">
        <v>0</v>
      </c>
      <c r="AC351">
        <v>1</v>
      </c>
      <c r="AD351">
        <v>2</v>
      </c>
      <c r="AE351">
        <v>3</v>
      </c>
      <c r="AF351">
        <v>1</v>
      </c>
      <c r="AG351">
        <v>0</v>
      </c>
      <c r="AH351">
        <v>0</v>
      </c>
      <c r="AI351">
        <v>0</v>
      </c>
    </row>
    <row r="352" spans="1:35" x14ac:dyDescent="0.3">
      <c r="A352">
        <v>22</v>
      </c>
      <c r="B352" t="s">
        <v>32</v>
      </c>
      <c r="C352" t="s">
        <v>41</v>
      </c>
      <c r="D352">
        <v>1256</v>
      </c>
      <c r="E352" t="s">
        <v>42</v>
      </c>
      <c r="F352">
        <v>3</v>
      </c>
      <c r="G352">
        <v>4</v>
      </c>
      <c r="H352" t="s">
        <v>35</v>
      </c>
      <c r="I352">
        <v>1</v>
      </c>
      <c r="J352">
        <v>1203</v>
      </c>
      <c r="K352">
        <v>3</v>
      </c>
      <c r="L352" s="17" t="s">
        <v>43</v>
      </c>
      <c r="M352">
        <v>48</v>
      </c>
      <c r="N352">
        <v>2</v>
      </c>
      <c r="O352">
        <v>1</v>
      </c>
      <c r="P352" t="s">
        <v>44</v>
      </c>
      <c r="Q352">
        <v>4</v>
      </c>
      <c r="R352" t="s">
        <v>45</v>
      </c>
      <c r="S352" s="6">
        <v>2853</v>
      </c>
      <c r="T352">
        <v>4223</v>
      </c>
      <c r="U352">
        <v>0</v>
      </c>
      <c r="V352" t="s">
        <v>39</v>
      </c>
      <c r="W352" t="s">
        <v>32</v>
      </c>
      <c r="X352">
        <v>11</v>
      </c>
      <c r="Y352">
        <v>3</v>
      </c>
      <c r="Z352">
        <v>2</v>
      </c>
      <c r="AA352">
        <v>80</v>
      </c>
      <c r="AB352">
        <v>1</v>
      </c>
      <c r="AC352">
        <v>1</v>
      </c>
      <c r="AD352">
        <v>5</v>
      </c>
      <c r="AE352">
        <v>3</v>
      </c>
      <c r="AF352">
        <v>0</v>
      </c>
      <c r="AG352">
        <v>0</v>
      </c>
      <c r="AH352">
        <v>0</v>
      </c>
      <c r="AI352">
        <v>0</v>
      </c>
    </row>
    <row r="353" spans="1:35" x14ac:dyDescent="0.3">
      <c r="A353">
        <v>28</v>
      </c>
      <c r="B353" t="s">
        <v>40</v>
      </c>
      <c r="C353" t="s">
        <v>33</v>
      </c>
      <c r="D353">
        <v>1172</v>
      </c>
      <c r="E353" t="s">
        <v>34</v>
      </c>
      <c r="F353">
        <v>3</v>
      </c>
      <c r="G353">
        <v>3</v>
      </c>
      <c r="H353" t="s">
        <v>48</v>
      </c>
      <c r="I353">
        <v>1</v>
      </c>
      <c r="J353">
        <v>1875</v>
      </c>
      <c r="K353">
        <v>2</v>
      </c>
      <c r="L353" s="17" t="s">
        <v>36</v>
      </c>
      <c r="M353">
        <v>78</v>
      </c>
      <c r="N353">
        <v>3</v>
      </c>
      <c r="O353">
        <v>1</v>
      </c>
      <c r="P353" t="s">
        <v>54</v>
      </c>
      <c r="Q353">
        <v>2</v>
      </c>
      <c r="R353" t="s">
        <v>45</v>
      </c>
      <c r="S353" s="6">
        <v>2856</v>
      </c>
      <c r="T353">
        <v>3692</v>
      </c>
      <c r="U353">
        <v>1</v>
      </c>
      <c r="V353" t="s">
        <v>39</v>
      </c>
      <c r="W353" t="s">
        <v>40</v>
      </c>
      <c r="X353">
        <v>19</v>
      </c>
      <c r="Y353">
        <v>3</v>
      </c>
      <c r="Z353">
        <v>4</v>
      </c>
      <c r="AA353">
        <v>80</v>
      </c>
      <c r="AB353">
        <v>1</v>
      </c>
      <c r="AC353">
        <v>1</v>
      </c>
      <c r="AD353">
        <v>3</v>
      </c>
      <c r="AE353">
        <v>3</v>
      </c>
      <c r="AF353">
        <v>1</v>
      </c>
      <c r="AG353">
        <v>0</v>
      </c>
      <c r="AH353">
        <v>0</v>
      </c>
      <c r="AI353">
        <v>0</v>
      </c>
    </row>
    <row r="354" spans="1:35" x14ac:dyDescent="0.3">
      <c r="A354">
        <v>38</v>
      </c>
      <c r="B354" t="s">
        <v>40</v>
      </c>
      <c r="C354" t="s">
        <v>33</v>
      </c>
      <c r="D354">
        <v>1404</v>
      </c>
      <c r="E354" t="s">
        <v>34</v>
      </c>
      <c r="F354">
        <v>1</v>
      </c>
      <c r="G354">
        <v>3</v>
      </c>
      <c r="H354" t="s">
        <v>35</v>
      </c>
      <c r="I354">
        <v>1</v>
      </c>
      <c r="J354">
        <v>1961</v>
      </c>
      <c r="K354">
        <v>1</v>
      </c>
      <c r="L354" s="17" t="s">
        <v>43</v>
      </c>
      <c r="M354">
        <v>59</v>
      </c>
      <c r="N354">
        <v>2</v>
      </c>
      <c r="O354">
        <v>1</v>
      </c>
      <c r="P354" t="s">
        <v>54</v>
      </c>
      <c r="Q354">
        <v>1</v>
      </c>
      <c r="R354" t="s">
        <v>38</v>
      </c>
      <c r="S354" s="6">
        <v>2858</v>
      </c>
      <c r="T354">
        <v>11473</v>
      </c>
      <c r="U354">
        <v>4</v>
      </c>
      <c r="V354" t="s">
        <v>39</v>
      </c>
      <c r="W354" t="s">
        <v>40</v>
      </c>
      <c r="X354">
        <v>14</v>
      </c>
      <c r="Y354">
        <v>3</v>
      </c>
      <c r="Z354">
        <v>1</v>
      </c>
      <c r="AA354">
        <v>80</v>
      </c>
      <c r="AB354">
        <v>0</v>
      </c>
      <c r="AC354">
        <v>20</v>
      </c>
      <c r="AD354">
        <v>3</v>
      </c>
      <c r="AE354">
        <v>2</v>
      </c>
      <c r="AF354">
        <v>1</v>
      </c>
      <c r="AG354">
        <v>0</v>
      </c>
      <c r="AH354">
        <v>0</v>
      </c>
      <c r="AI354">
        <v>0</v>
      </c>
    </row>
    <row r="355" spans="1:35" x14ac:dyDescent="0.3">
      <c r="A355">
        <v>35</v>
      </c>
      <c r="B355" t="s">
        <v>40</v>
      </c>
      <c r="C355" t="s">
        <v>33</v>
      </c>
      <c r="D355">
        <v>1214</v>
      </c>
      <c r="E355" t="s">
        <v>42</v>
      </c>
      <c r="F355">
        <v>1</v>
      </c>
      <c r="G355">
        <v>3</v>
      </c>
      <c r="H355" t="s">
        <v>48</v>
      </c>
      <c r="I355">
        <v>1</v>
      </c>
      <c r="J355">
        <v>105</v>
      </c>
      <c r="K355">
        <v>2</v>
      </c>
      <c r="L355" s="17" t="s">
        <v>43</v>
      </c>
      <c r="M355">
        <v>30</v>
      </c>
      <c r="N355">
        <v>2</v>
      </c>
      <c r="O355">
        <v>1</v>
      </c>
      <c r="P355" t="s">
        <v>44</v>
      </c>
      <c r="Q355">
        <v>3</v>
      </c>
      <c r="R355" t="s">
        <v>38</v>
      </c>
      <c r="S355" s="6">
        <v>2859</v>
      </c>
      <c r="T355">
        <v>26278</v>
      </c>
      <c r="U355">
        <v>1</v>
      </c>
      <c r="V355" t="s">
        <v>39</v>
      </c>
      <c r="W355" t="s">
        <v>40</v>
      </c>
      <c r="X355">
        <v>18</v>
      </c>
      <c r="Y355">
        <v>3</v>
      </c>
      <c r="Z355">
        <v>1</v>
      </c>
      <c r="AA355">
        <v>80</v>
      </c>
      <c r="AB355">
        <v>0</v>
      </c>
      <c r="AC355">
        <v>6</v>
      </c>
      <c r="AD355">
        <v>3</v>
      </c>
      <c r="AE355">
        <v>3</v>
      </c>
      <c r="AF355">
        <v>6</v>
      </c>
      <c r="AG355">
        <v>4</v>
      </c>
      <c r="AH355">
        <v>0</v>
      </c>
      <c r="AI355">
        <v>4</v>
      </c>
    </row>
    <row r="356" spans="1:35" x14ac:dyDescent="0.3">
      <c r="A356">
        <v>30</v>
      </c>
      <c r="B356" t="s">
        <v>40</v>
      </c>
      <c r="C356" t="s">
        <v>33</v>
      </c>
      <c r="D356">
        <v>793</v>
      </c>
      <c r="E356" t="s">
        <v>42</v>
      </c>
      <c r="F356">
        <v>16</v>
      </c>
      <c r="G356">
        <v>1</v>
      </c>
      <c r="H356" t="s">
        <v>35</v>
      </c>
      <c r="I356">
        <v>1</v>
      </c>
      <c r="J356">
        <v>1729</v>
      </c>
      <c r="K356">
        <v>2</v>
      </c>
      <c r="L356" s="17" t="s">
        <v>43</v>
      </c>
      <c r="M356">
        <v>33</v>
      </c>
      <c r="N356">
        <v>3</v>
      </c>
      <c r="O356">
        <v>1</v>
      </c>
      <c r="P356" t="s">
        <v>44</v>
      </c>
      <c r="Q356">
        <v>4</v>
      </c>
      <c r="R356" t="s">
        <v>45</v>
      </c>
      <c r="S356" s="6">
        <v>2862</v>
      </c>
      <c r="T356">
        <v>3811</v>
      </c>
      <c r="U356">
        <v>1</v>
      </c>
      <c r="V356" t="s">
        <v>39</v>
      </c>
      <c r="W356" t="s">
        <v>40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10</v>
      </c>
      <c r="AD356">
        <v>2</v>
      </c>
      <c r="AE356">
        <v>2</v>
      </c>
      <c r="AF356">
        <v>10</v>
      </c>
      <c r="AG356">
        <v>0</v>
      </c>
      <c r="AH356">
        <v>0</v>
      </c>
      <c r="AI356">
        <v>8</v>
      </c>
    </row>
    <row r="357" spans="1:35" x14ac:dyDescent="0.3">
      <c r="A357">
        <v>27</v>
      </c>
      <c r="B357" t="s">
        <v>32</v>
      </c>
      <c r="C357" t="s">
        <v>41</v>
      </c>
      <c r="D357">
        <v>1337</v>
      </c>
      <c r="E357" t="s">
        <v>58</v>
      </c>
      <c r="F357">
        <v>22</v>
      </c>
      <c r="G357">
        <v>3</v>
      </c>
      <c r="H357" t="s">
        <v>58</v>
      </c>
      <c r="I357">
        <v>1</v>
      </c>
      <c r="J357">
        <v>1944</v>
      </c>
      <c r="K357">
        <v>1</v>
      </c>
      <c r="L357" s="17" t="s">
        <v>36</v>
      </c>
      <c r="M357">
        <v>58</v>
      </c>
      <c r="N357">
        <v>2</v>
      </c>
      <c r="O357">
        <v>1</v>
      </c>
      <c r="P357" t="s">
        <v>58</v>
      </c>
      <c r="Q357">
        <v>2</v>
      </c>
      <c r="R357" t="s">
        <v>45</v>
      </c>
      <c r="S357" s="6">
        <v>2863</v>
      </c>
      <c r="T357">
        <v>19555</v>
      </c>
      <c r="U357">
        <v>1</v>
      </c>
      <c r="V357" t="s">
        <v>39</v>
      </c>
      <c r="W357" t="s">
        <v>40</v>
      </c>
      <c r="X357">
        <v>12</v>
      </c>
      <c r="Y357">
        <v>3</v>
      </c>
      <c r="Z357">
        <v>1</v>
      </c>
      <c r="AA357">
        <v>80</v>
      </c>
      <c r="AB357">
        <v>0</v>
      </c>
      <c r="AC357">
        <v>1</v>
      </c>
      <c r="AD357">
        <v>2</v>
      </c>
      <c r="AE357">
        <v>3</v>
      </c>
      <c r="AF357">
        <v>1</v>
      </c>
      <c r="AG357">
        <v>0</v>
      </c>
      <c r="AH357">
        <v>0</v>
      </c>
      <c r="AI357">
        <v>0</v>
      </c>
    </row>
    <row r="358" spans="1:35" x14ac:dyDescent="0.3">
      <c r="A358">
        <v>26</v>
      </c>
      <c r="B358" t="s">
        <v>40</v>
      </c>
      <c r="C358" t="s">
        <v>33</v>
      </c>
      <c r="D358">
        <v>157</v>
      </c>
      <c r="E358" t="s">
        <v>42</v>
      </c>
      <c r="F358">
        <v>1</v>
      </c>
      <c r="G358">
        <v>3</v>
      </c>
      <c r="H358" t="s">
        <v>48</v>
      </c>
      <c r="I358">
        <v>1</v>
      </c>
      <c r="J358">
        <v>1952</v>
      </c>
      <c r="K358">
        <v>3</v>
      </c>
      <c r="L358" s="17" t="s">
        <v>43</v>
      </c>
      <c r="M358">
        <v>95</v>
      </c>
      <c r="N358">
        <v>3</v>
      </c>
      <c r="O358">
        <v>1</v>
      </c>
      <c r="P358" t="s">
        <v>47</v>
      </c>
      <c r="Q358">
        <v>1</v>
      </c>
      <c r="R358" t="s">
        <v>38</v>
      </c>
      <c r="S358" s="6">
        <v>2867</v>
      </c>
      <c r="T358">
        <v>20006</v>
      </c>
      <c r="U358">
        <v>0</v>
      </c>
      <c r="V358" t="s">
        <v>39</v>
      </c>
      <c r="W358" t="s">
        <v>40</v>
      </c>
      <c r="X358">
        <v>13</v>
      </c>
      <c r="Y358">
        <v>3</v>
      </c>
      <c r="Z358">
        <v>4</v>
      </c>
      <c r="AA358">
        <v>80</v>
      </c>
      <c r="AB358">
        <v>0</v>
      </c>
      <c r="AC358">
        <v>8</v>
      </c>
      <c r="AD358">
        <v>6</v>
      </c>
      <c r="AE358">
        <v>2</v>
      </c>
      <c r="AF358">
        <v>7</v>
      </c>
      <c r="AG358">
        <v>7</v>
      </c>
      <c r="AH358">
        <v>7</v>
      </c>
      <c r="AI358">
        <v>6</v>
      </c>
    </row>
    <row r="359" spans="1:35" x14ac:dyDescent="0.3">
      <c r="A359">
        <v>22</v>
      </c>
      <c r="B359" t="s">
        <v>40</v>
      </c>
      <c r="C359" t="s">
        <v>33</v>
      </c>
      <c r="D359">
        <v>534</v>
      </c>
      <c r="E359" t="s">
        <v>42</v>
      </c>
      <c r="F359">
        <v>15</v>
      </c>
      <c r="G359">
        <v>3</v>
      </c>
      <c r="H359" t="s">
        <v>48</v>
      </c>
      <c r="I359">
        <v>1</v>
      </c>
      <c r="J359">
        <v>144</v>
      </c>
      <c r="K359">
        <v>2</v>
      </c>
      <c r="L359" s="17" t="s">
        <v>36</v>
      </c>
      <c r="M359">
        <v>59</v>
      </c>
      <c r="N359">
        <v>3</v>
      </c>
      <c r="O359">
        <v>1</v>
      </c>
      <c r="P359" t="s">
        <v>47</v>
      </c>
      <c r="Q359">
        <v>4</v>
      </c>
      <c r="R359" t="s">
        <v>38</v>
      </c>
      <c r="S359" s="6">
        <v>2871</v>
      </c>
      <c r="T359">
        <v>23785</v>
      </c>
      <c r="U359">
        <v>1</v>
      </c>
      <c r="V359" t="s">
        <v>39</v>
      </c>
      <c r="W359" t="s">
        <v>40</v>
      </c>
      <c r="X359">
        <v>15</v>
      </c>
      <c r="Y359">
        <v>3</v>
      </c>
      <c r="Z359">
        <v>3</v>
      </c>
      <c r="AA359">
        <v>80</v>
      </c>
      <c r="AB359">
        <v>0</v>
      </c>
      <c r="AC359">
        <v>1</v>
      </c>
      <c r="AD359">
        <v>5</v>
      </c>
      <c r="AE359">
        <v>3</v>
      </c>
      <c r="AF359">
        <v>0</v>
      </c>
      <c r="AG359">
        <v>0</v>
      </c>
      <c r="AH359">
        <v>0</v>
      </c>
      <c r="AI359">
        <v>0</v>
      </c>
    </row>
    <row r="360" spans="1:35" x14ac:dyDescent="0.3">
      <c r="A360">
        <v>26</v>
      </c>
      <c r="B360" t="s">
        <v>40</v>
      </c>
      <c r="C360" t="s">
        <v>33</v>
      </c>
      <c r="D360">
        <v>583</v>
      </c>
      <c r="E360" t="s">
        <v>42</v>
      </c>
      <c r="F360">
        <v>4</v>
      </c>
      <c r="G360">
        <v>2</v>
      </c>
      <c r="H360" t="s">
        <v>35</v>
      </c>
      <c r="I360">
        <v>1</v>
      </c>
      <c r="J360">
        <v>1275</v>
      </c>
      <c r="K360">
        <v>3</v>
      </c>
      <c r="L360" s="17" t="s">
        <v>43</v>
      </c>
      <c r="M360">
        <v>53</v>
      </c>
      <c r="N360">
        <v>3</v>
      </c>
      <c r="O360">
        <v>1</v>
      </c>
      <c r="P360" t="s">
        <v>44</v>
      </c>
      <c r="Q360">
        <v>4</v>
      </c>
      <c r="R360" t="s">
        <v>38</v>
      </c>
      <c r="S360" s="6">
        <v>2875</v>
      </c>
      <c r="T360">
        <v>9973</v>
      </c>
      <c r="U360">
        <v>1</v>
      </c>
      <c r="V360" t="s">
        <v>39</v>
      </c>
      <c r="W360" t="s">
        <v>32</v>
      </c>
      <c r="X360">
        <v>20</v>
      </c>
      <c r="Y360">
        <v>4</v>
      </c>
      <c r="Z360">
        <v>2</v>
      </c>
      <c r="AA360">
        <v>80</v>
      </c>
      <c r="AB360">
        <v>0</v>
      </c>
      <c r="AC360">
        <v>8</v>
      </c>
      <c r="AD360">
        <v>2</v>
      </c>
      <c r="AE360">
        <v>2</v>
      </c>
      <c r="AF360">
        <v>8</v>
      </c>
      <c r="AG360">
        <v>5</v>
      </c>
      <c r="AH360">
        <v>2</v>
      </c>
      <c r="AI360">
        <v>2</v>
      </c>
    </row>
    <row r="361" spans="1:35" x14ac:dyDescent="0.3">
      <c r="A361">
        <v>26</v>
      </c>
      <c r="B361" t="s">
        <v>40</v>
      </c>
      <c r="C361" t="s">
        <v>33</v>
      </c>
      <c r="D361">
        <v>1349</v>
      </c>
      <c r="E361" t="s">
        <v>42</v>
      </c>
      <c r="F361">
        <v>23</v>
      </c>
      <c r="G361">
        <v>3</v>
      </c>
      <c r="H361" t="s">
        <v>35</v>
      </c>
      <c r="I361">
        <v>1</v>
      </c>
      <c r="J361">
        <v>560</v>
      </c>
      <c r="K361">
        <v>1</v>
      </c>
      <c r="L361" s="17" t="s">
        <v>36</v>
      </c>
      <c r="M361">
        <v>90</v>
      </c>
      <c r="N361">
        <v>3</v>
      </c>
      <c r="O361">
        <v>1</v>
      </c>
      <c r="P361" t="s">
        <v>44</v>
      </c>
      <c r="Q361">
        <v>4</v>
      </c>
      <c r="R361" t="s">
        <v>49</v>
      </c>
      <c r="S361" s="6">
        <v>2886</v>
      </c>
      <c r="T361">
        <v>3032</v>
      </c>
      <c r="U361">
        <v>1</v>
      </c>
      <c r="V361" t="s">
        <v>39</v>
      </c>
      <c r="W361" t="s">
        <v>40</v>
      </c>
      <c r="X361">
        <v>22</v>
      </c>
      <c r="Y361">
        <v>4</v>
      </c>
      <c r="Z361">
        <v>2</v>
      </c>
      <c r="AA361">
        <v>80</v>
      </c>
      <c r="AB361">
        <v>2</v>
      </c>
      <c r="AC361">
        <v>3</v>
      </c>
      <c r="AD361">
        <v>3</v>
      </c>
      <c r="AE361">
        <v>1</v>
      </c>
      <c r="AF361">
        <v>3</v>
      </c>
      <c r="AG361">
        <v>2</v>
      </c>
      <c r="AH361">
        <v>0</v>
      </c>
      <c r="AI361">
        <v>2</v>
      </c>
    </row>
    <row r="362" spans="1:35" x14ac:dyDescent="0.3">
      <c r="A362">
        <v>24</v>
      </c>
      <c r="B362" t="s">
        <v>32</v>
      </c>
      <c r="C362" t="s">
        <v>41</v>
      </c>
      <c r="D362">
        <v>1287</v>
      </c>
      <c r="E362" t="s">
        <v>42</v>
      </c>
      <c r="F362">
        <v>7</v>
      </c>
      <c r="G362">
        <v>3</v>
      </c>
      <c r="H362" t="s">
        <v>35</v>
      </c>
      <c r="I362">
        <v>1</v>
      </c>
      <c r="J362">
        <v>647</v>
      </c>
      <c r="K362">
        <v>1</v>
      </c>
      <c r="L362" s="17" t="s">
        <v>36</v>
      </c>
      <c r="M362">
        <v>55</v>
      </c>
      <c r="N362">
        <v>3</v>
      </c>
      <c r="O362">
        <v>1</v>
      </c>
      <c r="P362" t="s">
        <v>47</v>
      </c>
      <c r="Q362">
        <v>3</v>
      </c>
      <c r="R362" t="s">
        <v>45</v>
      </c>
      <c r="S362" s="6">
        <v>2886</v>
      </c>
      <c r="T362">
        <v>14168</v>
      </c>
      <c r="U362">
        <v>1</v>
      </c>
      <c r="V362" t="s">
        <v>39</v>
      </c>
      <c r="W362" t="s">
        <v>32</v>
      </c>
      <c r="X362">
        <v>16</v>
      </c>
      <c r="Y362">
        <v>3</v>
      </c>
      <c r="Z362">
        <v>4</v>
      </c>
      <c r="AA362">
        <v>80</v>
      </c>
      <c r="AB362">
        <v>1</v>
      </c>
      <c r="AC362">
        <v>6</v>
      </c>
      <c r="AD362">
        <v>4</v>
      </c>
      <c r="AE362">
        <v>3</v>
      </c>
      <c r="AF362">
        <v>6</v>
      </c>
      <c r="AG362">
        <v>3</v>
      </c>
      <c r="AH362">
        <v>1</v>
      </c>
      <c r="AI362">
        <v>2</v>
      </c>
    </row>
    <row r="363" spans="1:35" x14ac:dyDescent="0.3">
      <c r="A363">
        <v>25</v>
      </c>
      <c r="B363" t="s">
        <v>40</v>
      </c>
      <c r="C363" t="s">
        <v>33</v>
      </c>
      <c r="D363">
        <v>1280</v>
      </c>
      <c r="E363" t="s">
        <v>42</v>
      </c>
      <c r="F363">
        <v>7</v>
      </c>
      <c r="G363">
        <v>1</v>
      </c>
      <c r="H363" t="s">
        <v>48</v>
      </c>
      <c r="I363">
        <v>1</v>
      </c>
      <c r="J363">
        <v>143</v>
      </c>
      <c r="K363">
        <v>4</v>
      </c>
      <c r="L363" s="17" t="s">
        <v>43</v>
      </c>
      <c r="M363">
        <v>64</v>
      </c>
      <c r="N363">
        <v>2</v>
      </c>
      <c r="O363">
        <v>1</v>
      </c>
      <c r="P363" t="s">
        <v>44</v>
      </c>
      <c r="Q363">
        <v>4</v>
      </c>
      <c r="R363" t="s">
        <v>45</v>
      </c>
      <c r="S363" s="6">
        <v>2889</v>
      </c>
      <c r="T363">
        <v>26897</v>
      </c>
      <c r="U363">
        <v>1</v>
      </c>
      <c r="V363" t="s">
        <v>39</v>
      </c>
      <c r="W363" t="s">
        <v>40</v>
      </c>
      <c r="X363">
        <v>11</v>
      </c>
      <c r="Y363">
        <v>3</v>
      </c>
      <c r="Z363">
        <v>3</v>
      </c>
      <c r="AA363">
        <v>80</v>
      </c>
      <c r="AB363">
        <v>2</v>
      </c>
      <c r="AC363">
        <v>2</v>
      </c>
      <c r="AD363">
        <v>2</v>
      </c>
      <c r="AE363">
        <v>3</v>
      </c>
      <c r="AF363">
        <v>2</v>
      </c>
      <c r="AG363">
        <v>2</v>
      </c>
      <c r="AH363">
        <v>2</v>
      </c>
      <c r="AI363">
        <v>1</v>
      </c>
    </row>
    <row r="364" spans="1:35" x14ac:dyDescent="0.3">
      <c r="A364">
        <v>54</v>
      </c>
      <c r="B364" t="s">
        <v>40</v>
      </c>
      <c r="C364" t="s">
        <v>33</v>
      </c>
      <c r="D364">
        <v>155</v>
      </c>
      <c r="E364" t="s">
        <v>42</v>
      </c>
      <c r="F364">
        <v>9</v>
      </c>
      <c r="G364">
        <v>2</v>
      </c>
      <c r="H364" t="s">
        <v>35</v>
      </c>
      <c r="I364">
        <v>1</v>
      </c>
      <c r="J364">
        <v>1969</v>
      </c>
      <c r="K364">
        <v>1</v>
      </c>
      <c r="L364" s="17" t="s">
        <v>36</v>
      </c>
      <c r="M364">
        <v>67</v>
      </c>
      <c r="N364">
        <v>3</v>
      </c>
      <c r="O364">
        <v>2</v>
      </c>
      <c r="P364" t="s">
        <v>44</v>
      </c>
      <c r="Q364">
        <v>3</v>
      </c>
      <c r="R364" t="s">
        <v>45</v>
      </c>
      <c r="S364" s="6">
        <v>2897</v>
      </c>
      <c r="T364">
        <v>22474</v>
      </c>
      <c r="U364">
        <v>3</v>
      </c>
      <c r="V364" t="s">
        <v>39</v>
      </c>
      <c r="W364" t="s">
        <v>40</v>
      </c>
      <c r="X364">
        <v>11</v>
      </c>
      <c r="Y364">
        <v>3</v>
      </c>
      <c r="Z364">
        <v>3</v>
      </c>
      <c r="AA364">
        <v>80</v>
      </c>
      <c r="AB364">
        <v>2</v>
      </c>
      <c r="AC364">
        <v>9</v>
      </c>
      <c r="AD364">
        <v>6</v>
      </c>
      <c r="AE364">
        <v>2</v>
      </c>
      <c r="AF364">
        <v>4</v>
      </c>
      <c r="AG364">
        <v>3</v>
      </c>
      <c r="AH364">
        <v>2</v>
      </c>
      <c r="AI364">
        <v>3</v>
      </c>
    </row>
    <row r="365" spans="1:35" x14ac:dyDescent="0.3">
      <c r="A365">
        <v>38</v>
      </c>
      <c r="B365" t="s">
        <v>40</v>
      </c>
      <c r="C365" t="s">
        <v>33</v>
      </c>
      <c r="D365">
        <v>395</v>
      </c>
      <c r="E365" t="s">
        <v>34</v>
      </c>
      <c r="F365">
        <v>9</v>
      </c>
      <c r="G365">
        <v>3</v>
      </c>
      <c r="H365" t="s">
        <v>56</v>
      </c>
      <c r="I365">
        <v>1</v>
      </c>
      <c r="J365">
        <v>893</v>
      </c>
      <c r="K365">
        <v>2</v>
      </c>
      <c r="L365" s="17" t="s">
        <v>43</v>
      </c>
      <c r="M365">
        <v>98</v>
      </c>
      <c r="N365">
        <v>2</v>
      </c>
      <c r="O365">
        <v>1</v>
      </c>
      <c r="P365" t="s">
        <v>54</v>
      </c>
      <c r="Q365">
        <v>2</v>
      </c>
      <c r="R365" t="s">
        <v>45</v>
      </c>
      <c r="S365" s="6">
        <v>2899</v>
      </c>
      <c r="T365">
        <v>12102</v>
      </c>
      <c r="U365">
        <v>0</v>
      </c>
      <c r="V365" t="s">
        <v>39</v>
      </c>
      <c r="W365" t="s">
        <v>40</v>
      </c>
      <c r="X365">
        <v>19</v>
      </c>
      <c r="Y365">
        <v>3</v>
      </c>
      <c r="Z365">
        <v>4</v>
      </c>
      <c r="AA365">
        <v>80</v>
      </c>
      <c r="AB365">
        <v>1</v>
      </c>
      <c r="AC365">
        <v>3</v>
      </c>
      <c r="AD365">
        <v>3</v>
      </c>
      <c r="AE365">
        <v>3</v>
      </c>
      <c r="AF365">
        <v>2</v>
      </c>
      <c r="AG365">
        <v>2</v>
      </c>
      <c r="AH365">
        <v>1</v>
      </c>
      <c r="AI365">
        <v>2</v>
      </c>
    </row>
    <row r="366" spans="1:35" x14ac:dyDescent="0.3">
      <c r="A366">
        <v>23</v>
      </c>
      <c r="B366" t="s">
        <v>40</v>
      </c>
      <c r="C366" t="s">
        <v>33</v>
      </c>
      <c r="D366">
        <v>1309</v>
      </c>
      <c r="E366" t="s">
        <v>42</v>
      </c>
      <c r="F366">
        <v>26</v>
      </c>
      <c r="G366">
        <v>1</v>
      </c>
      <c r="H366" t="s">
        <v>35</v>
      </c>
      <c r="I366">
        <v>1</v>
      </c>
      <c r="J366">
        <v>465</v>
      </c>
      <c r="K366">
        <v>3</v>
      </c>
      <c r="L366" s="17" t="s">
        <v>43</v>
      </c>
      <c r="M366">
        <v>83</v>
      </c>
      <c r="N366">
        <v>3</v>
      </c>
      <c r="O366">
        <v>1</v>
      </c>
      <c r="P366" t="s">
        <v>44</v>
      </c>
      <c r="Q366">
        <v>4</v>
      </c>
      <c r="R366" t="s">
        <v>49</v>
      </c>
      <c r="S366" s="6">
        <v>2904</v>
      </c>
      <c r="T366">
        <v>16092</v>
      </c>
      <c r="U366">
        <v>1</v>
      </c>
      <c r="V366" t="s">
        <v>39</v>
      </c>
      <c r="W366" t="s">
        <v>40</v>
      </c>
      <c r="X366">
        <v>12</v>
      </c>
      <c r="Y366">
        <v>3</v>
      </c>
      <c r="Z366">
        <v>3</v>
      </c>
      <c r="AA366">
        <v>80</v>
      </c>
      <c r="AB366">
        <v>2</v>
      </c>
      <c r="AC366">
        <v>4</v>
      </c>
      <c r="AD366">
        <v>2</v>
      </c>
      <c r="AE366">
        <v>2</v>
      </c>
      <c r="AF366">
        <v>4</v>
      </c>
      <c r="AG366">
        <v>2</v>
      </c>
      <c r="AH366">
        <v>0</v>
      </c>
      <c r="AI366">
        <v>2</v>
      </c>
    </row>
    <row r="367" spans="1:35" x14ac:dyDescent="0.3">
      <c r="A367">
        <v>33</v>
      </c>
      <c r="B367" t="s">
        <v>40</v>
      </c>
      <c r="C367" t="s">
        <v>41</v>
      </c>
      <c r="D367">
        <v>1392</v>
      </c>
      <c r="E367" t="s">
        <v>42</v>
      </c>
      <c r="F367">
        <v>3</v>
      </c>
      <c r="G367">
        <v>4</v>
      </c>
      <c r="H367" t="s">
        <v>35</v>
      </c>
      <c r="I367">
        <v>1</v>
      </c>
      <c r="J367">
        <v>5</v>
      </c>
      <c r="K367">
        <v>4</v>
      </c>
      <c r="L367" s="17" t="s">
        <v>36</v>
      </c>
      <c r="M367">
        <v>56</v>
      </c>
      <c r="N367">
        <v>3</v>
      </c>
      <c r="O367">
        <v>1</v>
      </c>
      <c r="P367" t="s">
        <v>44</v>
      </c>
      <c r="Q367">
        <v>3</v>
      </c>
      <c r="R367" t="s">
        <v>45</v>
      </c>
      <c r="S367" s="6">
        <v>2909</v>
      </c>
      <c r="T367">
        <v>23159</v>
      </c>
      <c r="U367">
        <v>1</v>
      </c>
      <c r="V367" t="s">
        <v>39</v>
      </c>
      <c r="W367" t="s">
        <v>32</v>
      </c>
      <c r="X367">
        <v>11</v>
      </c>
      <c r="Y367">
        <v>3</v>
      </c>
      <c r="Z367">
        <v>3</v>
      </c>
      <c r="AA367">
        <v>80</v>
      </c>
      <c r="AB367">
        <v>0</v>
      </c>
      <c r="AC367">
        <v>8</v>
      </c>
      <c r="AD367">
        <v>3</v>
      </c>
      <c r="AE367">
        <v>3</v>
      </c>
      <c r="AF367">
        <v>8</v>
      </c>
      <c r="AG367">
        <v>7</v>
      </c>
      <c r="AH367">
        <v>3</v>
      </c>
      <c r="AI367">
        <v>0</v>
      </c>
    </row>
    <row r="368" spans="1:35" x14ac:dyDescent="0.3">
      <c r="A368">
        <v>28</v>
      </c>
      <c r="B368" t="s">
        <v>32</v>
      </c>
      <c r="C368" t="s">
        <v>41</v>
      </c>
      <c r="D368">
        <v>1496</v>
      </c>
      <c r="E368" t="s">
        <v>34</v>
      </c>
      <c r="F368">
        <v>1</v>
      </c>
      <c r="G368">
        <v>3</v>
      </c>
      <c r="H368" t="s">
        <v>57</v>
      </c>
      <c r="I368">
        <v>1</v>
      </c>
      <c r="J368">
        <v>1486</v>
      </c>
      <c r="K368">
        <v>1</v>
      </c>
      <c r="L368" s="17" t="s">
        <v>43</v>
      </c>
      <c r="M368">
        <v>92</v>
      </c>
      <c r="N368">
        <v>3</v>
      </c>
      <c r="O368">
        <v>1</v>
      </c>
      <c r="P368" t="s">
        <v>54</v>
      </c>
      <c r="Q368">
        <v>3</v>
      </c>
      <c r="R368" t="s">
        <v>45</v>
      </c>
      <c r="S368" s="6">
        <v>2909</v>
      </c>
      <c r="T368">
        <v>15747</v>
      </c>
      <c r="U368">
        <v>3</v>
      </c>
      <c r="V368" t="s">
        <v>39</v>
      </c>
      <c r="W368" t="s">
        <v>40</v>
      </c>
      <c r="X368">
        <v>15</v>
      </c>
      <c r="Y368">
        <v>3</v>
      </c>
      <c r="Z368">
        <v>4</v>
      </c>
      <c r="AA368">
        <v>80</v>
      </c>
      <c r="AB368">
        <v>1</v>
      </c>
      <c r="AC368">
        <v>5</v>
      </c>
      <c r="AD368">
        <v>3</v>
      </c>
      <c r="AE368">
        <v>4</v>
      </c>
      <c r="AF368">
        <v>3</v>
      </c>
      <c r="AG368">
        <v>2</v>
      </c>
      <c r="AH368">
        <v>1</v>
      </c>
      <c r="AI368">
        <v>2</v>
      </c>
    </row>
    <row r="369" spans="1:35" x14ac:dyDescent="0.3">
      <c r="A369">
        <v>31</v>
      </c>
      <c r="B369" t="s">
        <v>40</v>
      </c>
      <c r="C369" t="s">
        <v>33</v>
      </c>
      <c r="D369">
        <v>670</v>
      </c>
      <c r="E369" t="s">
        <v>42</v>
      </c>
      <c r="F369">
        <v>26</v>
      </c>
      <c r="G369">
        <v>1</v>
      </c>
      <c r="H369" t="s">
        <v>35</v>
      </c>
      <c r="I369">
        <v>1</v>
      </c>
      <c r="J369">
        <v>16</v>
      </c>
      <c r="K369">
        <v>1</v>
      </c>
      <c r="L369" s="17" t="s">
        <v>43</v>
      </c>
      <c r="M369">
        <v>31</v>
      </c>
      <c r="N369">
        <v>3</v>
      </c>
      <c r="O369">
        <v>1</v>
      </c>
      <c r="P369" t="s">
        <v>44</v>
      </c>
      <c r="Q369">
        <v>3</v>
      </c>
      <c r="R369" t="s">
        <v>49</v>
      </c>
      <c r="S369" s="6">
        <v>2911</v>
      </c>
      <c r="T369">
        <v>15170</v>
      </c>
      <c r="U369">
        <v>1</v>
      </c>
      <c r="V369" t="s">
        <v>39</v>
      </c>
      <c r="W369" t="s">
        <v>40</v>
      </c>
      <c r="X369">
        <v>17</v>
      </c>
      <c r="Y369">
        <v>3</v>
      </c>
      <c r="Z369">
        <v>4</v>
      </c>
      <c r="AA369">
        <v>80</v>
      </c>
      <c r="AB369">
        <v>1</v>
      </c>
      <c r="AC369">
        <v>5</v>
      </c>
      <c r="AD369">
        <v>1</v>
      </c>
      <c r="AE369">
        <v>2</v>
      </c>
      <c r="AF369">
        <v>5</v>
      </c>
      <c r="AG369">
        <v>2</v>
      </c>
      <c r="AH369">
        <v>4</v>
      </c>
      <c r="AI369">
        <v>3</v>
      </c>
    </row>
    <row r="370" spans="1:35" x14ac:dyDescent="0.3">
      <c r="A370">
        <v>33</v>
      </c>
      <c r="B370" t="s">
        <v>40</v>
      </c>
      <c r="C370" t="s">
        <v>33</v>
      </c>
      <c r="D370">
        <v>832</v>
      </c>
      <c r="E370" t="s">
        <v>42</v>
      </c>
      <c r="F370">
        <v>5</v>
      </c>
      <c r="G370">
        <v>4</v>
      </c>
      <c r="H370" t="s">
        <v>35</v>
      </c>
      <c r="I370">
        <v>1</v>
      </c>
      <c r="J370">
        <v>338</v>
      </c>
      <c r="K370">
        <v>3</v>
      </c>
      <c r="L370" s="17" t="s">
        <v>36</v>
      </c>
      <c r="M370">
        <v>63</v>
      </c>
      <c r="N370">
        <v>2</v>
      </c>
      <c r="O370">
        <v>1</v>
      </c>
      <c r="P370" t="s">
        <v>44</v>
      </c>
      <c r="Q370">
        <v>4</v>
      </c>
      <c r="R370" t="s">
        <v>45</v>
      </c>
      <c r="S370" s="6">
        <v>2911</v>
      </c>
      <c r="T370">
        <v>14776</v>
      </c>
      <c r="U370">
        <v>1</v>
      </c>
      <c r="V370" t="s">
        <v>39</v>
      </c>
      <c r="W370" t="s">
        <v>40</v>
      </c>
      <c r="X370">
        <v>13</v>
      </c>
      <c r="Y370">
        <v>3</v>
      </c>
      <c r="Z370">
        <v>3</v>
      </c>
      <c r="AA370">
        <v>80</v>
      </c>
      <c r="AB370">
        <v>1</v>
      </c>
      <c r="AC370">
        <v>2</v>
      </c>
      <c r="AD370">
        <v>2</v>
      </c>
      <c r="AE370">
        <v>2</v>
      </c>
      <c r="AF370">
        <v>2</v>
      </c>
      <c r="AG370">
        <v>2</v>
      </c>
      <c r="AH370">
        <v>0</v>
      </c>
      <c r="AI370">
        <v>2</v>
      </c>
    </row>
    <row r="371" spans="1:35" x14ac:dyDescent="0.3">
      <c r="A371">
        <v>20</v>
      </c>
      <c r="B371" t="s">
        <v>32</v>
      </c>
      <c r="C371" t="s">
        <v>41</v>
      </c>
      <c r="D371">
        <v>871</v>
      </c>
      <c r="E371" t="s">
        <v>42</v>
      </c>
      <c r="F371">
        <v>6</v>
      </c>
      <c r="G371">
        <v>3</v>
      </c>
      <c r="H371" t="s">
        <v>35</v>
      </c>
      <c r="I371">
        <v>1</v>
      </c>
      <c r="J371">
        <v>137</v>
      </c>
      <c r="K371">
        <v>4</v>
      </c>
      <c r="L371" s="17" t="s">
        <v>36</v>
      </c>
      <c r="M371">
        <v>66</v>
      </c>
      <c r="N371">
        <v>2</v>
      </c>
      <c r="O371">
        <v>1</v>
      </c>
      <c r="P371" t="s">
        <v>47</v>
      </c>
      <c r="Q371">
        <v>4</v>
      </c>
      <c r="R371" t="s">
        <v>38</v>
      </c>
      <c r="S371" s="6">
        <v>2926</v>
      </c>
      <c r="T371">
        <v>19783</v>
      </c>
      <c r="U371">
        <v>1</v>
      </c>
      <c r="V371" t="s">
        <v>39</v>
      </c>
      <c r="W371" t="s">
        <v>32</v>
      </c>
      <c r="X371">
        <v>18</v>
      </c>
      <c r="Y371">
        <v>3</v>
      </c>
      <c r="Z371">
        <v>2</v>
      </c>
      <c r="AA371">
        <v>80</v>
      </c>
      <c r="AB371">
        <v>0</v>
      </c>
      <c r="AC371">
        <v>1</v>
      </c>
      <c r="AD371">
        <v>5</v>
      </c>
      <c r="AE371">
        <v>3</v>
      </c>
      <c r="AF371">
        <v>1</v>
      </c>
      <c r="AG371">
        <v>0</v>
      </c>
      <c r="AH371">
        <v>1</v>
      </c>
      <c r="AI371">
        <v>0</v>
      </c>
    </row>
    <row r="372" spans="1:35" x14ac:dyDescent="0.3">
      <c r="A372">
        <v>34</v>
      </c>
      <c r="B372" t="s">
        <v>40</v>
      </c>
      <c r="C372" t="s">
        <v>33</v>
      </c>
      <c r="D372">
        <v>678</v>
      </c>
      <c r="E372" t="s">
        <v>42</v>
      </c>
      <c r="F372">
        <v>19</v>
      </c>
      <c r="G372">
        <v>3</v>
      </c>
      <c r="H372" t="s">
        <v>35</v>
      </c>
      <c r="I372">
        <v>1</v>
      </c>
      <c r="J372">
        <v>1701</v>
      </c>
      <c r="K372">
        <v>2</v>
      </c>
      <c r="L372" s="17" t="s">
        <v>36</v>
      </c>
      <c r="M372">
        <v>35</v>
      </c>
      <c r="N372">
        <v>2</v>
      </c>
      <c r="O372">
        <v>1</v>
      </c>
      <c r="P372" t="s">
        <v>44</v>
      </c>
      <c r="Q372">
        <v>4</v>
      </c>
      <c r="R372" t="s">
        <v>45</v>
      </c>
      <c r="S372" s="6">
        <v>2929</v>
      </c>
      <c r="T372">
        <v>20338</v>
      </c>
      <c r="U372">
        <v>1</v>
      </c>
      <c r="V372" t="s">
        <v>39</v>
      </c>
      <c r="W372" t="s">
        <v>40</v>
      </c>
      <c r="X372">
        <v>12</v>
      </c>
      <c r="Y372">
        <v>3</v>
      </c>
      <c r="Z372">
        <v>2</v>
      </c>
      <c r="AA372">
        <v>80</v>
      </c>
      <c r="AB372">
        <v>0</v>
      </c>
      <c r="AC372">
        <v>10</v>
      </c>
      <c r="AD372">
        <v>3</v>
      </c>
      <c r="AE372">
        <v>3</v>
      </c>
      <c r="AF372">
        <v>10</v>
      </c>
      <c r="AG372">
        <v>9</v>
      </c>
      <c r="AH372">
        <v>8</v>
      </c>
      <c r="AI372">
        <v>7</v>
      </c>
    </row>
    <row r="373" spans="1:35" x14ac:dyDescent="0.3">
      <c r="A373">
        <v>34</v>
      </c>
      <c r="B373" t="s">
        <v>40</v>
      </c>
      <c r="C373" t="s">
        <v>33</v>
      </c>
      <c r="D373">
        <v>181</v>
      </c>
      <c r="E373" t="s">
        <v>42</v>
      </c>
      <c r="F373">
        <v>2</v>
      </c>
      <c r="G373">
        <v>4</v>
      </c>
      <c r="H373" t="s">
        <v>48</v>
      </c>
      <c r="I373">
        <v>1</v>
      </c>
      <c r="J373">
        <v>1755</v>
      </c>
      <c r="K373">
        <v>4</v>
      </c>
      <c r="L373" s="17" t="s">
        <v>43</v>
      </c>
      <c r="M373">
        <v>97</v>
      </c>
      <c r="N373">
        <v>4</v>
      </c>
      <c r="O373">
        <v>1</v>
      </c>
      <c r="P373" t="s">
        <v>44</v>
      </c>
      <c r="Q373">
        <v>4</v>
      </c>
      <c r="R373" t="s">
        <v>45</v>
      </c>
      <c r="S373" s="6">
        <v>2932</v>
      </c>
      <c r="T373">
        <v>5586</v>
      </c>
      <c r="U373">
        <v>0</v>
      </c>
      <c r="V373" t="s">
        <v>39</v>
      </c>
      <c r="W373" t="s">
        <v>32</v>
      </c>
      <c r="X373">
        <v>14</v>
      </c>
      <c r="Y373">
        <v>3</v>
      </c>
      <c r="Z373">
        <v>1</v>
      </c>
      <c r="AA373">
        <v>80</v>
      </c>
      <c r="AB373">
        <v>3</v>
      </c>
      <c r="AC373">
        <v>6</v>
      </c>
      <c r="AD373">
        <v>3</v>
      </c>
      <c r="AE373">
        <v>3</v>
      </c>
      <c r="AF373">
        <v>5</v>
      </c>
      <c r="AG373">
        <v>0</v>
      </c>
      <c r="AH373">
        <v>1</v>
      </c>
      <c r="AI373">
        <v>2</v>
      </c>
    </row>
    <row r="374" spans="1:35" x14ac:dyDescent="0.3">
      <c r="A374">
        <v>26</v>
      </c>
      <c r="B374" t="s">
        <v>40</v>
      </c>
      <c r="C374" t="s">
        <v>33</v>
      </c>
      <c r="D374">
        <v>482</v>
      </c>
      <c r="E374" t="s">
        <v>42</v>
      </c>
      <c r="F374">
        <v>1</v>
      </c>
      <c r="G374">
        <v>2</v>
      </c>
      <c r="H374" t="s">
        <v>35</v>
      </c>
      <c r="I374">
        <v>1</v>
      </c>
      <c r="J374">
        <v>1893</v>
      </c>
      <c r="K374">
        <v>2</v>
      </c>
      <c r="L374" s="17" t="s">
        <v>36</v>
      </c>
      <c r="M374">
        <v>90</v>
      </c>
      <c r="N374">
        <v>2</v>
      </c>
      <c r="O374">
        <v>1</v>
      </c>
      <c r="P374" t="s">
        <v>44</v>
      </c>
      <c r="Q374">
        <v>3</v>
      </c>
      <c r="R374" t="s">
        <v>45</v>
      </c>
      <c r="S374" s="6">
        <v>2933</v>
      </c>
      <c r="T374">
        <v>14908</v>
      </c>
      <c r="U374">
        <v>1</v>
      </c>
      <c r="V374" t="s">
        <v>39</v>
      </c>
      <c r="W374" t="s">
        <v>32</v>
      </c>
      <c r="X374">
        <v>13</v>
      </c>
      <c r="Y374">
        <v>3</v>
      </c>
      <c r="Z374">
        <v>3</v>
      </c>
      <c r="AA374">
        <v>80</v>
      </c>
      <c r="AB374">
        <v>1</v>
      </c>
      <c r="AC374">
        <v>1</v>
      </c>
      <c r="AD374">
        <v>3</v>
      </c>
      <c r="AE374">
        <v>2</v>
      </c>
      <c r="AF374">
        <v>1</v>
      </c>
      <c r="AG374">
        <v>0</v>
      </c>
      <c r="AH374">
        <v>1</v>
      </c>
      <c r="AI374">
        <v>0</v>
      </c>
    </row>
    <row r="375" spans="1:35" x14ac:dyDescent="0.3">
      <c r="A375">
        <v>22</v>
      </c>
      <c r="B375" t="s">
        <v>40</v>
      </c>
      <c r="C375" t="s">
        <v>52</v>
      </c>
      <c r="D375">
        <v>1123</v>
      </c>
      <c r="E375" t="s">
        <v>42</v>
      </c>
      <c r="F375">
        <v>16</v>
      </c>
      <c r="G375">
        <v>2</v>
      </c>
      <c r="H375" t="s">
        <v>48</v>
      </c>
      <c r="I375">
        <v>1</v>
      </c>
      <c r="J375">
        <v>22</v>
      </c>
      <c r="K375">
        <v>4</v>
      </c>
      <c r="L375" s="17" t="s">
        <v>43</v>
      </c>
      <c r="M375">
        <v>96</v>
      </c>
      <c r="N375">
        <v>4</v>
      </c>
      <c r="O375">
        <v>1</v>
      </c>
      <c r="P375" t="s">
        <v>47</v>
      </c>
      <c r="Q375">
        <v>4</v>
      </c>
      <c r="R375" t="s">
        <v>49</v>
      </c>
      <c r="S375" s="6">
        <v>2935</v>
      </c>
      <c r="T375">
        <v>7324</v>
      </c>
      <c r="U375">
        <v>1</v>
      </c>
      <c r="V375" t="s">
        <v>39</v>
      </c>
      <c r="W375" t="s">
        <v>32</v>
      </c>
      <c r="X375">
        <v>13</v>
      </c>
      <c r="Y375">
        <v>3</v>
      </c>
      <c r="Z375">
        <v>2</v>
      </c>
      <c r="AA375">
        <v>80</v>
      </c>
      <c r="AB375">
        <v>2</v>
      </c>
      <c r="AC375">
        <v>1</v>
      </c>
      <c r="AD375">
        <v>2</v>
      </c>
      <c r="AE375">
        <v>2</v>
      </c>
      <c r="AF375">
        <v>1</v>
      </c>
      <c r="AG375">
        <v>0</v>
      </c>
      <c r="AH375">
        <v>0</v>
      </c>
      <c r="AI375">
        <v>0</v>
      </c>
    </row>
    <row r="376" spans="1:35" x14ac:dyDescent="0.3">
      <c r="A376">
        <v>44</v>
      </c>
      <c r="B376" t="s">
        <v>32</v>
      </c>
      <c r="C376" t="s">
        <v>33</v>
      </c>
      <c r="D376">
        <v>1097</v>
      </c>
      <c r="E376" t="s">
        <v>42</v>
      </c>
      <c r="F376">
        <v>10</v>
      </c>
      <c r="G376">
        <v>4</v>
      </c>
      <c r="H376" t="s">
        <v>35</v>
      </c>
      <c r="I376">
        <v>1</v>
      </c>
      <c r="J376">
        <v>1200</v>
      </c>
      <c r="K376">
        <v>3</v>
      </c>
      <c r="L376" s="17" t="s">
        <v>43</v>
      </c>
      <c r="M376">
        <v>96</v>
      </c>
      <c r="N376">
        <v>3</v>
      </c>
      <c r="O376">
        <v>1</v>
      </c>
      <c r="P376" t="s">
        <v>44</v>
      </c>
      <c r="Q376">
        <v>3</v>
      </c>
      <c r="R376" t="s">
        <v>38</v>
      </c>
      <c r="S376" s="6">
        <v>2936</v>
      </c>
      <c r="T376">
        <v>10826</v>
      </c>
      <c r="U376">
        <v>1</v>
      </c>
      <c r="V376" t="s">
        <v>39</v>
      </c>
      <c r="W376" t="s">
        <v>32</v>
      </c>
      <c r="X376">
        <v>11</v>
      </c>
      <c r="Y376">
        <v>3</v>
      </c>
      <c r="Z376">
        <v>3</v>
      </c>
      <c r="AA376">
        <v>80</v>
      </c>
      <c r="AB376">
        <v>0</v>
      </c>
      <c r="AC376">
        <v>6</v>
      </c>
      <c r="AD376">
        <v>4</v>
      </c>
      <c r="AE376">
        <v>3</v>
      </c>
      <c r="AF376">
        <v>6</v>
      </c>
      <c r="AG376">
        <v>4</v>
      </c>
      <c r="AH376">
        <v>0</v>
      </c>
      <c r="AI376">
        <v>2</v>
      </c>
    </row>
    <row r="377" spans="1:35" x14ac:dyDescent="0.3">
      <c r="A377">
        <v>42</v>
      </c>
      <c r="B377" t="s">
        <v>40</v>
      </c>
      <c r="C377" t="s">
        <v>52</v>
      </c>
      <c r="D377">
        <v>355</v>
      </c>
      <c r="E377" t="s">
        <v>42</v>
      </c>
      <c r="F377">
        <v>10</v>
      </c>
      <c r="G377">
        <v>4</v>
      </c>
      <c r="H377" t="s">
        <v>57</v>
      </c>
      <c r="I377">
        <v>1</v>
      </c>
      <c r="J377">
        <v>1854</v>
      </c>
      <c r="K377">
        <v>3</v>
      </c>
      <c r="L377" s="17" t="s">
        <v>43</v>
      </c>
      <c r="M377">
        <v>38</v>
      </c>
      <c r="N377">
        <v>3</v>
      </c>
      <c r="O377">
        <v>1</v>
      </c>
      <c r="P377" t="s">
        <v>44</v>
      </c>
      <c r="Q377">
        <v>3</v>
      </c>
      <c r="R377" t="s">
        <v>45</v>
      </c>
      <c r="S377" s="6">
        <v>2936</v>
      </c>
      <c r="T377">
        <v>6161</v>
      </c>
      <c r="U377">
        <v>3</v>
      </c>
      <c r="V377" t="s">
        <v>39</v>
      </c>
      <c r="W377" t="s">
        <v>40</v>
      </c>
      <c r="X377">
        <v>22</v>
      </c>
      <c r="Y377">
        <v>4</v>
      </c>
      <c r="Z377">
        <v>2</v>
      </c>
      <c r="AA377">
        <v>80</v>
      </c>
      <c r="AB377">
        <v>2</v>
      </c>
      <c r="AC377">
        <v>10</v>
      </c>
      <c r="AD377">
        <v>1</v>
      </c>
      <c r="AE377">
        <v>2</v>
      </c>
      <c r="AF377">
        <v>6</v>
      </c>
      <c r="AG377">
        <v>3</v>
      </c>
      <c r="AH377">
        <v>3</v>
      </c>
      <c r="AI377">
        <v>3</v>
      </c>
    </row>
    <row r="378" spans="1:35" x14ac:dyDescent="0.3">
      <c r="A378">
        <v>26</v>
      </c>
      <c r="B378" t="s">
        <v>40</v>
      </c>
      <c r="C378" t="s">
        <v>33</v>
      </c>
      <c r="D378">
        <v>1355</v>
      </c>
      <c r="E378" t="s">
        <v>58</v>
      </c>
      <c r="F378">
        <v>25</v>
      </c>
      <c r="G378">
        <v>1</v>
      </c>
      <c r="H378" t="s">
        <v>35</v>
      </c>
      <c r="I378">
        <v>1</v>
      </c>
      <c r="J378">
        <v>177</v>
      </c>
      <c r="K378">
        <v>3</v>
      </c>
      <c r="L378" s="17" t="s">
        <v>36</v>
      </c>
      <c r="M378">
        <v>61</v>
      </c>
      <c r="N378">
        <v>3</v>
      </c>
      <c r="O378">
        <v>1</v>
      </c>
      <c r="P378" t="s">
        <v>58</v>
      </c>
      <c r="Q378">
        <v>3</v>
      </c>
      <c r="R378" t="s">
        <v>45</v>
      </c>
      <c r="S378" s="6">
        <v>2942</v>
      </c>
      <c r="T378">
        <v>8916</v>
      </c>
      <c r="U378">
        <v>1</v>
      </c>
      <c r="V378" t="s">
        <v>39</v>
      </c>
      <c r="W378" t="s">
        <v>40</v>
      </c>
      <c r="X378">
        <v>23</v>
      </c>
      <c r="Y378">
        <v>4</v>
      </c>
      <c r="Z378">
        <v>4</v>
      </c>
      <c r="AA378">
        <v>80</v>
      </c>
      <c r="AB378">
        <v>1</v>
      </c>
      <c r="AC378">
        <v>8</v>
      </c>
      <c r="AD378">
        <v>3</v>
      </c>
      <c r="AE378">
        <v>3</v>
      </c>
      <c r="AF378">
        <v>8</v>
      </c>
      <c r="AG378">
        <v>7</v>
      </c>
      <c r="AH378">
        <v>5</v>
      </c>
      <c r="AI378">
        <v>7</v>
      </c>
    </row>
    <row r="379" spans="1:35" x14ac:dyDescent="0.3">
      <c r="A379">
        <v>56</v>
      </c>
      <c r="B379" t="s">
        <v>40</v>
      </c>
      <c r="C379" t="s">
        <v>41</v>
      </c>
      <c r="D379">
        <v>1240</v>
      </c>
      <c r="E379" t="s">
        <v>42</v>
      </c>
      <c r="F379">
        <v>9</v>
      </c>
      <c r="G379">
        <v>3</v>
      </c>
      <c r="H379" t="s">
        <v>48</v>
      </c>
      <c r="I379">
        <v>1</v>
      </c>
      <c r="J379">
        <v>1071</v>
      </c>
      <c r="K379">
        <v>1</v>
      </c>
      <c r="L379" s="17" t="s">
        <v>36</v>
      </c>
      <c r="M379">
        <v>63</v>
      </c>
      <c r="N379">
        <v>3</v>
      </c>
      <c r="O379">
        <v>1</v>
      </c>
      <c r="P379" t="s">
        <v>44</v>
      </c>
      <c r="Q379">
        <v>3</v>
      </c>
      <c r="R379" t="s">
        <v>45</v>
      </c>
      <c r="S379" s="6">
        <v>2942</v>
      </c>
      <c r="T379">
        <v>12154</v>
      </c>
      <c r="U379">
        <v>2</v>
      </c>
      <c r="V379" t="s">
        <v>39</v>
      </c>
      <c r="W379" t="s">
        <v>40</v>
      </c>
      <c r="X379">
        <v>19</v>
      </c>
      <c r="Y379">
        <v>3</v>
      </c>
      <c r="Z379">
        <v>2</v>
      </c>
      <c r="AA379">
        <v>80</v>
      </c>
      <c r="AB379">
        <v>1</v>
      </c>
      <c r="AC379">
        <v>18</v>
      </c>
      <c r="AD379">
        <v>4</v>
      </c>
      <c r="AE379">
        <v>3</v>
      </c>
      <c r="AF379">
        <v>5</v>
      </c>
      <c r="AG379">
        <v>4</v>
      </c>
      <c r="AH379">
        <v>0</v>
      </c>
      <c r="AI379">
        <v>3</v>
      </c>
    </row>
    <row r="380" spans="1:35" x14ac:dyDescent="0.3">
      <c r="A380">
        <v>52</v>
      </c>
      <c r="B380" t="s">
        <v>40</v>
      </c>
      <c r="C380" t="s">
        <v>33</v>
      </c>
      <c r="D380">
        <v>258</v>
      </c>
      <c r="E380" t="s">
        <v>42</v>
      </c>
      <c r="F380">
        <v>8</v>
      </c>
      <c r="G380">
        <v>4</v>
      </c>
      <c r="H380" t="s">
        <v>46</v>
      </c>
      <c r="I380">
        <v>1</v>
      </c>
      <c r="J380">
        <v>1409</v>
      </c>
      <c r="K380">
        <v>3</v>
      </c>
      <c r="L380" s="17" t="s">
        <v>36</v>
      </c>
      <c r="M380">
        <v>54</v>
      </c>
      <c r="N380">
        <v>3</v>
      </c>
      <c r="O380">
        <v>1</v>
      </c>
      <c r="P380" t="s">
        <v>47</v>
      </c>
      <c r="Q380">
        <v>1</v>
      </c>
      <c r="R380" t="s">
        <v>45</v>
      </c>
      <c r="S380" s="6">
        <v>2950</v>
      </c>
      <c r="T380">
        <v>17363</v>
      </c>
      <c r="U380">
        <v>9</v>
      </c>
      <c r="V380" t="s">
        <v>39</v>
      </c>
      <c r="W380" t="s">
        <v>40</v>
      </c>
      <c r="X380">
        <v>13</v>
      </c>
      <c r="Y380">
        <v>3</v>
      </c>
      <c r="Z380">
        <v>3</v>
      </c>
      <c r="AA380">
        <v>80</v>
      </c>
      <c r="AB380">
        <v>0</v>
      </c>
      <c r="AC380">
        <v>12</v>
      </c>
      <c r="AD380">
        <v>2</v>
      </c>
      <c r="AE380">
        <v>1</v>
      </c>
      <c r="AF380">
        <v>5</v>
      </c>
      <c r="AG380">
        <v>4</v>
      </c>
      <c r="AH380">
        <v>0</v>
      </c>
      <c r="AI380">
        <v>4</v>
      </c>
    </row>
    <row r="381" spans="1:35" x14ac:dyDescent="0.3">
      <c r="A381">
        <v>32</v>
      </c>
      <c r="B381" t="s">
        <v>40</v>
      </c>
      <c r="C381" t="s">
        <v>33</v>
      </c>
      <c r="D381">
        <v>827</v>
      </c>
      <c r="E381" t="s">
        <v>42</v>
      </c>
      <c r="F381">
        <v>1</v>
      </c>
      <c r="G381">
        <v>1</v>
      </c>
      <c r="H381" t="s">
        <v>35</v>
      </c>
      <c r="I381">
        <v>1</v>
      </c>
      <c r="J381">
        <v>134</v>
      </c>
      <c r="K381">
        <v>4</v>
      </c>
      <c r="L381" s="17" t="s">
        <v>43</v>
      </c>
      <c r="M381">
        <v>71</v>
      </c>
      <c r="N381">
        <v>3</v>
      </c>
      <c r="O381">
        <v>1</v>
      </c>
      <c r="P381" t="s">
        <v>44</v>
      </c>
      <c r="Q381">
        <v>1</v>
      </c>
      <c r="R381" t="s">
        <v>38</v>
      </c>
      <c r="S381" s="6">
        <v>2956</v>
      </c>
      <c r="T381">
        <v>15178</v>
      </c>
      <c r="U381">
        <v>1</v>
      </c>
      <c r="V381" t="s">
        <v>39</v>
      </c>
      <c r="W381" t="s">
        <v>40</v>
      </c>
      <c r="X381">
        <v>13</v>
      </c>
      <c r="Y381">
        <v>3</v>
      </c>
      <c r="Z381">
        <v>4</v>
      </c>
      <c r="AA381">
        <v>80</v>
      </c>
      <c r="AB381">
        <v>0</v>
      </c>
      <c r="AC381">
        <v>1</v>
      </c>
      <c r="AD381">
        <v>2</v>
      </c>
      <c r="AE381">
        <v>3</v>
      </c>
      <c r="AF381">
        <v>1</v>
      </c>
      <c r="AG381">
        <v>0</v>
      </c>
      <c r="AH381">
        <v>0</v>
      </c>
      <c r="AI381">
        <v>0</v>
      </c>
    </row>
    <row r="382" spans="1:35" x14ac:dyDescent="0.3">
      <c r="A382">
        <v>31</v>
      </c>
      <c r="B382" t="s">
        <v>32</v>
      </c>
      <c r="C382" t="s">
        <v>33</v>
      </c>
      <c r="D382">
        <v>359</v>
      </c>
      <c r="E382" t="s">
        <v>58</v>
      </c>
      <c r="F382">
        <v>18</v>
      </c>
      <c r="G382">
        <v>5</v>
      </c>
      <c r="H382" t="s">
        <v>58</v>
      </c>
      <c r="I382">
        <v>1</v>
      </c>
      <c r="J382">
        <v>1842</v>
      </c>
      <c r="K382">
        <v>4</v>
      </c>
      <c r="L382" s="17" t="s">
        <v>43</v>
      </c>
      <c r="M382">
        <v>89</v>
      </c>
      <c r="N382">
        <v>4</v>
      </c>
      <c r="O382">
        <v>1</v>
      </c>
      <c r="P382" t="s">
        <v>58</v>
      </c>
      <c r="Q382">
        <v>1</v>
      </c>
      <c r="R382" t="s">
        <v>45</v>
      </c>
      <c r="S382" s="6">
        <v>2956</v>
      </c>
      <c r="T382">
        <v>21495</v>
      </c>
      <c r="U382">
        <v>0</v>
      </c>
      <c r="V382" t="s">
        <v>39</v>
      </c>
      <c r="W382" t="s">
        <v>40</v>
      </c>
      <c r="X382">
        <v>17</v>
      </c>
      <c r="Y382">
        <v>3</v>
      </c>
      <c r="Z382">
        <v>3</v>
      </c>
      <c r="AA382">
        <v>80</v>
      </c>
      <c r="AB382">
        <v>0</v>
      </c>
      <c r="AC382">
        <v>2</v>
      </c>
      <c r="AD382">
        <v>4</v>
      </c>
      <c r="AE382">
        <v>3</v>
      </c>
      <c r="AF382">
        <v>1</v>
      </c>
      <c r="AG382">
        <v>0</v>
      </c>
      <c r="AH382">
        <v>0</v>
      </c>
      <c r="AI382">
        <v>0</v>
      </c>
    </row>
    <row r="383" spans="1:35" x14ac:dyDescent="0.3">
      <c r="A383">
        <v>34</v>
      </c>
      <c r="B383" t="s">
        <v>32</v>
      </c>
      <c r="C383" t="s">
        <v>33</v>
      </c>
      <c r="D383">
        <v>699</v>
      </c>
      <c r="E383" t="s">
        <v>42</v>
      </c>
      <c r="F383">
        <v>6</v>
      </c>
      <c r="G383">
        <v>1</v>
      </c>
      <c r="H383" t="s">
        <v>48</v>
      </c>
      <c r="I383">
        <v>1</v>
      </c>
      <c r="J383">
        <v>31</v>
      </c>
      <c r="K383">
        <v>2</v>
      </c>
      <c r="L383" s="17" t="s">
        <v>43</v>
      </c>
      <c r="M383">
        <v>83</v>
      </c>
      <c r="N383">
        <v>3</v>
      </c>
      <c r="O383">
        <v>1</v>
      </c>
      <c r="P383" t="s">
        <v>44</v>
      </c>
      <c r="Q383">
        <v>1</v>
      </c>
      <c r="R383" t="s">
        <v>38</v>
      </c>
      <c r="S383" s="6">
        <v>2960</v>
      </c>
      <c r="T383">
        <v>17102</v>
      </c>
      <c r="U383">
        <v>2</v>
      </c>
      <c r="V383" t="s">
        <v>39</v>
      </c>
      <c r="W383" t="s">
        <v>40</v>
      </c>
      <c r="X383">
        <v>11</v>
      </c>
      <c r="Y383">
        <v>3</v>
      </c>
      <c r="Z383">
        <v>3</v>
      </c>
      <c r="AA383">
        <v>80</v>
      </c>
      <c r="AB383">
        <v>0</v>
      </c>
      <c r="AC383">
        <v>8</v>
      </c>
      <c r="AD383">
        <v>2</v>
      </c>
      <c r="AE383">
        <v>3</v>
      </c>
      <c r="AF383">
        <v>4</v>
      </c>
      <c r="AG383">
        <v>2</v>
      </c>
      <c r="AH383">
        <v>1</v>
      </c>
      <c r="AI383">
        <v>3</v>
      </c>
    </row>
    <row r="384" spans="1:35" x14ac:dyDescent="0.3">
      <c r="A384">
        <v>26</v>
      </c>
      <c r="B384" t="s">
        <v>40</v>
      </c>
      <c r="C384" t="s">
        <v>33</v>
      </c>
      <c r="D384">
        <v>1167</v>
      </c>
      <c r="E384" t="s">
        <v>34</v>
      </c>
      <c r="F384">
        <v>5</v>
      </c>
      <c r="G384">
        <v>3</v>
      </c>
      <c r="H384" t="s">
        <v>46</v>
      </c>
      <c r="I384">
        <v>1</v>
      </c>
      <c r="J384">
        <v>2060</v>
      </c>
      <c r="K384">
        <v>4</v>
      </c>
      <c r="L384" s="17" t="s">
        <v>36</v>
      </c>
      <c r="M384">
        <v>30</v>
      </c>
      <c r="N384">
        <v>2</v>
      </c>
      <c r="O384">
        <v>1</v>
      </c>
      <c r="P384" t="s">
        <v>54</v>
      </c>
      <c r="Q384">
        <v>3</v>
      </c>
      <c r="R384" t="s">
        <v>38</v>
      </c>
      <c r="S384" s="6">
        <v>2966</v>
      </c>
      <c r="T384">
        <v>21378</v>
      </c>
      <c r="U384">
        <v>0</v>
      </c>
      <c r="V384" t="s">
        <v>39</v>
      </c>
      <c r="W384" t="s">
        <v>40</v>
      </c>
      <c r="X384">
        <v>18</v>
      </c>
      <c r="Y384">
        <v>3</v>
      </c>
      <c r="Z384">
        <v>4</v>
      </c>
      <c r="AA384">
        <v>80</v>
      </c>
      <c r="AB384">
        <v>0</v>
      </c>
      <c r="AC384">
        <v>5</v>
      </c>
      <c r="AD384">
        <v>2</v>
      </c>
      <c r="AE384">
        <v>3</v>
      </c>
      <c r="AF384">
        <v>4</v>
      </c>
      <c r="AG384">
        <v>2</v>
      </c>
      <c r="AH384">
        <v>0</v>
      </c>
      <c r="AI384">
        <v>0</v>
      </c>
    </row>
    <row r="385" spans="1:35" x14ac:dyDescent="0.3">
      <c r="A385">
        <v>34</v>
      </c>
      <c r="B385" t="s">
        <v>40</v>
      </c>
      <c r="C385" t="s">
        <v>33</v>
      </c>
      <c r="D385">
        <v>479</v>
      </c>
      <c r="E385" t="s">
        <v>42</v>
      </c>
      <c r="F385">
        <v>7</v>
      </c>
      <c r="G385">
        <v>4</v>
      </c>
      <c r="H385" t="s">
        <v>48</v>
      </c>
      <c r="I385">
        <v>1</v>
      </c>
      <c r="J385">
        <v>1577</v>
      </c>
      <c r="K385">
        <v>1</v>
      </c>
      <c r="L385" s="17" t="s">
        <v>43</v>
      </c>
      <c r="M385">
        <v>35</v>
      </c>
      <c r="N385">
        <v>3</v>
      </c>
      <c r="O385">
        <v>1</v>
      </c>
      <c r="P385" t="s">
        <v>44</v>
      </c>
      <c r="Q385">
        <v>4</v>
      </c>
      <c r="R385" t="s">
        <v>38</v>
      </c>
      <c r="S385" s="6">
        <v>2972</v>
      </c>
      <c r="T385">
        <v>22061</v>
      </c>
      <c r="U385">
        <v>1</v>
      </c>
      <c r="V385" t="s">
        <v>39</v>
      </c>
      <c r="W385" t="s">
        <v>40</v>
      </c>
      <c r="X385">
        <v>13</v>
      </c>
      <c r="Y385">
        <v>3</v>
      </c>
      <c r="Z385">
        <v>3</v>
      </c>
      <c r="AA385">
        <v>80</v>
      </c>
      <c r="AB385">
        <v>0</v>
      </c>
      <c r="AC385">
        <v>1</v>
      </c>
      <c r="AD385">
        <v>4</v>
      </c>
      <c r="AE385">
        <v>1</v>
      </c>
      <c r="AF385">
        <v>1</v>
      </c>
      <c r="AG385">
        <v>0</v>
      </c>
      <c r="AH385">
        <v>0</v>
      </c>
      <c r="AI385">
        <v>0</v>
      </c>
    </row>
    <row r="386" spans="1:35" x14ac:dyDescent="0.3">
      <c r="A386">
        <v>37</v>
      </c>
      <c r="B386" t="s">
        <v>40</v>
      </c>
      <c r="C386" t="s">
        <v>41</v>
      </c>
      <c r="D386">
        <v>1231</v>
      </c>
      <c r="E386" t="s">
        <v>34</v>
      </c>
      <c r="F386">
        <v>21</v>
      </c>
      <c r="G386">
        <v>2</v>
      </c>
      <c r="H386" t="s">
        <v>48</v>
      </c>
      <c r="I386">
        <v>1</v>
      </c>
      <c r="J386">
        <v>900</v>
      </c>
      <c r="K386">
        <v>3</v>
      </c>
      <c r="L386" s="17" t="s">
        <v>36</v>
      </c>
      <c r="M386">
        <v>54</v>
      </c>
      <c r="N386">
        <v>3</v>
      </c>
      <c r="O386">
        <v>1</v>
      </c>
      <c r="P386" t="s">
        <v>54</v>
      </c>
      <c r="Q386">
        <v>4</v>
      </c>
      <c r="R386" t="s">
        <v>45</v>
      </c>
      <c r="S386" s="6">
        <v>2973</v>
      </c>
      <c r="T386">
        <v>21222</v>
      </c>
      <c r="U386">
        <v>5</v>
      </c>
      <c r="V386" t="s">
        <v>39</v>
      </c>
      <c r="W386" t="s">
        <v>40</v>
      </c>
      <c r="X386">
        <v>15</v>
      </c>
      <c r="Y386">
        <v>3</v>
      </c>
      <c r="Z386">
        <v>2</v>
      </c>
      <c r="AA386">
        <v>80</v>
      </c>
      <c r="AB386">
        <v>1</v>
      </c>
      <c r="AC386">
        <v>10</v>
      </c>
      <c r="AD386">
        <v>3</v>
      </c>
      <c r="AE386">
        <v>3</v>
      </c>
      <c r="AF386">
        <v>5</v>
      </c>
      <c r="AG386">
        <v>4</v>
      </c>
      <c r="AH386">
        <v>0</v>
      </c>
      <c r="AI386">
        <v>0</v>
      </c>
    </row>
    <row r="387" spans="1:35" x14ac:dyDescent="0.3">
      <c r="A387">
        <v>20</v>
      </c>
      <c r="B387" t="s">
        <v>32</v>
      </c>
      <c r="C387" t="s">
        <v>33</v>
      </c>
      <c r="D387">
        <v>129</v>
      </c>
      <c r="E387" t="s">
        <v>42</v>
      </c>
      <c r="F387">
        <v>4</v>
      </c>
      <c r="G387">
        <v>3</v>
      </c>
      <c r="H387" t="s">
        <v>57</v>
      </c>
      <c r="I387">
        <v>1</v>
      </c>
      <c r="J387">
        <v>960</v>
      </c>
      <c r="K387">
        <v>1</v>
      </c>
      <c r="L387" s="17" t="s">
        <v>43</v>
      </c>
      <c r="M387">
        <v>84</v>
      </c>
      <c r="N387">
        <v>3</v>
      </c>
      <c r="O387">
        <v>1</v>
      </c>
      <c r="P387" t="s">
        <v>47</v>
      </c>
      <c r="Q387">
        <v>1</v>
      </c>
      <c r="R387" t="s">
        <v>38</v>
      </c>
      <c r="S387" s="6">
        <v>2973</v>
      </c>
      <c r="T387">
        <v>13008</v>
      </c>
      <c r="U387">
        <v>1</v>
      </c>
      <c r="V387" t="s">
        <v>39</v>
      </c>
      <c r="W387" t="s">
        <v>40</v>
      </c>
      <c r="X387">
        <v>19</v>
      </c>
      <c r="Y387">
        <v>3</v>
      </c>
      <c r="Z387">
        <v>2</v>
      </c>
      <c r="AA387">
        <v>80</v>
      </c>
      <c r="AB387">
        <v>0</v>
      </c>
      <c r="AC387">
        <v>1</v>
      </c>
      <c r="AD387">
        <v>2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29</v>
      </c>
      <c r="B388" t="s">
        <v>40</v>
      </c>
      <c r="C388" t="s">
        <v>33</v>
      </c>
      <c r="D388">
        <v>1082</v>
      </c>
      <c r="E388" t="s">
        <v>42</v>
      </c>
      <c r="F388">
        <v>9</v>
      </c>
      <c r="G388">
        <v>4</v>
      </c>
      <c r="H388" t="s">
        <v>48</v>
      </c>
      <c r="I388">
        <v>1</v>
      </c>
      <c r="J388">
        <v>1709</v>
      </c>
      <c r="K388">
        <v>4</v>
      </c>
      <c r="L388" s="17" t="s">
        <v>36</v>
      </c>
      <c r="M388">
        <v>43</v>
      </c>
      <c r="N388">
        <v>3</v>
      </c>
      <c r="O388">
        <v>1</v>
      </c>
      <c r="P388" t="s">
        <v>47</v>
      </c>
      <c r="Q388">
        <v>3</v>
      </c>
      <c r="R388" t="s">
        <v>45</v>
      </c>
      <c r="S388" s="6">
        <v>2974</v>
      </c>
      <c r="T388">
        <v>25412</v>
      </c>
      <c r="U388">
        <v>9</v>
      </c>
      <c r="V388" t="s">
        <v>39</v>
      </c>
      <c r="W388" t="s">
        <v>40</v>
      </c>
      <c r="X388">
        <v>17</v>
      </c>
      <c r="Y388">
        <v>3</v>
      </c>
      <c r="Z388">
        <v>3</v>
      </c>
      <c r="AA388">
        <v>80</v>
      </c>
      <c r="AB388">
        <v>1</v>
      </c>
      <c r="AC388">
        <v>9</v>
      </c>
      <c r="AD388">
        <v>2</v>
      </c>
      <c r="AE388">
        <v>3</v>
      </c>
      <c r="AF388">
        <v>5</v>
      </c>
      <c r="AG388">
        <v>3</v>
      </c>
      <c r="AH388">
        <v>1</v>
      </c>
      <c r="AI388">
        <v>2</v>
      </c>
    </row>
    <row r="389" spans="1:35" x14ac:dyDescent="0.3">
      <c r="A389">
        <v>47</v>
      </c>
      <c r="B389" t="s">
        <v>40</v>
      </c>
      <c r="C389" t="s">
        <v>41</v>
      </c>
      <c r="D389">
        <v>1309</v>
      </c>
      <c r="E389" t="s">
        <v>34</v>
      </c>
      <c r="F389">
        <v>4</v>
      </c>
      <c r="G389">
        <v>1</v>
      </c>
      <c r="H389" t="s">
        <v>48</v>
      </c>
      <c r="I389">
        <v>1</v>
      </c>
      <c r="J389">
        <v>467</v>
      </c>
      <c r="K389">
        <v>2</v>
      </c>
      <c r="L389" s="17" t="s">
        <v>43</v>
      </c>
      <c r="M389">
        <v>99</v>
      </c>
      <c r="N389">
        <v>3</v>
      </c>
      <c r="O389">
        <v>2</v>
      </c>
      <c r="P389" t="s">
        <v>54</v>
      </c>
      <c r="Q389">
        <v>3</v>
      </c>
      <c r="R389" t="s">
        <v>38</v>
      </c>
      <c r="S389" s="6">
        <v>2976</v>
      </c>
      <c r="T389">
        <v>25751</v>
      </c>
      <c r="U389">
        <v>3</v>
      </c>
      <c r="V389" t="s">
        <v>39</v>
      </c>
      <c r="W389" t="s">
        <v>40</v>
      </c>
      <c r="X389">
        <v>19</v>
      </c>
      <c r="Y389">
        <v>3</v>
      </c>
      <c r="Z389">
        <v>1</v>
      </c>
      <c r="AA389">
        <v>80</v>
      </c>
      <c r="AB389">
        <v>0</v>
      </c>
      <c r="AC389">
        <v>5</v>
      </c>
      <c r="AD389">
        <v>3</v>
      </c>
      <c r="AE389">
        <v>3</v>
      </c>
      <c r="AF389">
        <v>0</v>
      </c>
      <c r="AG389">
        <v>0</v>
      </c>
      <c r="AH389">
        <v>0</v>
      </c>
      <c r="AI389">
        <v>0</v>
      </c>
    </row>
    <row r="390" spans="1:35" x14ac:dyDescent="0.3">
      <c r="A390">
        <v>35</v>
      </c>
      <c r="B390" t="s">
        <v>40</v>
      </c>
      <c r="C390" t="s">
        <v>33</v>
      </c>
      <c r="D390">
        <v>287</v>
      </c>
      <c r="E390" t="s">
        <v>42</v>
      </c>
      <c r="F390">
        <v>1</v>
      </c>
      <c r="G390">
        <v>4</v>
      </c>
      <c r="H390" t="s">
        <v>35</v>
      </c>
      <c r="I390">
        <v>1</v>
      </c>
      <c r="J390">
        <v>2052</v>
      </c>
      <c r="K390">
        <v>3</v>
      </c>
      <c r="L390" s="17" t="s">
        <v>36</v>
      </c>
      <c r="M390">
        <v>62</v>
      </c>
      <c r="N390">
        <v>1</v>
      </c>
      <c r="O390">
        <v>1</v>
      </c>
      <c r="P390" t="s">
        <v>44</v>
      </c>
      <c r="Q390">
        <v>4</v>
      </c>
      <c r="R390" t="s">
        <v>45</v>
      </c>
      <c r="S390" s="6">
        <v>2977</v>
      </c>
      <c r="T390">
        <v>8952</v>
      </c>
      <c r="U390">
        <v>1</v>
      </c>
      <c r="V390" t="s">
        <v>39</v>
      </c>
      <c r="W390" t="s">
        <v>40</v>
      </c>
      <c r="X390">
        <v>12</v>
      </c>
      <c r="Y390">
        <v>3</v>
      </c>
      <c r="Z390">
        <v>4</v>
      </c>
      <c r="AA390">
        <v>80</v>
      </c>
      <c r="AB390">
        <v>1</v>
      </c>
      <c r="AC390">
        <v>4</v>
      </c>
      <c r="AD390">
        <v>5</v>
      </c>
      <c r="AE390">
        <v>3</v>
      </c>
      <c r="AF390">
        <v>4</v>
      </c>
      <c r="AG390">
        <v>3</v>
      </c>
      <c r="AH390">
        <v>1</v>
      </c>
      <c r="AI390">
        <v>1</v>
      </c>
    </row>
    <row r="391" spans="1:35" x14ac:dyDescent="0.3">
      <c r="A391">
        <v>34</v>
      </c>
      <c r="B391" t="s">
        <v>40</v>
      </c>
      <c r="C391" t="s">
        <v>52</v>
      </c>
      <c r="D391">
        <v>697</v>
      </c>
      <c r="E391" t="s">
        <v>42</v>
      </c>
      <c r="F391">
        <v>3</v>
      </c>
      <c r="G391">
        <v>4</v>
      </c>
      <c r="H391" t="s">
        <v>35</v>
      </c>
      <c r="I391">
        <v>1</v>
      </c>
      <c r="J391">
        <v>1115</v>
      </c>
      <c r="K391">
        <v>3</v>
      </c>
      <c r="L391" s="17" t="s">
        <v>43</v>
      </c>
      <c r="M391">
        <v>40</v>
      </c>
      <c r="N391">
        <v>2</v>
      </c>
      <c r="O391">
        <v>1</v>
      </c>
      <c r="P391" t="s">
        <v>44</v>
      </c>
      <c r="Q391">
        <v>4</v>
      </c>
      <c r="R391" t="s">
        <v>45</v>
      </c>
      <c r="S391" s="6">
        <v>2979</v>
      </c>
      <c r="T391">
        <v>22478</v>
      </c>
      <c r="U391">
        <v>3</v>
      </c>
      <c r="V391" t="s">
        <v>39</v>
      </c>
      <c r="W391" t="s">
        <v>40</v>
      </c>
      <c r="X391">
        <v>17</v>
      </c>
      <c r="Y391">
        <v>3</v>
      </c>
      <c r="Z391">
        <v>4</v>
      </c>
      <c r="AA391">
        <v>80</v>
      </c>
      <c r="AB391">
        <v>3</v>
      </c>
      <c r="AC391">
        <v>6</v>
      </c>
      <c r="AD391">
        <v>2</v>
      </c>
      <c r="AE391">
        <v>3</v>
      </c>
      <c r="AF391">
        <v>0</v>
      </c>
      <c r="AG391">
        <v>0</v>
      </c>
      <c r="AH391">
        <v>0</v>
      </c>
      <c r="AI391">
        <v>0</v>
      </c>
    </row>
    <row r="392" spans="1:35" x14ac:dyDescent="0.3">
      <c r="A392">
        <v>30</v>
      </c>
      <c r="B392" t="s">
        <v>40</v>
      </c>
      <c r="C392" t="s">
        <v>33</v>
      </c>
      <c r="D392">
        <v>413</v>
      </c>
      <c r="E392" t="s">
        <v>34</v>
      </c>
      <c r="F392">
        <v>7</v>
      </c>
      <c r="G392">
        <v>1</v>
      </c>
      <c r="H392" t="s">
        <v>56</v>
      </c>
      <c r="I392">
        <v>1</v>
      </c>
      <c r="J392">
        <v>585</v>
      </c>
      <c r="K392">
        <v>4</v>
      </c>
      <c r="L392" s="17" t="s">
        <v>43</v>
      </c>
      <c r="M392">
        <v>57</v>
      </c>
      <c r="N392">
        <v>3</v>
      </c>
      <c r="O392">
        <v>1</v>
      </c>
      <c r="P392" t="s">
        <v>54</v>
      </c>
      <c r="Q392">
        <v>2</v>
      </c>
      <c r="R392" t="s">
        <v>38</v>
      </c>
      <c r="S392" s="6">
        <v>2983</v>
      </c>
      <c r="T392">
        <v>18398</v>
      </c>
      <c r="U392">
        <v>0</v>
      </c>
      <c r="V392" t="s">
        <v>39</v>
      </c>
      <c r="W392" t="s">
        <v>40</v>
      </c>
      <c r="X392">
        <v>14</v>
      </c>
      <c r="Y392">
        <v>3</v>
      </c>
      <c r="Z392">
        <v>1</v>
      </c>
      <c r="AA392">
        <v>80</v>
      </c>
      <c r="AB392">
        <v>0</v>
      </c>
      <c r="AC392">
        <v>4</v>
      </c>
      <c r="AD392">
        <v>3</v>
      </c>
      <c r="AE392">
        <v>3</v>
      </c>
      <c r="AF392">
        <v>3</v>
      </c>
      <c r="AG392">
        <v>2</v>
      </c>
      <c r="AH392">
        <v>1</v>
      </c>
      <c r="AI392">
        <v>2</v>
      </c>
    </row>
    <row r="393" spans="1:35" x14ac:dyDescent="0.3">
      <c r="A393">
        <v>38</v>
      </c>
      <c r="B393" t="s">
        <v>40</v>
      </c>
      <c r="C393" t="s">
        <v>41</v>
      </c>
      <c r="D393">
        <v>1444</v>
      </c>
      <c r="E393" t="s">
        <v>58</v>
      </c>
      <c r="F393">
        <v>1</v>
      </c>
      <c r="G393">
        <v>4</v>
      </c>
      <c r="H393" t="s">
        <v>46</v>
      </c>
      <c r="I393">
        <v>1</v>
      </c>
      <c r="J393">
        <v>1972</v>
      </c>
      <c r="K393">
        <v>4</v>
      </c>
      <c r="L393" s="17" t="s">
        <v>43</v>
      </c>
      <c r="M393">
        <v>88</v>
      </c>
      <c r="N393">
        <v>3</v>
      </c>
      <c r="O393">
        <v>1</v>
      </c>
      <c r="P393" t="s">
        <v>58</v>
      </c>
      <c r="Q393">
        <v>2</v>
      </c>
      <c r="R393" t="s">
        <v>45</v>
      </c>
      <c r="S393" s="6">
        <v>2991</v>
      </c>
      <c r="T393">
        <v>5224</v>
      </c>
      <c r="U393">
        <v>0</v>
      </c>
      <c r="V393" t="s">
        <v>39</v>
      </c>
      <c r="W393" t="s">
        <v>32</v>
      </c>
      <c r="X393">
        <v>11</v>
      </c>
      <c r="Y393">
        <v>3</v>
      </c>
      <c r="Z393">
        <v>2</v>
      </c>
      <c r="AA393">
        <v>80</v>
      </c>
      <c r="AB393">
        <v>1</v>
      </c>
      <c r="AC393">
        <v>7</v>
      </c>
      <c r="AD393">
        <v>2</v>
      </c>
      <c r="AE393">
        <v>3</v>
      </c>
      <c r="AF393">
        <v>6</v>
      </c>
      <c r="AG393">
        <v>2</v>
      </c>
      <c r="AH393">
        <v>1</v>
      </c>
      <c r="AI393">
        <v>2</v>
      </c>
    </row>
    <row r="394" spans="1:35" x14ac:dyDescent="0.3">
      <c r="A394">
        <v>19</v>
      </c>
      <c r="B394" t="s">
        <v>40</v>
      </c>
      <c r="C394" t="s">
        <v>33</v>
      </c>
      <c r="D394">
        <v>265</v>
      </c>
      <c r="E394" t="s">
        <v>42</v>
      </c>
      <c r="F394">
        <v>25</v>
      </c>
      <c r="G394">
        <v>3</v>
      </c>
      <c r="H394" t="s">
        <v>35</v>
      </c>
      <c r="I394">
        <v>1</v>
      </c>
      <c r="J394">
        <v>1269</v>
      </c>
      <c r="K394">
        <v>2</v>
      </c>
      <c r="L394" s="17" t="s">
        <v>36</v>
      </c>
      <c r="M394">
        <v>57</v>
      </c>
      <c r="N394">
        <v>4</v>
      </c>
      <c r="O394">
        <v>1</v>
      </c>
      <c r="P394" t="s">
        <v>44</v>
      </c>
      <c r="Q394">
        <v>4</v>
      </c>
      <c r="R394" t="s">
        <v>38</v>
      </c>
      <c r="S394" s="6">
        <v>2994</v>
      </c>
      <c r="T394">
        <v>21221</v>
      </c>
      <c r="U394">
        <v>1</v>
      </c>
      <c r="V394" t="s">
        <v>39</v>
      </c>
      <c r="W394" t="s">
        <v>32</v>
      </c>
      <c r="X394">
        <v>12</v>
      </c>
      <c r="Y394">
        <v>3</v>
      </c>
      <c r="Z394">
        <v>4</v>
      </c>
      <c r="AA394">
        <v>80</v>
      </c>
      <c r="AB394">
        <v>0</v>
      </c>
      <c r="AC394">
        <v>1</v>
      </c>
      <c r="AD394">
        <v>2</v>
      </c>
      <c r="AE394">
        <v>3</v>
      </c>
      <c r="AF394">
        <v>1</v>
      </c>
      <c r="AG394">
        <v>0</v>
      </c>
      <c r="AH394">
        <v>0</v>
      </c>
      <c r="AI394">
        <v>1</v>
      </c>
    </row>
    <row r="395" spans="1:35" x14ac:dyDescent="0.3">
      <c r="A395">
        <v>37</v>
      </c>
      <c r="B395" t="s">
        <v>40</v>
      </c>
      <c r="C395" t="s">
        <v>33</v>
      </c>
      <c r="D395">
        <v>1439</v>
      </c>
      <c r="E395" t="s">
        <v>42</v>
      </c>
      <c r="F395">
        <v>4</v>
      </c>
      <c r="G395">
        <v>1</v>
      </c>
      <c r="H395" t="s">
        <v>35</v>
      </c>
      <c r="I395">
        <v>1</v>
      </c>
      <c r="J395">
        <v>1394</v>
      </c>
      <c r="K395">
        <v>3</v>
      </c>
      <c r="L395" s="17" t="s">
        <v>43</v>
      </c>
      <c r="M395">
        <v>54</v>
      </c>
      <c r="N395">
        <v>3</v>
      </c>
      <c r="O395">
        <v>1</v>
      </c>
      <c r="P395" t="s">
        <v>44</v>
      </c>
      <c r="Q395">
        <v>3</v>
      </c>
      <c r="R395" t="s">
        <v>45</v>
      </c>
      <c r="S395" s="6">
        <v>2996</v>
      </c>
      <c r="T395">
        <v>5182</v>
      </c>
      <c r="U395">
        <v>7</v>
      </c>
      <c r="V395" t="s">
        <v>39</v>
      </c>
      <c r="W395" t="s">
        <v>32</v>
      </c>
      <c r="X395">
        <v>15</v>
      </c>
      <c r="Y395">
        <v>3</v>
      </c>
      <c r="Z395">
        <v>4</v>
      </c>
      <c r="AA395">
        <v>80</v>
      </c>
      <c r="AB395">
        <v>0</v>
      </c>
      <c r="AC395">
        <v>8</v>
      </c>
      <c r="AD395">
        <v>2</v>
      </c>
      <c r="AE395">
        <v>3</v>
      </c>
      <c r="AF395">
        <v>6</v>
      </c>
      <c r="AG395">
        <v>4</v>
      </c>
      <c r="AH395">
        <v>1</v>
      </c>
      <c r="AI395">
        <v>3</v>
      </c>
    </row>
    <row r="396" spans="1:35" x14ac:dyDescent="0.3">
      <c r="A396">
        <v>34</v>
      </c>
      <c r="B396" t="s">
        <v>40</v>
      </c>
      <c r="C396" t="s">
        <v>41</v>
      </c>
      <c r="D396">
        <v>560</v>
      </c>
      <c r="E396" t="s">
        <v>42</v>
      </c>
      <c r="F396">
        <v>1</v>
      </c>
      <c r="G396">
        <v>4</v>
      </c>
      <c r="H396" t="s">
        <v>46</v>
      </c>
      <c r="I396">
        <v>1</v>
      </c>
      <c r="J396">
        <v>1431</v>
      </c>
      <c r="K396">
        <v>4</v>
      </c>
      <c r="L396" s="17" t="s">
        <v>43</v>
      </c>
      <c r="M396">
        <v>91</v>
      </c>
      <c r="N396">
        <v>3</v>
      </c>
      <c r="O396">
        <v>1</v>
      </c>
      <c r="P396" t="s">
        <v>44</v>
      </c>
      <c r="Q396">
        <v>1</v>
      </c>
      <c r="R396" t="s">
        <v>49</v>
      </c>
      <c r="S396" s="6">
        <v>2996</v>
      </c>
      <c r="T396">
        <v>20284</v>
      </c>
      <c r="U396">
        <v>5</v>
      </c>
      <c r="V396" t="s">
        <v>39</v>
      </c>
      <c r="W396" t="s">
        <v>40</v>
      </c>
      <c r="X396">
        <v>14</v>
      </c>
      <c r="Y396">
        <v>3</v>
      </c>
      <c r="Z396">
        <v>3</v>
      </c>
      <c r="AA396">
        <v>80</v>
      </c>
      <c r="AB396">
        <v>2</v>
      </c>
      <c r="AC396">
        <v>10</v>
      </c>
      <c r="AD396">
        <v>2</v>
      </c>
      <c r="AE396">
        <v>3</v>
      </c>
      <c r="AF396">
        <v>4</v>
      </c>
      <c r="AG396">
        <v>3</v>
      </c>
      <c r="AH396">
        <v>1</v>
      </c>
      <c r="AI396">
        <v>3</v>
      </c>
    </row>
    <row r="397" spans="1:35" x14ac:dyDescent="0.3">
      <c r="A397">
        <v>37</v>
      </c>
      <c r="B397" t="s">
        <v>40</v>
      </c>
      <c r="C397" t="s">
        <v>33</v>
      </c>
      <c r="D397">
        <v>408</v>
      </c>
      <c r="E397" t="s">
        <v>42</v>
      </c>
      <c r="F397">
        <v>19</v>
      </c>
      <c r="G397">
        <v>2</v>
      </c>
      <c r="H397" t="s">
        <v>35</v>
      </c>
      <c r="I397">
        <v>1</v>
      </c>
      <c r="J397">
        <v>61</v>
      </c>
      <c r="K397">
        <v>2</v>
      </c>
      <c r="L397" s="17" t="s">
        <v>43</v>
      </c>
      <c r="M397">
        <v>73</v>
      </c>
      <c r="N397">
        <v>3</v>
      </c>
      <c r="O397">
        <v>1</v>
      </c>
      <c r="P397" t="s">
        <v>44</v>
      </c>
      <c r="Q397">
        <v>2</v>
      </c>
      <c r="R397" t="s">
        <v>45</v>
      </c>
      <c r="S397" s="6">
        <v>3022</v>
      </c>
      <c r="T397">
        <v>10227</v>
      </c>
      <c r="U397">
        <v>4</v>
      </c>
      <c r="V397" t="s">
        <v>39</v>
      </c>
      <c r="W397" t="s">
        <v>40</v>
      </c>
      <c r="X397">
        <v>21</v>
      </c>
      <c r="Y397">
        <v>4</v>
      </c>
      <c r="Z397">
        <v>1</v>
      </c>
      <c r="AA397">
        <v>80</v>
      </c>
      <c r="AB397">
        <v>0</v>
      </c>
      <c r="AC397">
        <v>8</v>
      </c>
      <c r="AD397">
        <v>1</v>
      </c>
      <c r="AE397">
        <v>3</v>
      </c>
      <c r="AF397">
        <v>1</v>
      </c>
      <c r="AG397">
        <v>0</v>
      </c>
      <c r="AH397">
        <v>0</v>
      </c>
      <c r="AI397">
        <v>0</v>
      </c>
    </row>
    <row r="398" spans="1:35" x14ac:dyDescent="0.3">
      <c r="A398">
        <v>20</v>
      </c>
      <c r="B398" t="s">
        <v>40</v>
      </c>
      <c r="C398" t="s">
        <v>33</v>
      </c>
      <c r="D398">
        <v>805</v>
      </c>
      <c r="E398" t="s">
        <v>42</v>
      </c>
      <c r="F398">
        <v>3</v>
      </c>
      <c r="G398">
        <v>3</v>
      </c>
      <c r="H398" t="s">
        <v>35</v>
      </c>
      <c r="I398">
        <v>1</v>
      </c>
      <c r="J398">
        <v>1198</v>
      </c>
      <c r="K398">
        <v>1</v>
      </c>
      <c r="L398" s="17" t="s">
        <v>43</v>
      </c>
      <c r="M398">
        <v>87</v>
      </c>
      <c r="N398">
        <v>2</v>
      </c>
      <c r="O398">
        <v>1</v>
      </c>
      <c r="P398" t="s">
        <v>47</v>
      </c>
      <c r="Q398">
        <v>3</v>
      </c>
      <c r="R398" t="s">
        <v>38</v>
      </c>
      <c r="S398" s="6">
        <v>3033</v>
      </c>
      <c r="T398">
        <v>12828</v>
      </c>
      <c r="U398">
        <v>1</v>
      </c>
      <c r="V398" t="s">
        <v>39</v>
      </c>
      <c r="W398" t="s">
        <v>40</v>
      </c>
      <c r="X398">
        <v>12</v>
      </c>
      <c r="Y398">
        <v>3</v>
      </c>
      <c r="Z398">
        <v>1</v>
      </c>
      <c r="AA398">
        <v>80</v>
      </c>
      <c r="AB398">
        <v>0</v>
      </c>
      <c r="AC398">
        <v>2</v>
      </c>
      <c r="AD398">
        <v>2</v>
      </c>
      <c r="AE398">
        <v>2</v>
      </c>
      <c r="AF398">
        <v>2</v>
      </c>
      <c r="AG398">
        <v>2</v>
      </c>
      <c r="AH398">
        <v>1</v>
      </c>
      <c r="AI398">
        <v>2</v>
      </c>
    </row>
    <row r="399" spans="1:35" x14ac:dyDescent="0.3">
      <c r="A399">
        <v>37</v>
      </c>
      <c r="B399" t="s">
        <v>40</v>
      </c>
      <c r="C399" t="s">
        <v>33</v>
      </c>
      <c r="D399">
        <v>1107</v>
      </c>
      <c r="E399" t="s">
        <v>42</v>
      </c>
      <c r="F399">
        <v>14</v>
      </c>
      <c r="G399">
        <v>3</v>
      </c>
      <c r="H399" t="s">
        <v>35</v>
      </c>
      <c r="I399">
        <v>1</v>
      </c>
      <c r="J399">
        <v>515</v>
      </c>
      <c r="K399">
        <v>4</v>
      </c>
      <c r="L399" s="17" t="s">
        <v>36</v>
      </c>
      <c r="M399">
        <v>95</v>
      </c>
      <c r="N399">
        <v>3</v>
      </c>
      <c r="O399">
        <v>1</v>
      </c>
      <c r="P399" t="s">
        <v>47</v>
      </c>
      <c r="Q399">
        <v>1</v>
      </c>
      <c r="R399" t="s">
        <v>49</v>
      </c>
      <c r="S399" s="6">
        <v>3034</v>
      </c>
      <c r="T399">
        <v>26914</v>
      </c>
      <c r="U399">
        <v>1</v>
      </c>
      <c r="V399" t="s">
        <v>39</v>
      </c>
      <c r="W399" t="s">
        <v>40</v>
      </c>
      <c r="X399">
        <v>12</v>
      </c>
      <c r="Y399">
        <v>3</v>
      </c>
      <c r="Z399">
        <v>3</v>
      </c>
      <c r="AA399">
        <v>80</v>
      </c>
      <c r="AB399">
        <v>1</v>
      </c>
      <c r="AC399">
        <v>18</v>
      </c>
      <c r="AD399">
        <v>2</v>
      </c>
      <c r="AE399">
        <v>2</v>
      </c>
      <c r="AF399">
        <v>18</v>
      </c>
      <c r="AG399">
        <v>7</v>
      </c>
      <c r="AH399">
        <v>12</v>
      </c>
      <c r="AI399">
        <v>17</v>
      </c>
    </row>
    <row r="400" spans="1:35" x14ac:dyDescent="0.3">
      <c r="A400">
        <v>36</v>
      </c>
      <c r="B400" t="s">
        <v>40</v>
      </c>
      <c r="C400" t="s">
        <v>33</v>
      </c>
      <c r="D400">
        <v>132</v>
      </c>
      <c r="E400" t="s">
        <v>42</v>
      </c>
      <c r="F400">
        <v>6</v>
      </c>
      <c r="G400">
        <v>3</v>
      </c>
      <c r="H400" t="s">
        <v>35</v>
      </c>
      <c r="I400">
        <v>1</v>
      </c>
      <c r="J400">
        <v>97</v>
      </c>
      <c r="K400">
        <v>2</v>
      </c>
      <c r="L400" s="17" t="s">
        <v>36</v>
      </c>
      <c r="M400">
        <v>55</v>
      </c>
      <c r="N400">
        <v>4</v>
      </c>
      <c r="O400">
        <v>1</v>
      </c>
      <c r="P400" t="s">
        <v>47</v>
      </c>
      <c r="Q400">
        <v>4</v>
      </c>
      <c r="R400" t="s">
        <v>45</v>
      </c>
      <c r="S400" s="6">
        <v>3038</v>
      </c>
      <c r="T400">
        <v>22002</v>
      </c>
      <c r="U400">
        <v>3</v>
      </c>
      <c r="V400" t="s">
        <v>39</v>
      </c>
      <c r="W400" t="s">
        <v>40</v>
      </c>
      <c r="X400">
        <v>12</v>
      </c>
      <c r="Y400">
        <v>3</v>
      </c>
      <c r="Z400">
        <v>2</v>
      </c>
      <c r="AA400">
        <v>80</v>
      </c>
      <c r="AB400">
        <v>0</v>
      </c>
      <c r="AC400">
        <v>5</v>
      </c>
      <c r="AD400">
        <v>3</v>
      </c>
      <c r="AE400">
        <v>3</v>
      </c>
      <c r="AF400">
        <v>1</v>
      </c>
      <c r="AG400">
        <v>0</v>
      </c>
      <c r="AH400">
        <v>0</v>
      </c>
      <c r="AI400">
        <v>0</v>
      </c>
    </row>
    <row r="401" spans="1:35" x14ac:dyDescent="0.3">
      <c r="A401">
        <v>32</v>
      </c>
      <c r="B401" t="s">
        <v>40</v>
      </c>
      <c r="C401" t="s">
        <v>33</v>
      </c>
      <c r="D401">
        <v>120</v>
      </c>
      <c r="E401" t="s">
        <v>42</v>
      </c>
      <c r="F401">
        <v>6</v>
      </c>
      <c r="G401">
        <v>5</v>
      </c>
      <c r="H401" t="s">
        <v>35</v>
      </c>
      <c r="I401">
        <v>1</v>
      </c>
      <c r="J401">
        <v>231</v>
      </c>
      <c r="K401">
        <v>3</v>
      </c>
      <c r="L401" s="17" t="s">
        <v>43</v>
      </c>
      <c r="M401">
        <v>43</v>
      </c>
      <c r="N401">
        <v>3</v>
      </c>
      <c r="O401">
        <v>1</v>
      </c>
      <c r="P401" t="s">
        <v>44</v>
      </c>
      <c r="Q401">
        <v>3</v>
      </c>
      <c r="R401" t="s">
        <v>38</v>
      </c>
      <c r="S401" s="6">
        <v>3038</v>
      </c>
      <c r="T401">
        <v>12430</v>
      </c>
      <c r="U401">
        <v>3</v>
      </c>
      <c r="V401" t="s">
        <v>39</v>
      </c>
      <c r="W401" t="s">
        <v>40</v>
      </c>
      <c r="X401">
        <v>20</v>
      </c>
      <c r="Y401">
        <v>4</v>
      </c>
      <c r="Z401">
        <v>1</v>
      </c>
      <c r="AA401">
        <v>80</v>
      </c>
      <c r="AB401">
        <v>0</v>
      </c>
      <c r="AC401">
        <v>8</v>
      </c>
      <c r="AD401">
        <v>2</v>
      </c>
      <c r="AE401">
        <v>3</v>
      </c>
      <c r="AF401">
        <v>5</v>
      </c>
      <c r="AG401">
        <v>4</v>
      </c>
      <c r="AH401">
        <v>1</v>
      </c>
      <c r="AI401">
        <v>4</v>
      </c>
    </row>
    <row r="402" spans="1:35" x14ac:dyDescent="0.3">
      <c r="A402">
        <v>27</v>
      </c>
      <c r="B402" t="s">
        <v>32</v>
      </c>
      <c r="C402" t="s">
        <v>33</v>
      </c>
      <c r="D402">
        <v>1420</v>
      </c>
      <c r="E402" t="s">
        <v>34</v>
      </c>
      <c r="F402">
        <v>2</v>
      </c>
      <c r="G402">
        <v>1</v>
      </c>
      <c r="H402" t="s">
        <v>56</v>
      </c>
      <c r="I402">
        <v>1</v>
      </c>
      <c r="J402">
        <v>667</v>
      </c>
      <c r="K402">
        <v>3</v>
      </c>
      <c r="L402" s="17" t="s">
        <v>43</v>
      </c>
      <c r="M402">
        <v>85</v>
      </c>
      <c r="N402">
        <v>3</v>
      </c>
      <c r="O402">
        <v>1</v>
      </c>
      <c r="P402" t="s">
        <v>54</v>
      </c>
      <c r="Q402">
        <v>1</v>
      </c>
      <c r="R402" t="s">
        <v>49</v>
      </c>
      <c r="S402" s="6">
        <v>3041</v>
      </c>
      <c r="T402">
        <v>16346</v>
      </c>
      <c r="U402">
        <v>0</v>
      </c>
      <c r="V402" t="s">
        <v>39</v>
      </c>
      <c r="W402" t="s">
        <v>40</v>
      </c>
      <c r="X402">
        <v>11</v>
      </c>
      <c r="Y402">
        <v>3</v>
      </c>
      <c r="Z402">
        <v>2</v>
      </c>
      <c r="AA402">
        <v>80</v>
      </c>
      <c r="AB402">
        <v>1</v>
      </c>
      <c r="AC402">
        <v>5</v>
      </c>
      <c r="AD402">
        <v>3</v>
      </c>
      <c r="AE402">
        <v>3</v>
      </c>
      <c r="AF402">
        <v>4</v>
      </c>
      <c r="AG402">
        <v>3</v>
      </c>
      <c r="AH402">
        <v>0</v>
      </c>
      <c r="AI402">
        <v>2</v>
      </c>
    </row>
    <row r="403" spans="1:35" x14ac:dyDescent="0.3">
      <c r="A403">
        <v>33</v>
      </c>
      <c r="B403" t="s">
        <v>40</v>
      </c>
      <c r="C403" t="s">
        <v>52</v>
      </c>
      <c r="D403">
        <v>775</v>
      </c>
      <c r="E403" t="s">
        <v>42</v>
      </c>
      <c r="F403">
        <v>4</v>
      </c>
      <c r="G403">
        <v>3</v>
      </c>
      <c r="H403" t="s">
        <v>57</v>
      </c>
      <c r="I403">
        <v>1</v>
      </c>
      <c r="J403">
        <v>1771</v>
      </c>
      <c r="K403">
        <v>4</v>
      </c>
      <c r="L403" s="17" t="s">
        <v>43</v>
      </c>
      <c r="M403">
        <v>90</v>
      </c>
      <c r="N403">
        <v>3</v>
      </c>
      <c r="O403">
        <v>2</v>
      </c>
      <c r="P403" t="s">
        <v>44</v>
      </c>
      <c r="Q403">
        <v>2</v>
      </c>
      <c r="R403" t="s">
        <v>49</v>
      </c>
      <c r="S403" s="6">
        <v>3055</v>
      </c>
      <c r="T403">
        <v>6194</v>
      </c>
      <c r="U403">
        <v>5</v>
      </c>
      <c r="V403" t="s">
        <v>39</v>
      </c>
      <c r="W403" t="s">
        <v>40</v>
      </c>
      <c r="X403">
        <v>15</v>
      </c>
      <c r="Y403">
        <v>3</v>
      </c>
      <c r="Z403">
        <v>4</v>
      </c>
      <c r="AA403">
        <v>80</v>
      </c>
      <c r="AB403">
        <v>2</v>
      </c>
      <c r="AC403">
        <v>11</v>
      </c>
      <c r="AD403">
        <v>2</v>
      </c>
      <c r="AE403">
        <v>2</v>
      </c>
      <c r="AF403">
        <v>9</v>
      </c>
      <c r="AG403">
        <v>8</v>
      </c>
      <c r="AH403">
        <v>1</v>
      </c>
      <c r="AI403">
        <v>7</v>
      </c>
    </row>
    <row r="404" spans="1:35" x14ac:dyDescent="0.3">
      <c r="A404">
        <v>38</v>
      </c>
      <c r="B404" t="s">
        <v>40</v>
      </c>
      <c r="C404" t="s">
        <v>33</v>
      </c>
      <c r="D404">
        <v>268</v>
      </c>
      <c r="E404" t="s">
        <v>42</v>
      </c>
      <c r="F404">
        <v>2</v>
      </c>
      <c r="G404">
        <v>5</v>
      </c>
      <c r="H404" t="s">
        <v>48</v>
      </c>
      <c r="I404">
        <v>1</v>
      </c>
      <c r="J404">
        <v>773</v>
      </c>
      <c r="K404">
        <v>4</v>
      </c>
      <c r="L404" s="17" t="s">
        <v>43</v>
      </c>
      <c r="M404">
        <v>92</v>
      </c>
      <c r="N404">
        <v>3</v>
      </c>
      <c r="O404">
        <v>1</v>
      </c>
      <c r="P404" t="s">
        <v>44</v>
      </c>
      <c r="Q404">
        <v>3</v>
      </c>
      <c r="R404" t="s">
        <v>45</v>
      </c>
      <c r="S404" s="6">
        <v>3057</v>
      </c>
      <c r="T404">
        <v>20471</v>
      </c>
      <c r="U404">
        <v>6</v>
      </c>
      <c r="V404" t="s">
        <v>39</v>
      </c>
      <c r="W404" t="s">
        <v>32</v>
      </c>
      <c r="X404">
        <v>13</v>
      </c>
      <c r="Y404">
        <v>3</v>
      </c>
      <c r="Z404">
        <v>2</v>
      </c>
      <c r="AA404">
        <v>80</v>
      </c>
      <c r="AB404">
        <v>1</v>
      </c>
      <c r="AC404">
        <v>6</v>
      </c>
      <c r="AD404">
        <v>0</v>
      </c>
      <c r="AE404">
        <v>1</v>
      </c>
      <c r="AF404">
        <v>1</v>
      </c>
      <c r="AG404">
        <v>0</v>
      </c>
      <c r="AH404">
        <v>0</v>
      </c>
      <c r="AI404">
        <v>1</v>
      </c>
    </row>
    <row r="405" spans="1:35" x14ac:dyDescent="0.3">
      <c r="A405">
        <v>27</v>
      </c>
      <c r="B405" t="s">
        <v>40</v>
      </c>
      <c r="C405" t="s">
        <v>33</v>
      </c>
      <c r="D405">
        <v>1157</v>
      </c>
      <c r="E405" t="s">
        <v>42</v>
      </c>
      <c r="F405">
        <v>17</v>
      </c>
      <c r="G405">
        <v>3</v>
      </c>
      <c r="H405" t="s">
        <v>57</v>
      </c>
      <c r="I405">
        <v>1</v>
      </c>
      <c r="J405">
        <v>233</v>
      </c>
      <c r="K405">
        <v>3</v>
      </c>
      <c r="L405" s="17" t="s">
        <v>43</v>
      </c>
      <c r="M405">
        <v>51</v>
      </c>
      <c r="N405">
        <v>3</v>
      </c>
      <c r="O405">
        <v>1</v>
      </c>
      <c r="P405" t="s">
        <v>44</v>
      </c>
      <c r="Q405">
        <v>2</v>
      </c>
      <c r="R405" t="s">
        <v>45</v>
      </c>
      <c r="S405" s="6">
        <v>3058</v>
      </c>
      <c r="T405">
        <v>13364</v>
      </c>
      <c r="U405">
        <v>0</v>
      </c>
      <c r="V405" t="s">
        <v>39</v>
      </c>
      <c r="W405" t="s">
        <v>32</v>
      </c>
      <c r="X405">
        <v>16</v>
      </c>
      <c r="Y405">
        <v>3</v>
      </c>
      <c r="Z405">
        <v>4</v>
      </c>
      <c r="AA405">
        <v>80</v>
      </c>
      <c r="AB405">
        <v>1</v>
      </c>
      <c r="AC405">
        <v>6</v>
      </c>
      <c r="AD405">
        <v>3</v>
      </c>
      <c r="AE405">
        <v>2</v>
      </c>
      <c r="AF405">
        <v>5</v>
      </c>
      <c r="AG405">
        <v>2</v>
      </c>
      <c r="AH405">
        <v>1</v>
      </c>
      <c r="AI405">
        <v>1</v>
      </c>
    </row>
    <row r="406" spans="1:35" x14ac:dyDescent="0.3">
      <c r="A406">
        <v>31</v>
      </c>
      <c r="B406" t="s">
        <v>40</v>
      </c>
      <c r="C406" t="s">
        <v>52</v>
      </c>
      <c r="D406">
        <v>976</v>
      </c>
      <c r="E406" t="s">
        <v>42</v>
      </c>
      <c r="F406">
        <v>3</v>
      </c>
      <c r="G406">
        <v>2</v>
      </c>
      <c r="H406" t="s">
        <v>48</v>
      </c>
      <c r="I406">
        <v>1</v>
      </c>
      <c r="J406">
        <v>1948</v>
      </c>
      <c r="K406">
        <v>3</v>
      </c>
      <c r="L406" s="17" t="s">
        <v>43</v>
      </c>
      <c r="M406">
        <v>48</v>
      </c>
      <c r="N406">
        <v>3</v>
      </c>
      <c r="O406">
        <v>1</v>
      </c>
      <c r="P406" t="s">
        <v>44</v>
      </c>
      <c r="Q406">
        <v>1</v>
      </c>
      <c r="R406" t="s">
        <v>49</v>
      </c>
      <c r="S406" s="6">
        <v>3065</v>
      </c>
      <c r="T406">
        <v>3995</v>
      </c>
      <c r="U406">
        <v>1</v>
      </c>
      <c r="V406" t="s">
        <v>39</v>
      </c>
      <c r="W406" t="s">
        <v>32</v>
      </c>
      <c r="X406">
        <v>13</v>
      </c>
      <c r="Y406">
        <v>3</v>
      </c>
      <c r="Z406">
        <v>4</v>
      </c>
      <c r="AA406">
        <v>80</v>
      </c>
      <c r="AB406">
        <v>1</v>
      </c>
      <c r="AC406">
        <v>4</v>
      </c>
      <c r="AD406">
        <v>3</v>
      </c>
      <c r="AE406">
        <v>4</v>
      </c>
      <c r="AF406">
        <v>4</v>
      </c>
      <c r="AG406">
        <v>2</v>
      </c>
      <c r="AH406">
        <v>2</v>
      </c>
      <c r="AI406">
        <v>3</v>
      </c>
    </row>
    <row r="407" spans="1:35" x14ac:dyDescent="0.3">
      <c r="A407">
        <v>31</v>
      </c>
      <c r="B407" t="s">
        <v>40</v>
      </c>
      <c r="C407" t="s">
        <v>33</v>
      </c>
      <c r="D407">
        <v>1154</v>
      </c>
      <c r="E407" t="s">
        <v>34</v>
      </c>
      <c r="F407">
        <v>2</v>
      </c>
      <c r="G407">
        <v>2</v>
      </c>
      <c r="H407" t="s">
        <v>35</v>
      </c>
      <c r="I407">
        <v>1</v>
      </c>
      <c r="J407">
        <v>1996</v>
      </c>
      <c r="K407">
        <v>1</v>
      </c>
      <c r="L407" s="17" t="s">
        <v>43</v>
      </c>
      <c r="M407">
        <v>54</v>
      </c>
      <c r="N407">
        <v>3</v>
      </c>
      <c r="O407">
        <v>1</v>
      </c>
      <c r="P407" t="s">
        <v>54</v>
      </c>
      <c r="Q407">
        <v>3</v>
      </c>
      <c r="R407" t="s">
        <v>45</v>
      </c>
      <c r="S407" s="6">
        <v>3067</v>
      </c>
      <c r="T407">
        <v>6393</v>
      </c>
      <c r="U407">
        <v>0</v>
      </c>
      <c r="V407" t="s">
        <v>39</v>
      </c>
      <c r="W407" t="s">
        <v>40</v>
      </c>
      <c r="X407">
        <v>19</v>
      </c>
      <c r="Y407">
        <v>3</v>
      </c>
      <c r="Z407">
        <v>3</v>
      </c>
      <c r="AA407">
        <v>80</v>
      </c>
      <c r="AB407">
        <v>1</v>
      </c>
      <c r="AC407">
        <v>3</v>
      </c>
      <c r="AD407">
        <v>1</v>
      </c>
      <c r="AE407">
        <v>3</v>
      </c>
      <c r="AF407">
        <v>2</v>
      </c>
      <c r="AG407">
        <v>2</v>
      </c>
      <c r="AH407">
        <v>1</v>
      </c>
      <c r="AI407">
        <v>2</v>
      </c>
    </row>
    <row r="408" spans="1:35" x14ac:dyDescent="0.3">
      <c r="A408">
        <v>32</v>
      </c>
      <c r="B408" t="s">
        <v>40</v>
      </c>
      <c r="C408" t="s">
        <v>41</v>
      </c>
      <c r="D408">
        <v>1005</v>
      </c>
      <c r="E408" t="s">
        <v>42</v>
      </c>
      <c r="F408">
        <v>2</v>
      </c>
      <c r="G408">
        <v>2</v>
      </c>
      <c r="H408" t="s">
        <v>35</v>
      </c>
      <c r="I408">
        <v>1</v>
      </c>
      <c r="J408">
        <v>8</v>
      </c>
      <c r="K408">
        <v>4</v>
      </c>
      <c r="L408" s="17" t="s">
        <v>43</v>
      </c>
      <c r="M408">
        <v>79</v>
      </c>
      <c r="N408">
        <v>3</v>
      </c>
      <c r="O408">
        <v>1</v>
      </c>
      <c r="P408" t="s">
        <v>47</v>
      </c>
      <c r="Q408">
        <v>4</v>
      </c>
      <c r="R408" t="s">
        <v>38</v>
      </c>
      <c r="S408" s="6">
        <v>3068</v>
      </c>
      <c r="T408">
        <v>11864</v>
      </c>
      <c r="U408">
        <v>0</v>
      </c>
      <c r="V408" t="s">
        <v>39</v>
      </c>
      <c r="W408" t="s">
        <v>40</v>
      </c>
      <c r="X408">
        <v>13</v>
      </c>
      <c r="Y408">
        <v>3</v>
      </c>
      <c r="Z408">
        <v>3</v>
      </c>
      <c r="AA408">
        <v>80</v>
      </c>
      <c r="AB408">
        <v>0</v>
      </c>
      <c r="AC408">
        <v>8</v>
      </c>
      <c r="AD408">
        <v>2</v>
      </c>
      <c r="AE408">
        <v>2</v>
      </c>
      <c r="AF408">
        <v>7</v>
      </c>
      <c r="AG408">
        <v>7</v>
      </c>
      <c r="AH408">
        <v>3</v>
      </c>
      <c r="AI408">
        <v>6</v>
      </c>
    </row>
    <row r="409" spans="1:35" x14ac:dyDescent="0.3">
      <c r="A409">
        <v>39</v>
      </c>
      <c r="B409" t="s">
        <v>40</v>
      </c>
      <c r="C409" t="s">
        <v>33</v>
      </c>
      <c r="D409">
        <v>170</v>
      </c>
      <c r="E409" t="s">
        <v>42</v>
      </c>
      <c r="F409">
        <v>3</v>
      </c>
      <c r="G409">
        <v>2</v>
      </c>
      <c r="H409" t="s">
        <v>48</v>
      </c>
      <c r="I409">
        <v>1</v>
      </c>
      <c r="J409">
        <v>1627</v>
      </c>
      <c r="K409">
        <v>3</v>
      </c>
      <c r="L409" s="17" t="s">
        <v>43</v>
      </c>
      <c r="M409">
        <v>76</v>
      </c>
      <c r="N409">
        <v>2</v>
      </c>
      <c r="O409">
        <v>2</v>
      </c>
      <c r="P409" t="s">
        <v>47</v>
      </c>
      <c r="Q409">
        <v>3</v>
      </c>
      <c r="R409" t="s">
        <v>49</v>
      </c>
      <c r="S409" s="6">
        <v>3069</v>
      </c>
      <c r="T409">
        <v>10302</v>
      </c>
      <c r="U409">
        <v>0</v>
      </c>
      <c r="V409" t="s">
        <v>39</v>
      </c>
      <c r="W409" t="s">
        <v>40</v>
      </c>
      <c r="X409">
        <v>15</v>
      </c>
      <c r="Y409">
        <v>3</v>
      </c>
      <c r="Z409">
        <v>4</v>
      </c>
      <c r="AA409">
        <v>80</v>
      </c>
      <c r="AB409">
        <v>1</v>
      </c>
      <c r="AC409">
        <v>11</v>
      </c>
      <c r="AD409">
        <v>3</v>
      </c>
      <c r="AE409">
        <v>3</v>
      </c>
      <c r="AF409">
        <v>10</v>
      </c>
      <c r="AG409">
        <v>8</v>
      </c>
      <c r="AH409">
        <v>0</v>
      </c>
      <c r="AI409">
        <v>7</v>
      </c>
    </row>
    <row r="410" spans="1:35" x14ac:dyDescent="0.3">
      <c r="A410">
        <v>30</v>
      </c>
      <c r="B410" t="s">
        <v>40</v>
      </c>
      <c r="C410" t="s">
        <v>52</v>
      </c>
      <c r="D410">
        <v>111</v>
      </c>
      <c r="E410" t="s">
        <v>42</v>
      </c>
      <c r="F410">
        <v>9</v>
      </c>
      <c r="G410">
        <v>3</v>
      </c>
      <c r="H410" t="s">
        <v>48</v>
      </c>
      <c r="I410">
        <v>1</v>
      </c>
      <c r="J410">
        <v>239</v>
      </c>
      <c r="K410">
        <v>3</v>
      </c>
      <c r="L410" s="17" t="s">
        <v>43</v>
      </c>
      <c r="M410">
        <v>66</v>
      </c>
      <c r="N410">
        <v>3</v>
      </c>
      <c r="O410">
        <v>2</v>
      </c>
      <c r="P410" t="s">
        <v>47</v>
      </c>
      <c r="Q410">
        <v>1</v>
      </c>
      <c r="R410" t="s">
        <v>49</v>
      </c>
      <c r="S410" s="6">
        <v>3072</v>
      </c>
      <c r="T410">
        <v>11012</v>
      </c>
      <c r="U410">
        <v>1</v>
      </c>
      <c r="V410" t="s">
        <v>39</v>
      </c>
      <c r="W410" t="s">
        <v>40</v>
      </c>
      <c r="X410">
        <v>11</v>
      </c>
      <c r="Y410">
        <v>3</v>
      </c>
      <c r="Z410">
        <v>3</v>
      </c>
      <c r="AA410">
        <v>80</v>
      </c>
      <c r="AB410">
        <v>2</v>
      </c>
      <c r="AC410">
        <v>12</v>
      </c>
      <c r="AD410">
        <v>4</v>
      </c>
      <c r="AE410">
        <v>3</v>
      </c>
      <c r="AF410">
        <v>12</v>
      </c>
      <c r="AG410">
        <v>9</v>
      </c>
      <c r="AH410">
        <v>6</v>
      </c>
      <c r="AI410">
        <v>10</v>
      </c>
    </row>
    <row r="411" spans="1:35" x14ac:dyDescent="0.3">
      <c r="A411">
        <v>41</v>
      </c>
      <c r="B411" t="s">
        <v>40</v>
      </c>
      <c r="C411" t="s">
        <v>33</v>
      </c>
      <c r="D411">
        <v>1411</v>
      </c>
      <c r="E411" t="s">
        <v>42</v>
      </c>
      <c r="F411">
        <v>19</v>
      </c>
      <c r="G411">
        <v>2</v>
      </c>
      <c r="H411" t="s">
        <v>35</v>
      </c>
      <c r="I411">
        <v>1</v>
      </c>
      <c r="J411">
        <v>334</v>
      </c>
      <c r="K411">
        <v>3</v>
      </c>
      <c r="L411" s="17" t="s">
        <v>43</v>
      </c>
      <c r="M411">
        <v>36</v>
      </c>
      <c r="N411">
        <v>3</v>
      </c>
      <c r="O411">
        <v>2</v>
      </c>
      <c r="P411" t="s">
        <v>44</v>
      </c>
      <c r="Q411">
        <v>1</v>
      </c>
      <c r="R411" t="s">
        <v>49</v>
      </c>
      <c r="S411" s="6">
        <v>3072</v>
      </c>
      <c r="T411">
        <v>19877</v>
      </c>
      <c r="U411">
        <v>2</v>
      </c>
      <c r="V411" t="s">
        <v>39</v>
      </c>
      <c r="W411" t="s">
        <v>40</v>
      </c>
      <c r="X411">
        <v>16</v>
      </c>
      <c r="Y411">
        <v>3</v>
      </c>
      <c r="Z411">
        <v>1</v>
      </c>
      <c r="AA411">
        <v>80</v>
      </c>
      <c r="AB411">
        <v>2</v>
      </c>
      <c r="AC411">
        <v>17</v>
      </c>
      <c r="AD411">
        <v>2</v>
      </c>
      <c r="AE411">
        <v>2</v>
      </c>
      <c r="AF411">
        <v>1</v>
      </c>
      <c r="AG411">
        <v>0</v>
      </c>
      <c r="AH411">
        <v>0</v>
      </c>
      <c r="AI411">
        <v>0</v>
      </c>
    </row>
    <row r="412" spans="1:35" x14ac:dyDescent="0.3">
      <c r="A412">
        <v>26</v>
      </c>
      <c r="B412" t="s">
        <v>32</v>
      </c>
      <c r="C412" t="s">
        <v>41</v>
      </c>
      <c r="D412">
        <v>575</v>
      </c>
      <c r="E412" t="s">
        <v>42</v>
      </c>
      <c r="F412">
        <v>3</v>
      </c>
      <c r="G412">
        <v>1</v>
      </c>
      <c r="H412" t="s">
        <v>57</v>
      </c>
      <c r="I412">
        <v>1</v>
      </c>
      <c r="J412">
        <v>510</v>
      </c>
      <c r="K412">
        <v>3</v>
      </c>
      <c r="L412" s="17" t="s">
        <v>43</v>
      </c>
      <c r="M412">
        <v>73</v>
      </c>
      <c r="N412">
        <v>3</v>
      </c>
      <c r="O412">
        <v>1</v>
      </c>
      <c r="P412" t="s">
        <v>44</v>
      </c>
      <c r="Q412">
        <v>1</v>
      </c>
      <c r="R412" t="s">
        <v>38</v>
      </c>
      <c r="S412" s="6">
        <v>3102</v>
      </c>
      <c r="T412">
        <v>6582</v>
      </c>
      <c r="U412">
        <v>0</v>
      </c>
      <c r="V412" t="s">
        <v>39</v>
      </c>
      <c r="W412" t="s">
        <v>40</v>
      </c>
      <c r="X412">
        <v>22</v>
      </c>
      <c r="Y412">
        <v>4</v>
      </c>
      <c r="Z412">
        <v>3</v>
      </c>
      <c r="AA412">
        <v>80</v>
      </c>
      <c r="AB412">
        <v>0</v>
      </c>
      <c r="AC412">
        <v>7</v>
      </c>
      <c r="AD412">
        <v>2</v>
      </c>
      <c r="AE412">
        <v>3</v>
      </c>
      <c r="AF412">
        <v>6</v>
      </c>
      <c r="AG412">
        <v>4</v>
      </c>
      <c r="AH412">
        <v>0</v>
      </c>
      <c r="AI412">
        <v>4</v>
      </c>
    </row>
    <row r="413" spans="1:35" x14ac:dyDescent="0.3">
      <c r="A413">
        <v>21</v>
      </c>
      <c r="B413" t="s">
        <v>40</v>
      </c>
      <c r="C413" t="s">
        <v>33</v>
      </c>
      <c r="D413">
        <v>546</v>
      </c>
      <c r="E413" t="s">
        <v>42</v>
      </c>
      <c r="F413">
        <v>5</v>
      </c>
      <c r="G413">
        <v>1</v>
      </c>
      <c r="H413" t="s">
        <v>48</v>
      </c>
      <c r="I413">
        <v>1</v>
      </c>
      <c r="J413">
        <v>1623</v>
      </c>
      <c r="K413">
        <v>3</v>
      </c>
      <c r="L413" s="17" t="s">
        <v>43</v>
      </c>
      <c r="M413">
        <v>97</v>
      </c>
      <c r="N413">
        <v>3</v>
      </c>
      <c r="O413">
        <v>1</v>
      </c>
      <c r="P413" t="s">
        <v>44</v>
      </c>
      <c r="Q413">
        <v>4</v>
      </c>
      <c r="R413" t="s">
        <v>38</v>
      </c>
      <c r="S413" s="6">
        <v>3117</v>
      </c>
      <c r="T413">
        <v>26009</v>
      </c>
      <c r="U413">
        <v>1</v>
      </c>
      <c r="V413" t="s">
        <v>39</v>
      </c>
      <c r="W413" t="s">
        <v>40</v>
      </c>
      <c r="X413">
        <v>18</v>
      </c>
      <c r="Y413">
        <v>3</v>
      </c>
      <c r="Z413">
        <v>3</v>
      </c>
      <c r="AA413">
        <v>80</v>
      </c>
      <c r="AB413">
        <v>0</v>
      </c>
      <c r="AC413">
        <v>3</v>
      </c>
      <c r="AD413">
        <v>2</v>
      </c>
      <c r="AE413">
        <v>3</v>
      </c>
      <c r="AF413">
        <v>2</v>
      </c>
      <c r="AG413">
        <v>2</v>
      </c>
      <c r="AH413">
        <v>2</v>
      </c>
      <c r="AI413">
        <v>2</v>
      </c>
    </row>
    <row r="414" spans="1:35" x14ac:dyDescent="0.3">
      <c r="A414">
        <v>29</v>
      </c>
      <c r="B414" t="s">
        <v>40</v>
      </c>
      <c r="C414" t="s">
        <v>33</v>
      </c>
      <c r="D414">
        <v>1401</v>
      </c>
      <c r="E414" t="s">
        <v>42</v>
      </c>
      <c r="F414">
        <v>6</v>
      </c>
      <c r="G414">
        <v>1</v>
      </c>
      <c r="H414" t="s">
        <v>48</v>
      </c>
      <c r="I414">
        <v>1</v>
      </c>
      <c r="J414">
        <v>1192</v>
      </c>
      <c r="K414">
        <v>2</v>
      </c>
      <c r="L414" s="17" t="s">
        <v>36</v>
      </c>
      <c r="M414">
        <v>54</v>
      </c>
      <c r="N414">
        <v>3</v>
      </c>
      <c r="O414">
        <v>1</v>
      </c>
      <c r="P414" t="s">
        <v>47</v>
      </c>
      <c r="Q414">
        <v>4</v>
      </c>
      <c r="R414" t="s">
        <v>45</v>
      </c>
      <c r="S414" s="6">
        <v>3131</v>
      </c>
      <c r="T414">
        <v>26342</v>
      </c>
      <c r="U414">
        <v>1</v>
      </c>
      <c r="V414" t="s">
        <v>39</v>
      </c>
      <c r="W414" t="s">
        <v>40</v>
      </c>
      <c r="X414">
        <v>13</v>
      </c>
      <c r="Y414">
        <v>3</v>
      </c>
      <c r="Z414">
        <v>1</v>
      </c>
      <c r="AA414">
        <v>80</v>
      </c>
      <c r="AB414">
        <v>1</v>
      </c>
      <c r="AC414">
        <v>10</v>
      </c>
      <c r="AD414">
        <v>5</v>
      </c>
      <c r="AE414">
        <v>3</v>
      </c>
      <c r="AF414">
        <v>10</v>
      </c>
      <c r="AG414">
        <v>8</v>
      </c>
      <c r="AH414">
        <v>0</v>
      </c>
      <c r="AI414">
        <v>8</v>
      </c>
    </row>
    <row r="415" spans="1:35" x14ac:dyDescent="0.3">
      <c r="A415">
        <v>41</v>
      </c>
      <c r="B415" t="s">
        <v>32</v>
      </c>
      <c r="C415" t="s">
        <v>33</v>
      </c>
      <c r="D415">
        <v>1356</v>
      </c>
      <c r="E415" t="s">
        <v>34</v>
      </c>
      <c r="F415">
        <v>20</v>
      </c>
      <c r="G415">
        <v>2</v>
      </c>
      <c r="H415" t="s">
        <v>56</v>
      </c>
      <c r="I415">
        <v>1</v>
      </c>
      <c r="J415">
        <v>248</v>
      </c>
      <c r="K415">
        <v>2</v>
      </c>
      <c r="L415" s="17" t="s">
        <v>36</v>
      </c>
      <c r="M415">
        <v>70</v>
      </c>
      <c r="N415">
        <v>3</v>
      </c>
      <c r="O415">
        <v>1</v>
      </c>
      <c r="P415" t="s">
        <v>54</v>
      </c>
      <c r="Q415">
        <v>2</v>
      </c>
      <c r="R415" t="s">
        <v>38</v>
      </c>
      <c r="S415" s="6">
        <v>3140</v>
      </c>
      <c r="T415">
        <v>21728</v>
      </c>
      <c r="U415">
        <v>1</v>
      </c>
      <c r="V415" t="s">
        <v>39</v>
      </c>
      <c r="W415" t="s">
        <v>32</v>
      </c>
      <c r="X415">
        <v>22</v>
      </c>
      <c r="Y415">
        <v>4</v>
      </c>
      <c r="Z415">
        <v>4</v>
      </c>
      <c r="AA415">
        <v>80</v>
      </c>
      <c r="AB415">
        <v>0</v>
      </c>
      <c r="AC415">
        <v>4</v>
      </c>
      <c r="AD415">
        <v>5</v>
      </c>
      <c r="AE415">
        <v>2</v>
      </c>
      <c r="AF415">
        <v>4</v>
      </c>
      <c r="AG415">
        <v>3</v>
      </c>
      <c r="AH415">
        <v>0</v>
      </c>
      <c r="AI415">
        <v>2</v>
      </c>
    </row>
    <row r="416" spans="1:35" x14ac:dyDescent="0.3">
      <c r="A416">
        <v>33</v>
      </c>
      <c r="B416" t="s">
        <v>40</v>
      </c>
      <c r="C416" t="s">
        <v>33</v>
      </c>
      <c r="D416">
        <v>867</v>
      </c>
      <c r="E416" t="s">
        <v>42</v>
      </c>
      <c r="F416">
        <v>8</v>
      </c>
      <c r="G416">
        <v>4</v>
      </c>
      <c r="H416" t="s">
        <v>35</v>
      </c>
      <c r="I416">
        <v>1</v>
      </c>
      <c r="J416">
        <v>1798</v>
      </c>
      <c r="K416">
        <v>4</v>
      </c>
      <c r="L416" s="17" t="s">
        <v>43</v>
      </c>
      <c r="M416">
        <v>90</v>
      </c>
      <c r="N416">
        <v>4</v>
      </c>
      <c r="O416">
        <v>1</v>
      </c>
      <c r="P416" t="s">
        <v>44</v>
      </c>
      <c r="Q416">
        <v>1</v>
      </c>
      <c r="R416" t="s">
        <v>45</v>
      </c>
      <c r="S416" s="6">
        <v>3143</v>
      </c>
      <c r="T416">
        <v>6076</v>
      </c>
      <c r="U416">
        <v>6</v>
      </c>
      <c r="V416" t="s">
        <v>39</v>
      </c>
      <c r="W416" t="s">
        <v>40</v>
      </c>
      <c r="X416">
        <v>19</v>
      </c>
      <c r="Y416">
        <v>3</v>
      </c>
      <c r="Z416">
        <v>2</v>
      </c>
      <c r="AA416">
        <v>80</v>
      </c>
      <c r="AB416">
        <v>1</v>
      </c>
      <c r="AC416">
        <v>14</v>
      </c>
      <c r="AD416">
        <v>1</v>
      </c>
      <c r="AE416">
        <v>3</v>
      </c>
      <c r="AF416">
        <v>10</v>
      </c>
      <c r="AG416">
        <v>8</v>
      </c>
      <c r="AH416">
        <v>7</v>
      </c>
      <c r="AI416">
        <v>6</v>
      </c>
    </row>
    <row r="417" spans="1:35" x14ac:dyDescent="0.3">
      <c r="A417">
        <v>52</v>
      </c>
      <c r="B417" t="s">
        <v>40</v>
      </c>
      <c r="C417" t="s">
        <v>33</v>
      </c>
      <c r="D417">
        <v>1325</v>
      </c>
      <c r="E417" t="s">
        <v>42</v>
      </c>
      <c r="F417">
        <v>11</v>
      </c>
      <c r="G417">
        <v>4</v>
      </c>
      <c r="H417" t="s">
        <v>35</v>
      </c>
      <c r="I417">
        <v>1</v>
      </c>
      <c r="J417">
        <v>813</v>
      </c>
      <c r="K417">
        <v>4</v>
      </c>
      <c r="L417" s="17" t="s">
        <v>36</v>
      </c>
      <c r="M417">
        <v>82</v>
      </c>
      <c r="N417">
        <v>3</v>
      </c>
      <c r="O417">
        <v>2</v>
      </c>
      <c r="P417" t="s">
        <v>47</v>
      </c>
      <c r="Q417">
        <v>3</v>
      </c>
      <c r="R417" t="s">
        <v>45</v>
      </c>
      <c r="S417" s="6">
        <v>3149</v>
      </c>
      <c r="T417">
        <v>21821</v>
      </c>
      <c r="U417">
        <v>8</v>
      </c>
      <c r="V417" t="s">
        <v>39</v>
      </c>
      <c r="W417" t="s">
        <v>40</v>
      </c>
      <c r="X417">
        <v>20</v>
      </c>
      <c r="Y417">
        <v>4</v>
      </c>
      <c r="Z417">
        <v>2</v>
      </c>
      <c r="AA417">
        <v>80</v>
      </c>
      <c r="AB417">
        <v>1</v>
      </c>
      <c r="AC417">
        <v>9</v>
      </c>
      <c r="AD417">
        <v>3</v>
      </c>
      <c r="AE417">
        <v>3</v>
      </c>
      <c r="AF417">
        <v>5</v>
      </c>
      <c r="AG417">
        <v>2</v>
      </c>
      <c r="AH417">
        <v>1</v>
      </c>
      <c r="AI417">
        <v>4</v>
      </c>
    </row>
    <row r="418" spans="1:35" x14ac:dyDescent="0.3">
      <c r="A418">
        <v>44</v>
      </c>
      <c r="B418" t="s">
        <v>32</v>
      </c>
      <c r="C418" t="s">
        <v>41</v>
      </c>
      <c r="D418">
        <v>920</v>
      </c>
      <c r="E418" t="s">
        <v>42</v>
      </c>
      <c r="F418">
        <v>24</v>
      </c>
      <c r="G418">
        <v>3</v>
      </c>
      <c r="H418" t="s">
        <v>35</v>
      </c>
      <c r="I418">
        <v>1</v>
      </c>
      <c r="J418">
        <v>392</v>
      </c>
      <c r="K418">
        <v>4</v>
      </c>
      <c r="L418" s="17" t="s">
        <v>43</v>
      </c>
      <c r="M418">
        <v>43</v>
      </c>
      <c r="N418">
        <v>3</v>
      </c>
      <c r="O418">
        <v>1</v>
      </c>
      <c r="P418" t="s">
        <v>47</v>
      </c>
      <c r="Q418">
        <v>3</v>
      </c>
      <c r="R418" t="s">
        <v>49</v>
      </c>
      <c r="S418" s="6">
        <v>3161</v>
      </c>
      <c r="T418">
        <v>19920</v>
      </c>
      <c r="U418">
        <v>3</v>
      </c>
      <c r="V418" t="s">
        <v>39</v>
      </c>
      <c r="W418" t="s">
        <v>32</v>
      </c>
      <c r="X418">
        <v>22</v>
      </c>
      <c r="Y418">
        <v>4</v>
      </c>
      <c r="Z418">
        <v>4</v>
      </c>
      <c r="AA418">
        <v>80</v>
      </c>
      <c r="AB418">
        <v>1</v>
      </c>
      <c r="AC418">
        <v>19</v>
      </c>
      <c r="AD418">
        <v>0</v>
      </c>
      <c r="AE418">
        <v>1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24</v>
      </c>
      <c r="B419" t="s">
        <v>40</v>
      </c>
      <c r="C419" t="s">
        <v>52</v>
      </c>
      <c r="D419">
        <v>1269</v>
      </c>
      <c r="E419" t="s">
        <v>42</v>
      </c>
      <c r="F419">
        <v>4</v>
      </c>
      <c r="G419">
        <v>1</v>
      </c>
      <c r="H419" t="s">
        <v>35</v>
      </c>
      <c r="I419">
        <v>1</v>
      </c>
      <c r="J419">
        <v>888</v>
      </c>
      <c r="K419">
        <v>1</v>
      </c>
      <c r="L419" s="17" t="s">
        <v>43</v>
      </c>
      <c r="M419">
        <v>46</v>
      </c>
      <c r="N419">
        <v>2</v>
      </c>
      <c r="O419">
        <v>1</v>
      </c>
      <c r="P419" t="s">
        <v>47</v>
      </c>
      <c r="Q419">
        <v>4</v>
      </c>
      <c r="R419" t="s">
        <v>45</v>
      </c>
      <c r="S419" s="6">
        <v>3162</v>
      </c>
      <c r="T419">
        <v>10778</v>
      </c>
      <c r="U419">
        <v>0</v>
      </c>
      <c r="V419" t="s">
        <v>39</v>
      </c>
      <c r="W419" t="s">
        <v>40</v>
      </c>
      <c r="X419">
        <v>17</v>
      </c>
      <c r="Y419">
        <v>3</v>
      </c>
      <c r="Z419">
        <v>4</v>
      </c>
      <c r="AA419">
        <v>80</v>
      </c>
      <c r="AB419">
        <v>0</v>
      </c>
      <c r="AC419">
        <v>6</v>
      </c>
      <c r="AD419">
        <v>2</v>
      </c>
      <c r="AE419">
        <v>2</v>
      </c>
      <c r="AF419">
        <v>5</v>
      </c>
      <c r="AG419">
        <v>2</v>
      </c>
      <c r="AH419">
        <v>3</v>
      </c>
      <c r="AI419">
        <v>4</v>
      </c>
    </row>
    <row r="420" spans="1:35" x14ac:dyDescent="0.3">
      <c r="A420">
        <v>44</v>
      </c>
      <c r="B420" t="s">
        <v>40</v>
      </c>
      <c r="C420" t="s">
        <v>52</v>
      </c>
      <c r="D420">
        <v>981</v>
      </c>
      <c r="E420" t="s">
        <v>42</v>
      </c>
      <c r="F420">
        <v>5</v>
      </c>
      <c r="G420">
        <v>3</v>
      </c>
      <c r="H420" t="s">
        <v>35</v>
      </c>
      <c r="I420">
        <v>1</v>
      </c>
      <c r="J420">
        <v>1471</v>
      </c>
      <c r="K420">
        <v>3</v>
      </c>
      <c r="L420" s="17" t="s">
        <v>43</v>
      </c>
      <c r="M420">
        <v>90</v>
      </c>
      <c r="N420">
        <v>2</v>
      </c>
      <c r="O420">
        <v>1</v>
      </c>
      <c r="P420" t="s">
        <v>47</v>
      </c>
      <c r="Q420">
        <v>3</v>
      </c>
      <c r="R420" t="s">
        <v>38</v>
      </c>
      <c r="S420" s="6">
        <v>3162</v>
      </c>
      <c r="T420">
        <v>7973</v>
      </c>
      <c r="U420">
        <v>3</v>
      </c>
      <c r="V420" t="s">
        <v>39</v>
      </c>
      <c r="W420" t="s">
        <v>40</v>
      </c>
      <c r="X420">
        <v>14</v>
      </c>
      <c r="Y420">
        <v>3</v>
      </c>
      <c r="Z420">
        <v>4</v>
      </c>
      <c r="AA420">
        <v>80</v>
      </c>
      <c r="AB420">
        <v>0</v>
      </c>
      <c r="AC420">
        <v>7</v>
      </c>
      <c r="AD420">
        <v>5</v>
      </c>
      <c r="AE420">
        <v>3</v>
      </c>
      <c r="AF420">
        <v>5</v>
      </c>
      <c r="AG420">
        <v>2</v>
      </c>
      <c r="AH420">
        <v>0</v>
      </c>
      <c r="AI420">
        <v>3</v>
      </c>
    </row>
    <row r="421" spans="1:35" x14ac:dyDescent="0.3">
      <c r="A421">
        <v>24</v>
      </c>
      <c r="B421" t="s">
        <v>32</v>
      </c>
      <c r="C421" t="s">
        <v>41</v>
      </c>
      <c r="D421">
        <v>381</v>
      </c>
      <c r="E421" t="s">
        <v>42</v>
      </c>
      <c r="F421">
        <v>9</v>
      </c>
      <c r="G421">
        <v>3</v>
      </c>
      <c r="H421" t="s">
        <v>48</v>
      </c>
      <c r="I421">
        <v>1</v>
      </c>
      <c r="J421">
        <v>1494</v>
      </c>
      <c r="K421">
        <v>2</v>
      </c>
      <c r="L421" s="17" t="s">
        <v>43</v>
      </c>
      <c r="M421">
        <v>89</v>
      </c>
      <c r="N421">
        <v>3</v>
      </c>
      <c r="O421">
        <v>1</v>
      </c>
      <c r="P421" t="s">
        <v>47</v>
      </c>
      <c r="Q421">
        <v>1</v>
      </c>
      <c r="R421" t="s">
        <v>38</v>
      </c>
      <c r="S421" s="6">
        <v>3172</v>
      </c>
      <c r="T421">
        <v>16998</v>
      </c>
      <c r="U421">
        <v>2</v>
      </c>
      <c r="V421" t="s">
        <v>39</v>
      </c>
      <c r="W421" t="s">
        <v>32</v>
      </c>
      <c r="X421">
        <v>11</v>
      </c>
      <c r="Y421">
        <v>3</v>
      </c>
      <c r="Z421">
        <v>3</v>
      </c>
      <c r="AA421">
        <v>80</v>
      </c>
      <c r="AB421">
        <v>0</v>
      </c>
      <c r="AC421">
        <v>4</v>
      </c>
      <c r="AD421">
        <v>2</v>
      </c>
      <c r="AE421">
        <v>2</v>
      </c>
      <c r="AF421">
        <v>0</v>
      </c>
      <c r="AG421">
        <v>0</v>
      </c>
      <c r="AH421">
        <v>0</v>
      </c>
      <c r="AI421">
        <v>0</v>
      </c>
    </row>
    <row r="422" spans="1:35" x14ac:dyDescent="0.3">
      <c r="A422">
        <v>29</v>
      </c>
      <c r="B422" t="s">
        <v>40</v>
      </c>
      <c r="C422" t="s">
        <v>41</v>
      </c>
      <c r="D422">
        <v>410</v>
      </c>
      <c r="E422" t="s">
        <v>42</v>
      </c>
      <c r="F422">
        <v>2</v>
      </c>
      <c r="G422">
        <v>1</v>
      </c>
      <c r="H422" t="s">
        <v>35</v>
      </c>
      <c r="I422">
        <v>1</v>
      </c>
      <c r="J422">
        <v>1513</v>
      </c>
      <c r="K422">
        <v>4</v>
      </c>
      <c r="L422" s="17" t="s">
        <v>36</v>
      </c>
      <c r="M422">
        <v>97</v>
      </c>
      <c r="N422">
        <v>3</v>
      </c>
      <c r="O422">
        <v>1</v>
      </c>
      <c r="P422" t="s">
        <v>47</v>
      </c>
      <c r="Q422">
        <v>2</v>
      </c>
      <c r="R422" t="s">
        <v>45</v>
      </c>
      <c r="S422" s="6">
        <v>3180</v>
      </c>
      <c r="T422">
        <v>4668</v>
      </c>
      <c r="U422">
        <v>0</v>
      </c>
      <c r="V422" t="s">
        <v>39</v>
      </c>
      <c r="W422" t="s">
        <v>40</v>
      </c>
      <c r="X422">
        <v>13</v>
      </c>
      <c r="Y422">
        <v>3</v>
      </c>
      <c r="Z422">
        <v>3</v>
      </c>
      <c r="AA422">
        <v>80</v>
      </c>
      <c r="AB422">
        <v>3</v>
      </c>
      <c r="AC422">
        <v>4</v>
      </c>
      <c r="AD422">
        <v>3</v>
      </c>
      <c r="AE422">
        <v>3</v>
      </c>
      <c r="AF422">
        <v>3</v>
      </c>
      <c r="AG422">
        <v>2</v>
      </c>
      <c r="AH422">
        <v>0</v>
      </c>
      <c r="AI422">
        <v>2</v>
      </c>
    </row>
    <row r="423" spans="1:35" x14ac:dyDescent="0.3">
      <c r="A423">
        <v>44</v>
      </c>
      <c r="B423" t="s">
        <v>40</v>
      </c>
      <c r="C423" t="s">
        <v>33</v>
      </c>
      <c r="D423">
        <v>528</v>
      </c>
      <c r="E423" t="s">
        <v>58</v>
      </c>
      <c r="F423">
        <v>1</v>
      </c>
      <c r="G423">
        <v>3</v>
      </c>
      <c r="H423" t="s">
        <v>35</v>
      </c>
      <c r="I423">
        <v>1</v>
      </c>
      <c r="J423">
        <v>1683</v>
      </c>
      <c r="K423">
        <v>3</v>
      </c>
      <c r="L423" s="17" t="s">
        <v>36</v>
      </c>
      <c r="M423">
        <v>44</v>
      </c>
      <c r="N423">
        <v>3</v>
      </c>
      <c r="O423">
        <v>1</v>
      </c>
      <c r="P423" t="s">
        <v>58</v>
      </c>
      <c r="Q423">
        <v>4</v>
      </c>
      <c r="R423" t="s">
        <v>49</v>
      </c>
      <c r="S423" s="6">
        <v>3195</v>
      </c>
      <c r="T423">
        <v>4167</v>
      </c>
      <c r="U423">
        <v>4</v>
      </c>
      <c r="V423" t="s">
        <v>39</v>
      </c>
      <c r="W423" t="s">
        <v>32</v>
      </c>
      <c r="X423">
        <v>18</v>
      </c>
      <c r="Y423">
        <v>3</v>
      </c>
      <c r="Z423">
        <v>1</v>
      </c>
      <c r="AA423">
        <v>80</v>
      </c>
      <c r="AB423">
        <v>3</v>
      </c>
      <c r="AC423">
        <v>8</v>
      </c>
      <c r="AD423">
        <v>2</v>
      </c>
      <c r="AE423">
        <v>3</v>
      </c>
      <c r="AF423">
        <v>2</v>
      </c>
      <c r="AG423">
        <v>2</v>
      </c>
      <c r="AH423">
        <v>2</v>
      </c>
      <c r="AI423">
        <v>2</v>
      </c>
    </row>
    <row r="424" spans="1:35" x14ac:dyDescent="0.3">
      <c r="A424">
        <v>28</v>
      </c>
      <c r="B424" t="s">
        <v>40</v>
      </c>
      <c r="C424" t="s">
        <v>33</v>
      </c>
      <c r="D424">
        <v>1179</v>
      </c>
      <c r="E424" t="s">
        <v>42</v>
      </c>
      <c r="F424">
        <v>19</v>
      </c>
      <c r="G424">
        <v>4</v>
      </c>
      <c r="H424" t="s">
        <v>48</v>
      </c>
      <c r="I424">
        <v>1</v>
      </c>
      <c r="J424">
        <v>1216</v>
      </c>
      <c r="K424">
        <v>4</v>
      </c>
      <c r="L424" s="17" t="s">
        <v>43</v>
      </c>
      <c r="M424">
        <v>78</v>
      </c>
      <c r="N424">
        <v>2</v>
      </c>
      <c r="O424">
        <v>1</v>
      </c>
      <c r="P424" t="s">
        <v>47</v>
      </c>
      <c r="Q424">
        <v>1</v>
      </c>
      <c r="R424" t="s">
        <v>45</v>
      </c>
      <c r="S424" s="6">
        <v>3196</v>
      </c>
      <c r="T424">
        <v>12449</v>
      </c>
      <c r="U424">
        <v>1</v>
      </c>
      <c r="V424" t="s">
        <v>39</v>
      </c>
      <c r="W424" t="s">
        <v>40</v>
      </c>
      <c r="X424">
        <v>12</v>
      </c>
      <c r="Y424">
        <v>3</v>
      </c>
      <c r="Z424">
        <v>3</v>
      </c>
      <c r="AA424">
        <v>80</v>
      </c>
      <c r="AB424">
        <v>3</v>
      </c>
      <c r="AC424">
        <v>6</v>
      </c>
      <c r="AD424">
        <v>2</v>
      </c>
      <c r="AE424">
        <v>3</v>
      </c>
      <c r="AF424">
        <v>6</v>
      </c>
      <c r="AG424">
        <v>5</v>
      </c>
      <c r="AH424">
        <v>3</v>
      </c>
      <c r="AI424">
        <v>3</v>
      </c>
    </row>
    <row r="425" spans="1:35" x14ac:dyDescent="0.3">
      <c r="A425">
        <v>28</v>
      </c>
      <c r="B425" t="s">
        <v>40</v>
      </c>
      <c r="C425" t="s">
        <v>33</v>
      </c>
      <c r="D425">
        <v>1451</v>
      </c>
      <c r="E425" t="s">
        <v>42</v>
      </c>
      <c r="F425">
        <v>2</v>
      </c>
      <c r="G425">
        <v>1</v>
      </c>
      <c r="H425" t="s">
        <v>35</v>
      </c>
      <c r="I425">
        <v>1</v>
      </c>
      <c r="J425">
        <v>1136</v>
      </c>
      <c r="K425">
        <v>1</v>
      </c>
      <c r="L425" s="17" t="s">
        <v>43</v>
      </c>
      <c r="M425">
        <v>67</v>
      </c>
      <c r="N425">
        <v>2</v>
      </c>
      <c r="O425">
        <v>1</v>
      </c>
      <c r="P425" t="s">
        <v>44</v>
      </c>
      <c r="Q425">
        <v>2</v>
      </c>
      <c r="R425" t="s">
        <v>45</v>
      </c>
      <c r="S425" s="6">
        <v>3201</v>
      </c>
      <c r="T425">
        <v>19911</v>
      </c>
      <c r="U425">
        <v>0</v>
      </c>
      <c r="V425" t="s">
        <v>39</v>
      </c>
      <c r="W425" t="s">
        <v>40</v>
      </c>
      <c r="X425">
        <v>17</v>
      </c>
      <c r="Y425">
        <v>3</v>
      </c>
      <c r="Z425">
        <v>1</v>
      </c>
      <c r="AA425">
        <v>80</v>
      </c>
      <c r="AB425">
        <v>0</v>
      </c>
      <c r="AC425">
        <v>6</v>
      </c>
      <c r="AD425">
        <v>2</v>
      </c>
      <c r="AE425">
        <v>1</v>
      </c>
      <c r="AF425">
        <v>5</v>
      </c>
      <c r="AG425">
        <v>3</v>
      </c>
      <c r="AH425">
        <v>0</v>
      </c>
      <c r="AI425">
        <v>4</v>
      </c>
    </row>
    <row r="426" spans="1:35" x14ac:dyDescent="0.3">
      <c r="A426">
        <v>24</v>
      </c>
      <c r="B426" t="s">
        <v>32</v>
      </c>
      <c r="C426" t="s">
        <v>33</v>
      </c>
      <c r="D426">
        <v>1448</v>
      </c>
      <c r="E426" t="s">
        <v>34</v>
      </c>
      <c r="F426">
        <v>1</v>
      </c>
      <c r="G426">
        <v>1</v>
      </c>
      <c r="H426" t="s">
        <v>57</v>
      </c>
      <c r="I426">
        <v>1</v>
      </c>
      <c r="J426">
        <v>554</v>
      </c>
      <c r="K426">
        <v>1</v>
      </c>
      <c r="L426" s="17" t="s">
        <v>36</v>
      </c>
      <c r="M426">
        <v>62</v>
      </c>
      <c r="N426">
        <v>3</v>
      </c>
      <c r="O426">
        <v>1</v>
      </c>
      <c r="P426" t="s">
        <v>54</v>
      </c>
      <c r="Q426">
        <v>2</v>
      </c>
      <c r="R426" t="s">
        <v>38</v>
      </c>
      <c r="S426" s="6">
        <v>3202</v>
      </c>
      <c r="T426">
        <v>21972</v>
      </c>
      <c r="U426">
        <v>1</v>
      </c>
      <c r="V426" t="s">
        <v>39</v>
      </c>
      <c r="W426" t="s">
        <v>32</v>
      </c>
      <c r="X426">
        <v>16</v>
      </c>
      <c r="Y426">
        <v>3</v>
      </c>
      <c r="Z426">
        <v>2</v>
      </c>
      <c r="AA426">
        <v>80</v>
      </c>
      <c r="AB426">
        <v>0</v>
      </c>
      <c r="AC426">
        <v>6</v>
      </c>
      <c r="AD426">
        <v>4</v>
      </c>
      <c r="AE426">
        <v>3</v>
      </c>
      <c r="AF426">
        <v>5</v>
      </c>
      <c r="AG426">
        <v>3</v>
      </c>
      <c r="AH426">
        <v>1</v>
      </c>
      <c r="AI426">
        <v>4</v>
      </c>
    </row>
    <row r="427" spans="1:35" x14ac:dyDescent="0.3">
      <c r="A427">
        <v>30</v>
      </c>
      <c r="B427" t="s">
        <v>40</v>
      </c>
      <c r="C427" t="s">
        <v>33</v>
      </c>
      <c r="D427">
        <v>201</v>
      </c>
      <c r="E427" t="s">
        <v>42</v>
      </c>
      <c r="F427">
        <v>5</v>
      </c>
      <c r="G427">
        <v>3</v>
      </c>
      <c r="H427" t="s">
        <v>57</v>
      </c>
      <c r="I427">
        <v>1</v>
      </c>
      <c r="J427">
        <v>197</v>
      </c>
      <c r="K427">
        <v>4</v>
      </c>
      <c r="L427" s="17" t="s">
        <v>36</v>
      </c>
      <c r="M427">
        <v>84</v>
      </c>
      <c r="N427">
        <v>3</v>
      </c>
      <c r="O427">
        <v>1</v>
      </c>
      <c r="P427" t="s">
        <v>44</v>
      </c>
      <c r="Q427">
        <v>1</v>
      </c>
      <c r="R427" t="s">
        <v>49</v>
      </c>
      <c r="S427" s="6">
        <v>3204</v>
      </c>
      <c r="T427">
        <v>10415</v>
      </c>
      <c r="U427">
        <v>5</v>
      </c>
      <c r="V427" t="s">
        <v>39</v>
      </c>
      <c r="W427" t="s">
        <v>40</v>
      </c>
      <c r="X427">
        <v>14</v>
      </c>
      <c r="Y427">
        <v>3</v>
      </c>
      <c r="Z427">
        <v>4</v>
      </c>
      <c r="AA427">
        <v>80</v>
      </c>
      <c r="AB427">
        <v>1</v>
      </c>
      <c r="AC427">
        <v>8</v>
      </c>
      <c r="AD427">
        <v>3</v>
      </c>
      <c r="AE427">
        <v>3</v>
      </c>
      <c r="AF427">
        <v>3</v>
      </c>
      <c r="AG427">
        <v>2</v>
      </c>
      <c r="AH427">
        <v>2</v>
      </c>
      <c r="AI427">
        <v>2</v>
      </c>
    </row>
    <row r="428" spans="1:35" x14ac:dyDescent="0.3">
      <c r="A428">
        <v>36</v>
      </c>
      <c r="B428" t="s">
        <v>40</v>
      </c>
      <c r="C428" t="s">
        <v>33</v>
      </c>
      <c r="D428">
        <v>1403</v>
      </c>
      <c r="E428" t="s">
        <v>42</v>
      </c>
      <c r="F428">
        <v>6</v>
      </c>
      <c r="G428">
        <v>3</v>
      </c>
      <c r="H428" t="s">
        <v>35</v>
      </c>
      <c r="I428">
        <v>1</v>
      </c>
      <c r="J428">
        <v>373</v>
      </c>
      <c r="K428">
        <v>4</v>
      </c>
      <c r="L428" s="17" t="s">
        <v>43</v>
      </c>
      <c r="M428">
        <v>47</v>
      </c>
      <c r="N428">
        <v>3</v>
      </c>
      <c r="O428">
        <v>1</v>
      </c>
      <c r="P428" t="s">
        <v>47</v>
      </c>
      <c r="Q428">
        <v>4</v>
      </c>
      <c r="R428" t="s">
        <v>45</v>
      </c>
      <c r="S428" s="6">
        <v>3210</v>
      </c>
      <c r="T428">
        <v>20251</v>
      </c>
      <c r="U428">
        <v>0</v>
      </c>
      <c r="V428" t="s">
        <v>39</v>
      </c>
      <c r="W428" t="s">
        <v>40</v>
      </c>
      <c r="X428">
        <v>11</v>
      </c>
      <c r="Y428">
        <v>3</v>
      </c>
      <c r="Z428">
        <v>3</v>
      </c>
      <c r="AA428">
        <v>80</v>
      </c>
      <c r="AB428">
        <v>1</v>
      </c>
      <c r="AC428">
        <v>16</v>
      </c>
      <c r="AD428">
        <v>4</v>
      </c>
      <c r="AE428">
        <v>3</v>
      </c>
      <c r="AF428">
        <v>15</v>
      </c>
      <c r="AG428">
        <v>13</v>
      </c>
      <c r="AH428">
        <v>10</v>
      </c>
      <c r="AI428">
        <v>11</v>
      </c>
    </row>
    <row r="429" spans="1:35" x14ac:dyDescent="0.3">
      <c r="A429">
        <v>49</v>
      </c>
      <c r="B429" t="s">
        <v>40</v>
      </c>
      <c r="C429" t="s">
        <v>33</v>
      </c>
      <c r="D429">
        <v>722</v>
      </c>
      <c r="E429" t="s">
        <v>42</v>
      </c>
      <c r="F429">
        <v>25</v>
      </c>
      <c r="G429">
        <v>4</v>
      </c>
      <c r="H429" t="s">
        <v>35</v>
      </c>
      <c r="I429">
        <v>1</v>
      </c>
      <c r="J429">
        <v>1617</v>
      </c>
      <c r="K429">
        <v>3</v>
      </c>
      <c r="L429" s="17" t="s">
        <v>36</v>
      </c>
      <c r="M429">
        <v>84</v>
      </c>
      <c r="N429">
        <v>3</v>
      </c>
      <c r="O429">
        <v>1</v>
      </c>
      <c r="P429" t="s">
        <v>47</v>
      </c>
      <c r="Q429">
        <v>1</v>
      </c>
      <c r="R429" t="s">
        <v>45</v>
      </c>
      <c r="S429" s="6">
        <v>3211</v>
      </c>
      <c r="T429">
        <v>22102</v>
      </c>
      <c r="U429">
        <v>1</v>
      </c>
      <c r="V429" t="s">
        <v>39</v>
      </c>
      <c r="W429" t="s">
        <v>40</v>
      </c>
      <c r="X429">
        <v>14</v>
      </c>
      <c r="Y429">
        <v>3</v>
      </c>
      <c r="Z429">
        <v>4</v>
      </c>
      <c r="AA429">
        <v>80</v>
      </c>
      <c r="AB429">
        <v>1</v>
      </c>
      <c r="AC429">
        <v>10</v>
      </c>
      <c r="AD429">
        <v>3</v>
      </c>
      <c r="AE429">
        <v>2</v>
      </c>
      <c r="AF429">
        <v>9</v>
      </c>
      <c r="AG429">
        <v>6</v>
      </c>
      <c r="AH429">
        <v>1</v>
      </c>
      <c r="AI429">
        <v>4</v>
      </c>
    </row>
    <row r="430" spans="1:35" x14ac:dyDescent="0.3">
      <c r="A430">
        <v>52</v>
      </c>
      <c r="B430" t="s">
        <v>40</v>
      </c>
      <c r="C430" t="s">
        <v>33</v>
      </c>
      <c r="D430">
        <v>1323</v>
      </c>
      <c r="E430" t="s">
        <v>42</v>
      </c>
      <c r="F430">
        <v>2</v>
      </c>
      <c r="G430">
        <v>3</v>
      </c>
      <c r="H430" t="s">
        <v>35</v>
      </c>
      <c r="I430">
        <v>1</v>
      </c>
      <c r="J430">
        <v>316</v>
      </c>
      <c r="K430">
        <v>3</v>
      </c>
      <c r="L430" s="17" t="s">
        <v>36</v>
      </c>
      <c r="M430">
        <v>89</v>
      </c>
      <c r="N430">
        <v>2</v>
      </c>
      <c r="O430">
        <v>1</v>
      </c>
      <c r="P430" t="s">
        <v>47</v>
      </c>
      <c r="Q430">
        <v>4</v>
      </c>
      <c r="R430" t="s">
        <v>38</v>
      </c>
      <c r="S430" s="6">
        <v>3212</v>
      </c>
      <c r="T430">
        <v>3300</v>
      </c>
      <c r="U430">
        <v>7</v>
      </c>
      <c r="V430" t="s">
        <v>39</v>
      </c>
      <c r="W430" t="s">
        <v>40</v>
      </c>
      <c r="X430">
        <v>15</v>
      </c>
      <c r="Y430">
        <v>3</v>
      </c>
      <c r="Z430">
        <v>2</v>
      </c>
      <c r="AA430">
        <v>80</v>
      </c>
      <c r="AB430">
        <v>0</v>
      </c>
      <c r="AC430">
        <v>6</v>
      </c>
      <c r="AD430">
        <v>3</v>
      </c>
      <c r="AE430">
        <v>2</v>
      </c>
      <c r="AF430">
        <v>2</v>
      </c>
      <c r="AG430">
        <v>2</v>
      </c>
      <c r="AH430">
        <v>2</v>
      </c>
      <c r="AI430">
        <v>2</v>
      </c>
    </row>
    <row r="431" spans="1:35" x14ac:dyDescent="0.3">
      <c r="A431">
        <v>50</v>
      </c>
      <c r="B431" t="s">
        <v>40</v>
      </c>
      <c r="C431" t="s">
        <v>33</v>
      </c>
      <c r="D431">
        <v>1207</v>
      </c>
      <c r="E431" t="s">
        <v>42</v>
      </c>
      <c r="F431">
        <v>28</v>
      </c>
      <c r="G431">
        <v>1</v>
      </c>
      <c r="H431" t="s">
        <v>48</v>
      </c>
      <c r="I431">
        <v>1</v>
      </c>
      <c r="J431">
        <v>716</v>
      </c>
      <c r="K431">
        <v>4</v>
      </c>
      <c r="L431" s="17" t="s">
        <v>43</v>
      </c>
      <c r="M431">
        <v>74</v>
      </c>
      <c r="N431">
        <v>4</v>
      </c>
      <c r="O431">
        <v>1</v>
      </c>
      <c r="P431" t="s">
        <v>47</v>
      </c>
      <c r="Q431">
        <v>3</v>
      </c>
      <c r="R431" t="s">
        <v>45</v>
      </c>
      <c r="S431" s="6">
        <v>3221</v>
      </c>
      <c r="T431">
        <v>3297</v>
      </c>
      <c r="U431">
        <v>1</v>
      </c>
      <c r="V431" t="s">
        <v>39</v>
      </c>
      <c r="W431" t="s">
        <v>32</v>
      </c>
      <c r="X431">
        <v>11</v>
      </c>
      <c r="Y431">
        <v>3</v>
      </c>
      <c r="Z431">
        <v>3</v>
      </c>
      <c r="AA431">
        <v>80</v>
      </c>
      <c r="AB431">
        <v>3</v>
      </c>
      <c r="AC431">
        <v>20</v>
      </c>
      <c r="AD431">
        <v>3</v>
      </c>
      <c r="AE431">
        <v>3</v>
      </c>
      <c r="AF431">
        <v>20</v>
      </c>
      <c r="AG431">
        <v>8</v>
      </c>
      <c r="AH431">
        <v>3</v>
      </c>
      <c r="AI431">
        <v>8</v>
      </c>
    </row>
    <row r="432" spans="1:35" x14ac:dyDescent="0.3">
      <c r="A432">
        <v>25</v>
      </c>
      <c r="B432" t="s">
        <v>40</v>
      </c>
      <c r="C432" t="s">
        <v>33</v>
      </c>
      <c r="D432">
        <v>949</v>
      </c>
      <c r="E432" t="s">
        <v>42</v>
      </c>
      <c r="F432">
        <v>1</v>
      </c>
      <c r="G432">
        <v>3</v>
      </c>
      <c r="H432" t="s">
        <v>57</v>
      </c>
      <c r="I432">
        <v>1</v>
      </c>
      <c r="J432">
        <v>1415</v>
      </c>
      <c r="K432">
        <v>1</v>
      </c>
      <c r="L432" s="17" t="s">
        <v>43</v>
      </c>
      <c r="M432">
        <v>81</v>
      </c>
      <c r="N432">
        <v>3</v>
      </c>
      <c r="O432">
        <v>1</v>
      </c>
      <c r="P432" t="s">
        <v>47</v>
      </c>
      <c r="Q432">
        <v>4</v>
      </c>
      <c r="R432" t="s">
        <v>45</v>
      </c>
      <c r="S432" s="6">
        <v>3229</v>
      </c>
      <c r="T432">
        <v>4910</v>
      </c>
      <c r="U432">
        <v>4</v>
      </c>
      <c r="V432" t="s">
        <v>39</v>
      </c>
      <c r="W432" t="s">
        <v>40</v>
      </c>
      <c r="X432">
        <v>11</v>
      </c>
      <c r="Y432">
        <v>3</v>
      </c>
      <c r="Z432">
        <v>2</v>
      </c>
      <c r="AA432">
        <v>80</v>
      </c>
      <c r="AB432">
        <v>1</v>
      </c>
      <c r="AC432">
        <v>7</v>
      </c>
      <c r="AD432">
        <v>2</v>
      </c>
      <c r="AE432">
        <v>2</v>
      </c>
      <c r="AF432">
        <v>3</v>
      </c>
      <c r="AG432">
        <v>2</v>
      </c>
      <c r="AH432">
        <v>0</v>
      </c>
      <c r="AI432">
        <v>2</v>
      </c>
    </row>
    <row r="433" spans="1:35" x14ac:dyDescent="0.3">
      <c r="A433">
        <v>21</v>
      </c>
      <c r="B433" t="s">
        <v>40</v>
      </c>
      <c r="C433" t="s">
        <v>33</v>
      </c>
      <c r="D433">
        <v>996</v>
      </c>
      <c r="E433" t="s">
        <v>42</v>
      </c>
      <c r="F433">
        <v>3</v>
      </c>
      <c r="G433">
        <v>2</v>
      </c>
      <c r="H433" t="s">
        <v>48</v>
      </c>
      <c r="I433">
        <v>1</v>
      </c>
      <c r="J433">
        <v>379</v>
      </c>
      <c r="K433">
        <v>4</v>
      </c>
      <c r="L433" s="17" t="s">
        <v>43</v>
      </c>
      <c r="M433">
        <v>100</v>
      </c>
      <c r="N433">
        <v>2</v>
      </c>
      <c r="O433">
        <v>1</v>
      </c>
      <c r="P433" t="s">
        <v>44</v>
      </c>
      <c r="Q433">
        <v>3</v>
      </c>
      <c r="R433" t="s">
        <v>38</v>
      </c>
      <c r="S433" s="6">
        <v>3230</v>
      </c>
      <c r="T433">
        <v>10531</v>
      </c>
      <c r="U433">
        <v>1</v>
      </c>
      <c r="V433" t="s">
        <v>39</v>
      </c>
      <c r="W433" t="s">
        <v>40</v>
      </c>
      <c r="X433">
        <v>17</v>
      </c>
      <c r="Y433">
        <v>3</v>
      </c>
      <c r="Z433">
        <v>1</v>
      </c>
      <c r="AA433">
        <v>80</v>
      </c>
      <c r="AB433">
        <v>0</v>
      </c>
      <c r="AC433">
        <v>3</v>
      </c>
      <c r="AD433">
        <v>4</v>
      </c>
      <c r="AE433">
        <v>4</v>
      </c>
      <c r="AF433">
        <v>3</v>
      </c>
      <c r="AG433">
        <v>2</v>
      </c>
      <c r="AH433">
        <v>1</v>
      </c>
      <c r="AI433">
        <v>0</v>
      </c>
    </row>
    <row r="434" spans="1:35" x14ac:dyDescent="0.3">
      <c r="A434">
        <v>34</v>
      </c>
      <c r="B434" t="s">
        <v>40</v>
      </c>
      <c r="C434" t="s">
        <v>33</v>
      </c>
      <c r="D434">
        <v>182</v>
      </c>
      <c r="E434" t="s">
        <v>42</v>
      </c>
      <c r="F434">
        <v>1</v>
      </c>
      <c r="G434">
        <v>4</v>
      </c>
      <c r="H434" t="s">
        <v>35</v>
      </c>
      <c r="I434">
        <v>1</v>
      </c>
      <c r="J434">
        <v>797</v>
      </c>
      <c r="K434">
        <v>2</v>
      </c>
      <c r="L434" s="17" t="s">
        <v>36</v>
      </c>
      <c r="M434">
        <v>72</v>
      </c>
      <c r="N434">
        <v>4</v>
      </c>
      <c r="O434">
        <v>1</v>
      </c>
      <c r="P434" t="s">
        <v>44</v>
      </c>
      <c r="Q434">
        <v>4</v>
      </c>
      <c r="R434" t="s">
        <v>38</v>
      </c>
      <c r="S434" s="6">
        <v>3280</v>
      </c>
      <c r="T434">
        <v>13551</v>
      </c>
      <c r="U434">
        <v>2</v>
      </c>
      <c r="V434" t="s">
        <v>39</v>
      </c>
      <c r="W434" t="s">
        <v>40</v>
      </c>
      <c r="X434">
        <v>16</v>
      </c>
      <c r="Y434">
        <v>3</v>
      </c>
      <c r="Z434">
        <v>3</v>
      </c>
      <c r="AA434">
        <v>80</v>
      </c>
      <c r="AB434">
        <v>0</v>
      </c>
      <c r="AC434">
        <v>10</v>
      </c>
      <c r="AD434">
        <v>2</v>
      </c>
      <c r="AE434">
        <v>3</v>
      </c>
      <c r="AF434">
        <v>4</v>
      </c>
      <c r="AG434">
        <v>2</v>
      </c>
      <c r="AH434">
        <v>1</v>
      </c>
      <c r="AI434">
        <v>3</v>
      </c>
    </row>
    <row r="435" spans="1:35" x14ac:dyDescent="0.3">
      <c r="A435">
        <v>29</v>
      </c>
      <c r="B435" t="s">
        <v>40</v>
      </c>
      <c r="C435" t="s">
        <v>41</v>
      </c>
      <c r="D435">
        <v>490</v>
      </c>
      <c r="E435" t="s">
        <v>42</v>
      </c>
      <c r="F435">
        <v>10</v>
      </c>
      <c r="G435">
        <v>3</v>
      </c>
      <c r="H435" t="s">
        <v>35</v>
      </c>
      <c r="I435">
        <v>1</v>
      </c>
      <c r="J435">
        <v>1143</v>
      </c>
      <c r="K435">
        <v>4</v>
      </c>
      <c r="L435" s="17" t="s">
        <v>36</v>
      </c>
      <c r="M435">
        <v>61</v>
      </c>
      <c r="N435">
        <v>3</v>
      </c>
      <c r="O435">
        <v>1</v>
      </c>
      <c r="P435" t="s">
        <v>44</v>
      </c>
      <c r="Q435">
        <v>2</v>
      </c>
      <c r="R435" t="s">
        <v>49</v>
      </c>
      <c r="S435" s="6">
        <v>3291</v>
      </c>
      <c r="T435">
        <v>17940</v>
      </c>
      <c r="U435">
        <v>0</v>
      </c>
      <c r="V435" t="s">
        <v>39</v>
      </c>
      <c r="W435" t="s">
        <v>40</v>
      </c>
      <c r="X435">
        <v>14</v>
      </c>
      <c r="Y435">
        <v>3</v>
      </c>
      <c r="Z435">
        <v>4</v>
      </c>
      <c r="AA435">
        <v>80</v>
      </c>
      <c r="AB435">
        <v>2</v>
      </c>
      <c r="AC435">
        <v>8</v>
      </c>
      <c r="AD435">
        <v>2</v>
      </c>
      <c r="AE435">
        <v>2</v>
      </c>
      <c r="AF435">
        <v>7</v>
      </c>
      <c r="AG435">
        <v>5</v>
      </c>
      <c r="AH435">
        <v>1</v>
      </c>
      <c r="AI435">
        <v>1</v>
      </c>
    </row>
    <row r="436" spans="1:35" x14ac:dyDescent="0.3">
      <c r="A436">
        <v>47</v>
      </c>
      <c r="B436" t="s">
        <v>40</v>
      </c>
      <c r="C436" t="s">
        <v>33</v>
      </c>
      <c r="D436">
        <v>1454</v>
      </c>
      <c r="E436" t="s">
        <v>34</v>
      </c>
      <c r="F436">
        <v>2</v>
      </c>
      <c r="G436">
        <v>4</v>
      </c>
      <c r="H436" t="s">
        <v>35</v>
      </c>
      <c r="I436">
        <v>1</v>
      </c>
      <c r="J436">
        <v>925</v>
      </c>
      <c r="K436">
        <v>4</v>
      </c>
      <c r="L436" s="17" t="s">
        <v>36</v>
      </c>
      <c r="M436">
        <v>65</v>
      </c>
      <c r="N436">
        <v>2</v>
      </c>
      <c r="O436">
        <v>1</v>
      </c>
      <c r="P436" t="s">
        <v>54</v>
      </c>
      <c r="Q436">
        <v>4</v>
      </c>
      <c r="R436" t="s">
        <v>38</v>
      </c>
      <c r="S436" s="6">
        <v>3294</v>
      </c>
      <c r="T436">
        <v>13137</v>
      </c>
      <c r="U436">
        <v>1</v>
      </c>
      <c r="V436" t="s">
        <v>39</v>
      </c>
      <c r="W436" t="s">
        <v>32</v>
      </c>
      <c r="X436">
        <v>18</v>
      </c>
      <c r="Y436">
        <v>3</v>
      </c>
      <c r="Z436">
        <v>1</v>
      </c>
      <c r="AA436">
        <v>80</v>
      </c>
      <c r="AB436">
        <v>0</v>
      </c>
      <c r="AC436">
        <v>3</v>
      </c>
      <c r="AD436">
        <v>3</v>
      </c>
      <c r="AE436">
        <v>2</v>
      </c>
      <c r="AF436">
        <v>3</v>
      </c>
      <c r="AG436">
        <v>2</v>
      </c>
      <c r="AH436">
        <v>1</v>
      </c>
      <c r="AI436">
        <v>2</v>
      </c>
    </row>
    <row r="437" spans="1:35" x14ac:dyDescent="0.3">
      <c r="A437">
        <v>34</v>
      </c>
      <c r="B437" t="s">
        <v>40</v>
      </c>
      <c r="C437" t="s">
        <v>33</v>
      </c>
      <c r="D437">
        <v>401</v>
      </c>
      <c r="E437" t="s">
        <v>42</v>
      </c>
      <c r="F437">
        <v>1</v>
      </c>
      <c r="G437">
        <v>3</v>
      </c>
      <c r="H437" t="s">
        <v>35</v>
      </c>
      <c r="I437">
        <v>1</v>
      </c>
      <c r="J437">
        <v>1447</v>
      </c>
      <c r="K437">
        <v>4</v>
      </c>
      <c r="L437" s="17" t="s">
        <v>36</v>
      </c>
      <c r="M437">
        <v>86</v>
      </c>
      <c r="N437">
        <v>2</v>
      </c>
      <c r="O437">
        <v>1</v>
      </c>
      <c r="P437" t="s">
        <v>47</v>
      </c>
      <c r="Q437">
        <v>2</v>
      </c>
      <c r="R437" t="s">
        <v>45</v>
      </c>
      <c r="S437" s="6">
        <v>3294</v>
      </c>
      <c r="T437">
        <v>3708</v>
      </c>
      <c r="U437">
        <v>5</v>
      </c>
      <c r="V437" t="s">
        <v>39</v>
      </c>
      <c r="W437" t="s">
        <v>40</v>
      </c>
      <c r="X437">
        <v>17</v>
      </c>
      <c r="Y437">
        <v>3</v>
      </c>
      <c r="Z437">
        <v>1</v>
      </c>
      <c r="AA437">
        <v>80</v>
      </c>
      <c r="AB437">
        <v>1</v>
      </c>
      <c r="AC437">
        <v>7</v>
      </c>
      <c r="AD437">
        <v>2</v>
      </c>
      <c r="AE437">
        <v>2</v>
      </c>
      <c r="AF437">
        <v>5</v>
      </c>
      <c r="AG437">
        <v>4</v>
      </c>
      <c r="AH437">
        <v>0</v>
      </c>
      <c r="AI437">
        <v>2</v>
      </c>
    </row>
    <row r="438" spans="1:35" x14ac:dyDescent="0.3">
      <c r="A438">
        <v>23</v>
      </c>
      <c r="B438" t="s">
        <v>40</v>
      </c>
      <c r="C438" t="s">
        <v>33</v>
      </c>
      <c r="D438">
        <v>160</v>
      </c>
      <c r="E438" t="s">
        <v>42</v>
      </c>
      <c r="F438">
        <v>4</v>
      </c>
      <c r="G438">
        <v>1</v>
      </c>
      <c r="H438" t="s">
        <v>48</v>
      </c>
      <c r="I438">
        <v>1</v>
      </c>
      <c r="J438">
        <v>1735</v>
      </c>
      <c r="K438">
        <v>3</v>
      </c>
      <c r="L438" s="17" t="s">
        <v>36</v>
      </c>
      <c r="M438">
        <v>51</v>
      </c>
      <c r="N438">
        <v>3</v>
      </c>
      <c r="O438">
        <v>1</v>
      </c>
      <c r="P438" t="s">
        <v>47</v>
      </c>
      <c r="Q438">
        <v>2</v>
      </c>
      <c r="R438" t="s">
        <v>38</v>
      </c>
      <c r="S438" s="6">
        <v>3295</v>
      </c>
      <c r="T438">
        <v>12862</v>
      </c>
      <c r="U438">
        <v>1</v>
      </c>
      <c r="V438" t="s">
        <v>39</v>
      </c>
      <c r="W438" t="s">
        <v>40</v>
      </c>
      <c r="X438">
        <v>13</v>
      </c>
      <c r="Y438">
        <v>3</v>
      </c>
      <c r="Z438">
        <v>3</v>
      </c>
      <c r="AA438">
        <v>80</v>
      </c>
      <c r="AB438">
        <v>0</v>
      </c>
      <c r="AC438">
        <v>3</v>
      </c>
      <c r="AD438">
        <v>3</v>
      </c>
      <c r="AE438">
        <v>1</v>
      </c>
      <c r="AF438">
        <v>3</v>
      </c>
      <c r="AG438">
        <v>2</v>
      </c>
      <c r="AH438">
        <v>1</v>
      </c>
      <c r="AI438">
        <v>2</v>
      </c>
    </row>
    <row r="439" spans="1:35" x14ac:dyDescent="0.3">
      <c r="A439">
        <v>32</v>
      </c>
      <c r="B439" t="s">
        <v>40</v>
      </c>
      <c r="C439" t="s">
        <v>33</v>
      </c>
      <c r="D439">
        <v>334</v>
      </c>
      <c r="E439" t="s">
        <v>42</v>
      </c>
      <c r="F439">
        <v>5</v>
      </c>
      <c r="G439">
        <v>2</v>
      </c>
      <c r="H439" t="s">
        <v>35</v>
      </c>
      <c r="I439">
        <v>1</v>
      </c>
      <c r="J439">
        <v>21</v>
      </c>
      <c r="K439">
        <v>1</v>
      </c>
      <c r="L439" s="17" t="s">
        <v>43</v>
      </c>
      <c r="M439">
        <v>80</v>
      </c>
      <c r="N439">
        <v>4</v>
      </c>
      <c r="O439">
        <v>1</v>
      </c>
      <c r="P439" t="s">
        <v>44</v>
      </c>
      <c r="Q439">
        <v>2</v>
      </c>
      <c r="R439" t="s">
        <v>49</v>
      </c>
      <c r="S439" s="6">
        <v>3298</v>
      </c>
      <c r="T439">
        <v>15053</v>
      </c>
      <c r="U439">
        <v>0</v>
      </c>
      <c r="V439" t="s">
        <v>39</v>
      </c>
      <c r="W439" t="s">
        <v>32</v>
      </c>
      <c r="X439">
        <v>12</v>
      </c>
      <c r="Y439">
        <v>3</v>
      </c>
      <c r="Z439">
        <v>4</v>
      </c>
      <c r="AA439">
        <v>80</v>
      </c>
      <c r="AB439">
        <v>2</v>
      </c>
      <c r="AC439">
        <v>7</v>
      </c>
      <c r="AD439">
        <v>5</v>
      </c>
      <c r="AE439">
        <v>2</v>
      </c>
      <c r="AF439">
        <v>6</v>
      </c>
      <c r="AG439">
        <v>2</v>
      </c>
      <c r="AH439">
        <v>0</v>
      </c>
      <c r="AI439">
        <v>5</v>
      </c>
    </row>
    <row r="440" spans="1:35" x14ac:dyDescent="0.3">
      <c r="A440">
        <v>38</v>
      </c>
      <c r="B440" t="s">
        <v>40</v>
      </c>
      <c r="C440" t="s">
        <v>33</v>
      </c>
      <c r="D440">
        <v>1495</v>
      </c>
      <c r="E440" t="s">
        <v>42</v>
      </c>
      <c r="F440">
        <v>4</v>
      </c>
      <c r="G440">
        <v>2</v>
      </c>
      <c r="H440" t="s">
        <v>48</v>
      </c>
      <c r="I440">
        <v>1</v>
      </c>
      <c r="J440">
        <v>1687</v>
      </c>
      <c r="K440">
        <v>4</v>
      </c>
      <c r="L440" s="17" t="s">
        <v>36</v>
      </c>
      <c r="M440">
        <v>87</v>
      </c>
      <c r="N440">
        <v>3</v>
      </c>
      <c r="O440">
        <v>1</v>
      </c>
      <c r="P440" t="s">
        <v>47</v>
      </c>
      <c r="Q440">
        <v>3</v>
      </c>
      <c r="R440" t="s">
        <v>45</v>
      </c>
      <c r="S440" s="6">
        <v>3306</v>
      </c>
      <c r="T440">
        <v>26176</v>
      </c>
      <c r="U440">
        <v>7</v>
      </c>
      <c r="V440" t="s">
        <v>39</v>
      </c>
      <c r="W440" t="s">
        <v>40</v>
      </c>
      <c r="X440">
        <v>19</v>
      </c>
      <c r="Y440">
        <v>3</v>
      </c>
      <c r="Z440">
        <v>4</v>
      </c>
      <c r="AA440">
        <v>80</v>
      </c>
      <c r="AB440">
        <v>1</v>
      </c>
      <c r="AC440">
        <v>7</v>
      </c>
      <c r="AD440">
        <v>5</v>
      </c>
      <c r="AE440">
        <v>2</v>
      </c>
      <c r="AF440">
        <v>0</v>
      </c>
      <c r="AG440">
        <v>0</v>
      </c>
      <c r="AH440">
        <v>0</v>
      </c>
      <c r="AI440">
        <v>0</v>
      </c>
    </row>
    <row r="441" spans="1:35" x14ac:dyDescent="0.3">
      <c r="A441">
        <v>28</v>
      </c>
      <c r="B441" t="s">
        <v>40</v>
      </c>
      <c r="C441" t="s">
        <v>33</v>
      </c>
      <c r="D441">
        <v>1117</v>
      </c>
      <c r="E441" t="s">
        <v>42</v>
      </c>
      <c r="F441">
        <v>8</v>
      </c>
      <c r="G441">
        <v>2</v>
      </c>
      <c r="H441" t="s">
        <v>35</v>
      </c>
      <c r="I441">
        <v>1</v>
      </c>
      <c r="J441">
        <v>395</v>
      </c>
      <c r="K441">
        <v>4</v>
      </c>
      <c r="L441" s="17" t="s">
        <v>36</v>
      </c>
      <c r="M441">
        <v>66</v>
      </c>
      <c r="N441">
        <v>3</v>
      </c>
      <c r="O441">
        <v>1</v>
      </c>
      <c r="P441" t="s">
        <v>44</v>
      </c>
      <c r="Q441">
        <v>4</v>
      </c>
      <c r="R441" t="s">
        <v>38</v>
      </c>
      <c r="S441" s="6">
        <v>3310</v>
      </c>
      <c r="T441">
        <v>4488</v>
      </c>
      <c r="U441">
        <v>1</v>
      </c>
      <c r="V441" t="s">
        <v>39</v>
      </c>
      <c r="W441" t="s">
        <v>40</v>
      </c>
      <c r="X441">
        <v>21</v>
      </c>
      <c r="Y441">
        <v>4</v>
      </c>
      <c r="Z441">
        <v>4</v>
      </c>
      <c r="AA441">
        <v>80</v>
      </c>
      <c r="AB441">
        <v>0</v>
      </c>
      <c r="AC441">
        <v>5</v>
      </c>
      <c r="AD441">
        <v>3</v>
      </c>
      <c r="AE441">
        <v>3</v>
      </c>
      <c r="AF441">
        <v>5</v>
      </c>
      <c r="AG441">
        <v>3</v>
      </c>
      <c r="AH441">
        <v>0</v>
      </c>
      <c r="AI441">
        <v>2</v>
      </c>
    </row>
    <row r="442" spans="1:35" x14ac:dyDescent="0.3">
      <c r="A442">
        <v>32</v>
      </c>
      <c r="B442" t="s">
        <v>40</v>
      </c>
      <c r="C442" t="s">
        <v>33</v>
      </c>
      <c r="D442">
        <v>634</v>
      </c>
      <c r="E442" t="s">
        <v>42</v>
      </c>
      <c r="F442">
        <v>5</v>
      </c>
      <c r="G442">
        <v>4</v>
      </c>
      <c r="H442" t="s">
        <v>46</v>
      </c>
      <c r="I442">
        <v>1</v>
      </c>
      <c r="J442">
        <v>1607</v>
      </c>
      <c r="K442">
        <v>2</v>
      </c>
      <c r="L442" s="17" t="s">
        <v>36</v>
      </c>
      <c r="M442">
        <v>35</v>
      </c>
      <c r="N442">
        <v>4</v>
      </c>
      <c r="O442">
        <v>1</v>
      </c>
      <c r="P442" t="s">
        <v>44</v>
      </c>
      <c r="Q442">
        <v>4</v>
      </c>
      <c r="R442" t="s">
        <v>45</v>
      </c>
      <c r="S442" s="6">
        <v>3312</v>
      </c>
      <c r="T442">
        <v>18783</v>
      </c>
      <c r="U442">
        <v>3</v>
      </c>
      <c r="V442" t="s">
        <v>39</v>
      </c>
      <c r="W442" t="s">
        <v>40</v>
      </c>
      <c r="X442">
        <v>17</v>
      </c>
      <c r="Y442">
        <v>3</v>
      </c>
      <c r="Z442">
        <v>4</v>
      </c>
      <c r="AA442">
        <v>80</v>
      </c>
      <c r="AB442">
        <v>2</v>
      </c>
      <c r="AC442">
        <v>6</v>
      </c>
      <c r="AD442">
        <v>3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40</v>
      </c>
      <c r="B443" t="s">
        <v>40</v>
      </c>
      <c r="C443" t="s">
        <v>33</v>
      </c>
      <c r="D443">
        <v>1300</v>
      </c>
      <c r="E443" t="s">
        <v>42</v>
      </c>
      <c r="F443">
        <v>24</v>
      </c>
      <c r="G443">
        <v>2</v>
      </c>
      <c r="H443" t="s">
        <v>57</v>
      </c>
      <c r="I443">
        <v>1</v>
      </c>
      <c r="J443">
        <v>335</v>
      </c>
      <c r="K443">
        <v>1</v>
      </c>
      <c r="L443" s="17" t="s">
        <v>43</v>
      </c>
      <c r="M443">
        <v>62</v>
      </c>
      <c r="N443">
        <v>3</v>
      </c>
      <c r="O443">
        <v>2</v>
      </c>
      <c r="P443" t="s">
        <v>44</v>
      </c>
      <c r="Q443">
        <v>4</v>
      </c>
      <c r="R443" t="s">
        <v>49</v>
      </c>
      <c r="S443" s="6">
        <v>3319</v>
      </c>
      <c r="T443">
        <v>24447</v>
      </c>
      <c r="U443">
        <v>1</v>
      </c>
      <c r="V443" t="s">
        <v>39</v>
      </c>
      <c r="W443" t="s">
        <v>40</v>
      </c>
      <c r="X443">
        <v>17</v>
      </c>
      <c r="Y443">
        <v>3</v>
      </c>
      <c r="Z443">
        <v>1</v>
      </c>
      <c r="AA443">
        <v>80</v>
      </c>
      <c r="AB443">
        <v>2</v>
      </c>
      <c r="AC443">
        <v>9</v>
      </c>
      <c r="AD443">
        <v>3</v>
      </c>
      <c r="AE443">
        <v>3</v>
      </c>
      <c r="AF443">
        <v>9</v>
      </c>
      <c r="AG443">
        <v>8</v>
      </c>
      <c r="AH443">
        <v>4</v>
      </c>
      <c r="AI443">
        <v>7</v>
      </c>
    </row>
    <row r="444" spans="1:35" x14ac:dyDescent="0.3">
      <c r="A444">
        <v>29</v>
      </c>
      <c r="B444" t="s">
        <v>32</v>
      </c>
      <c r="C444" t="s">
        <v>33</v>
      </c>
      <c r="D444">
        <v>806</v>
      </c>
      <c r="E444" t="s">
        <v>42</v>
      </c>
      <c r="F444">
        <v>7</v>
      </c>
      <c r="G444">
        <v>3</v>
      </c>
      <c r="H444" t="s">
        <v>57</v>
      </c>
      <c r="I444">
        <v>1</v>
      </c>
      <c r="J444">
        <v>1299</v>
      </c>
      <c r="K444">
        <v>2</v>
      </c>
      <c r="L444" s="17" t="s">
        <v>36</v>
      </c>
      <c r="M444">
        <v>39</v>
      </c>
      <c r="N444">
        <v>3</v>
      </c>
      <c r="O444">
        <v>1</v>
      </c>
      <c r="P444" t="s">
        <v>47</v>
      </c>
      <c r="Q444">
        <v>3</v>
      </c>
      <c r="R444" t="s">
        <v>49</v>
      </c>
      <c r="S444" s="6">
        <v>3339</v>
      </c>
      <c r="T444">
        <v>17285</v>
      </c>
      <c r="U444">
        <v>3</v>
      </c>
      <c r="V444" t="s">
        <v>39</v>
      </c>
      <c r="W444" t="s">
        <v>32</v>
      </c>
      <c r="X444">
        <v>13</v>
      </c>
      <c r="Y444">
        <v>3</v>
      </c>
      <c r="Z444">
        <v>1</v>
      </c>
      <c r="AA444">
        <v>80</v>
      </c>
      <c r="AB444">
        <v>2</v>
      </c>
      <c r="AC444">
        <v>10</v>
      </c>
      <c r="AD444">
        <v>2</v>
      </c>
      <c r="AE444">
        <v>3</v>
      </c>
      <c r="AF444">
        <v>7</v>
      </c>
      <c r="AG444">
        <v>7</v>
      </c>
      <c r="AH444">
        <v>7</v>
      </c>
      <c r="AI444">
        <v>7</v>
      </c>
    </row>
    <row r="445" spans="1:35" x14ac:dyDescent="0.3">
      <c r="A445">
        <v>58</v>
      </c>
      <c r="B445" t="s">
        <v>40</v>
      </c>
      <c r="C445" t="s">
        <v>33</v>
      </c>
      <c r="D445">
        <v>1145</v>
      </c>
      <c r="E445" t="s">
        <v>42</v>
      </c>
      <c r="F445">
        <v>9</v>
      </c>
      <c r="G445">
        <v>3</v>
      </c>
      <c r="H445" t="s">
        <v>48</v>
      </c>
      <c r="I445">
        <v>1</v>
      </c>
      <c r="J445">
        <v>214</v>
      </c>
      <c r="K445">
        <v>2</v>
      </c>
      <c r="L445" s="17" t="s">
        <v>36</v>
      </c>
      <c r="M445">
        <v>75</v>
      </c>
      <c r="N445">
        <v>2</v>
      </c>
      <c r="O445">
        <v>1</v>
      </c>
      <c r="P445" t="s">
        <v>44</v>
      </c>
      <c r="Q445">
        <v>2</v>
      </c>
      <c r="R445" t="s">
        <v>45</v>
      </c>
      <c r="S445" s="6">
        <v>3346</v>
      </c>
      <c r="T445">
        <v>11873</v>
      </c>
      <c r="U445">
        <v>4</v>
      </c>
      <c r="V445" t="s">
        <v>39</v>
      </c>
      <c r="W445" t="s">
        <v>32</v>
      </c>
      <c r="X445">
        <v>20</v>
      </c>
      <c r="Y445">
        <v>4</v>
      </c>
      <c r="Z445">
        <v>2</v>
      </c>
      <c r="AA445">
        <v>80</v>
      </c>
      <c r="AB445">
        <v>1</v>
      </c>
      <c r="AC445">
        <v>9</v>
      </c>
      <c r="AD445">
        <v>3</v>
      </c>
      <c r="AE445">
        <v>2</v>
      </c>
      <c r="AF445">
        <v>1</v>
      </c>
      <c r="AG445">
        <v>0</v>
      </c>
      <c r="AH445">
        <v>0</v>
      </c>
      <c r="AI445">
        <v>0</v>
      </c>
    </row>
    <row r="446" spans="1:35" x14ac:dyDescent="0.3">
      <c r="A446">
        <v>33</v>
      </c>
      <c r="B446" t="s">
        <v>32</v>
      </c>
      <c r="C446" t="s">
        <v>41</v>
      </c>
      <c r="D446">
        <v>1076</v>
      </c>
      <c r="E446" t="s">
        <v>42</v>
      </c>
      <c r="F446">
        <v>3</v>
      </c>
      <c r="G446">
        <v>3</v>
      </c>
      <c r="H446" t="s">
        <v>35</v>
      </c>
      <c r="I446">
        <v>1</v>
      </c>
      <c r="J446">
        <v>702</v>
      </c>
      <c r="K446">
        <v>1</v>
      </c>
      <c r="L446" s="17" t="s">
        <v>43</v>
      </c>
      <c r="M446">
        <v>70</v>
      </c>
      <c r="N446">
        <v>3</v>
      </c>
      <c r="O446">
        <v>1</v>
      </c>
      <c r="P446" t="s">
        <v>44</v>
      </c>
      <c r="Q446">
        <v>1</v>
      </c>
      <c r="R446" t="s">
        <v>38</v>
      </c>
      <c r="S446" s="6">
        <v>3348</v>
      </c>
      <c r="T446">
        <v>3164</v>
      </c>
      <c r="U446">
        <v>1</v>
      </c>
      <c r="V446" t="s">
        <v>39</v>
      </c>
      <c r="W446" t="s">
        <v>32</v>
      </c>
      <c r="X446">
        <v>11</v>
      </c>
      <c r="Y446">
        <v>3</v>
      </c>
      <c r="Z446">
        <v>1</v>
      </c>
      <c r="AA446">
        <v>80</v>
      </c>
      <c r="AB446">
        <v>0</v>
      </c>
      <c r="AC446">
        <v>10</v>
      </c>
      <c r="AD446">
        <v>3</v>
      </c>
      <c r="AE446">
        <v>3</v>
      </c>
      <c r="AF446">
        <v>10</v>
      </c>
      <c r="AG446">
        <v>8</v>
      </c>
      <c r="AH446">
        <v>9</v>
      </c>
      <c r="AI446">
        <v>7</v>
      </c>
    </row>
    <row r="447" spans="1:35" x14ac:dyDescent="0.3">
      <c r="A447">
        <v>22</v>
      </c>
      <c r="B447" t="s">
        <v>40</v>
      </c>
      <c r="C447" t="s">
        <v>33</v>
      </c>
      <c r="D447">
        <v>581</v>
      </c>
      <c r="E447" t="s">
        <v>42</v>
      </c>
      <c r="F447">
        <v>1</v>
      </c>
      <c r="G447">
        <v>2</v>
      </c>
      <c r="H447" t="s">
        <v>35</v>
      </c>
      <c r="I447">
        <v>1</v>
      </c>
      <c r="J447">
        <v>2007</v>
      </c>
      <c r="K447">
        <v>4</v>
      </c>
      <c r="L447" s="17" t="s">
        <v>43</v>
      </c>
      <c r="M447">
        <v>63</v>
      </c>
      <c r="N447">
        <v>3</v>
      </c>
      <c r="O447">
        <v>1</v>
      </c>
      <c r="P447" t="s">
        <v>44</v>
      </c>
      <c r="Q447">
        <v>3</v>
      </c>
      <c r="R447" t="s">
        <v>38</v>
      </c>
      <c r="S447" s="6">
        <v>3375</v>
      </c>
      <c r="T447">
        <v>17624</v>
      </c>
      <c r="U447">
        <v>0</v>
      </c>
      <c r="V447" t="s">
        <v>39</v>
      </c>
      <c r="W447" t="s">
        <v>40</v>
      </c>
      <c r="X447">
        <v>12</v>
      </c>
      <c r="Y447">
        <v>3</v>
      </c>
      <c r="Z447">
        <v>4</v>
      </c>
      <c r="AA447">
        <v>80</v>
      </c>
      <c r="AB447">
        <v>0</v>
      </c>
      <c r="AC447">
        <v>4</v>
      </c>
      <c r="AD447">
        <v>2</v>
      </c>
      <c r="AE447">
        <v>4</v>
      </c>
      <c r="AF447">
        <v>3</v>
      </c>
      <c r="AG447">
        <v>2</v>
      </c>
      <c r="AH447">
        <v>1</v>
      </c>
      <c r="AI447">
        <v>2</v>
      </c>
    </row>
    <row r="448" spans="1:35" x14ac:dyDescent="0.3">
      <c r="A448">
        <v>41</v>
      </c>
      <c r="B448" t="s">
        <v>40</v>
      </c>
      <c r="C448" t="s">
        <v>33</v>
      </c>
      <c r="D448">
        <v>509</v>
      </c>
      <c r="E448" t="s">
        <v>42</v>
      </c>
      <c r="F448">
        <v>7</v>
      </c>
      <c r="G448">
        <v>2</v>
      </c>
      <c r="H448" t="s">
        <v>57</v>
      </c>
      <c r="I448">
        <v>1</v>
      </c>
      <c r="J448">
        <v>1085</v>
      </c>
      <c r="K448">
        <v>2</v>
      </c>
      <c r="L448" s="17" t="s">
        <v>36</v>
      </c>
      <c r="M448">
        <v>43</v>
      </c>
      <c r="N448">
        <v>4</v>
      </c>
      <c r="O448">
        <v>1</v>
      </c>
      <c r="P448" t="s">
        <v>44</v>
      </c>
      <c r="Q448">
        <v>3</v>
      </c>
      <c r="R448" t="s">
        <v>45</v>
      </c>
      <c r="S448" s="6">
        <v>3376</v>
      </c>
      <c r="T448">
        <v>18863</v>
      </c>
      <c r="U448">
        <v>1</v>
      </c>
      <c r="V448" t="s">
        <v>39</v>
      </c>
      <c r="W448" t="s">
        <v>40</v>
      </c>
      <c r="X448">
        <v>13</v>
      </c>
      <c r="Y448">
        <v>3</v>
      </c>
      <c r="Z448">
        <v>3</v>
      </c>
      <c r="AA448">
        <v>80</v>
      </c>
      <c r="AB448">
        <v>0</v>
      </c>
      <c r="AC448">
        <v>10</v>
      </c>
      <c r="AD448">
        <v>3</v>
      </c>
      <c r="AE448">
        <v>3</v>
      </c>
      <c r="AF448">
        <v>10</v>
      </c>
      <c r="AG448">
        <v>6</v>
      </c>
      <c r="AH448">
        <v>0</v>
      </c>
      <c r="AI448">
        <v>8</v>
      </c>
    </row>
    <row r="449" spans="1:35" x14ac:dyDescent="0.3">
      <c r="A449">
        <v>40</v>
      </c>
      <c r="B449" t="s">
        <v>40</v>
      </c>
      <c r="C449" t="s">
        <v>33</v>
      </c>
      <c r="D449">
        <v>616</v>
      </c>
      <c r="E449" t="s">
        <v>42</v>
      </c>
      <c r="F449">
        <v>2</v>
      </c>
      <c r="G449">
        <v>2</v>
      </c>
      <c r="H449" t="s">
        <v>35</v>
      </c>
      <c r="I449">
        <v>1</v>
      </c>
      <c r="J449">
        <v>1802</v>
      </c>
      <c r="K449">
        <v>3</v>
      </c>
      <c r="L449" s="17" t="s">
        <v>36</v>
      </c>
      <c r="M449">
        <v>99</v>
      </c>
      <c r="N449">
        <v>3</v>
      </c>
      <c r="O449">
        <v>1</v>
      </c>
      <c r="P449" t="s">
        <v>47</v>
      </c>
      <c r="Q449">
        <v>1</v>
      </c>
      <c r="R449" t="s">
        <v>45</v>
      </c>
      <c r="S449" s="6">
        <v>3377</v>
      </c>
      <c r="T449">
        <v>25605</v>
      </c>
      <c r="U449">
        <v>4</v>
      </c>
      <c r="V449" t="s">
        <v>39</v>
      </c>
      <c r="W449" t="s">
        <v>40</v>
      </c>
      <c r="X449">
        <v>17</v>
      </c>
      <c r="Y449">
        <v>3</v>
      </c>
      <c r="Z449">
        <v>4</v>
      </c>
      <c r="AA449">
        <v>80</v>
      </c>
      <c r="AB449">
        <v>1</v>
      </c>
      <c r="AC449">
        <v>7</v>
      </c>
      <c r="AD449">
        <v>5</v>
      </c>
      <c r="AE449">
        <v>2</v>
      </c>
      <c r="AF449">
        <v>4</v>
      </c>
      <c r="AG449">
        <v>3</v>
      </c>
      <c r="AH449">
        <v>0</v>
      </c>
      <c r="AI449">
        <v>2</v>
      </c>
    </row>
    <row r="450" spans="1:35" x14ac:dyDescent="0.3">
      <c r="A450">
        <v>36</v>
      </c>
      <c r="B450" t="s">
        <v>32</v>
      </c>
      <c r="C450" t="s">
        <v>33</v>
      </c>
      <c r="D450">
        <v>318</v>
      </c>
      <c r="E450" t="s">
        <v>42</v>
      </c>
      <c r="F450">
        <v>9</v>
      </c>
      <c r="G450">
        <v>3</v>
      </c>
      <c r="H450" t="s">
        <v>48</v>
      </c>
      <c r="I450">
        <v>1</v>
      </c>
      <c r="J450">
        <v>90</v>
      </c>
      <c r="K450">
        <v>4</v>
      </c>
      <c r="L450" s="17" t="s">
        <v>43</v>
      </c>
      <c r="M450">
        <v>79</v>
      </c>
      <c r="N450">
        <v>2</v>
      </c>
      <c r="O450">
        <v>1</v>
      </c>
      <c r="P450" t="s">
        <v>44</v>
      </c>
      <c r="Q450">
        <v>3</v>
      </c>
      <c r="R450" t="s">
        <v>45</v>
      </c>
      <c r="S450" s="6">
        <v>3388</v>
      </c>
      <c r="T450">
        <v>21777</v>
      </c>
      <c r="U450">
        <v>0</v>
      </c>
      <c r="V450" t="s">
        <v>39</v>
      </c>
      <c r="W450" t="s">
        <v>32</v>
      </c>
      <c r="X450">
        <v>17</v>
      </c>
      <c r="Y450">
        <v>3</v>
      </c>
      <c r="Z450">
        <v>1</v>
      </c>
      <c r="AA450">
        <v>80</v>
      </c>
      <c r="AB450">
        <v>1</v>
      </c>
      <c r="AC450">
        <v>2</v>
      </c>
      <c r="AD450">
        <v>0</v>
      </c>
      <c r="AE450">
        <v>2</v>
      </c>
      <c r="AF450">
        <v>1</v>
      </c>
      <c r="AG450">
        <v>0</v>
      </c>
      <c r="AH450">
        <v>0</v>
      </c>
      <c r="AI450">
        <v>0</v>
      </c>
    </row>
    <row r="451" spans="1:35" x14ac:dyDescent="0.3">
      <c r="A451">
        <v>36</v>
      </c>
      <c r="B451" t="s">
        <v>32</v>
      </c>
      <c r="C451" t="s">
        <v>33</v>
      </c>
      <c r="D451">
        <v>1218</v>
      </c>
      <c r="E451" t="s">
        <v>34</v>
      </c>
      <c r="F451">
        <v>9</v>
      </c>
      <c r="G451">
        <v>4</v>
      </c>
      <c r="H451" t="s">
        <v>35</v>
      </c>
      <c r="I451">
        <v>1</v>
      </c>
      <c r="J451">
        <v>27</v>
      </c>
      <c r="K451">
        <v>3</v>
      </c>
      <c r="L451" s="17" t="s">
        <v>43</v>
      </c>
      <c r="M451">
        <v>82</v>
      </c>
      <c r="N451">
        <v>2</v>
      </c>
      <c r="O451">
        <v>1</v>
      </c>
      <c r="P451" t="s">
        <v>54</v>
      </c>
      <c r="Q451">
        <v>1</v>
      </c>
      <c r="R451" t="s">
        <v>38</v>
      </c>
      <c r="S451" s="6">
        <v>3407</v>
      </c>
      <c r="T451">
        <v>6986</v>
      </c>
      <c r="U451">
        <v>7</v>
      </c>
      <c r="V451" t="s">
        <v>39</v>
      </c>
      <c r="W451" t="s">
        <v>40</v>
      </c>
      <c r="X451">
        <v>23</v>
      </c>
      <c r="Y451">
        <v>4</v>
      </c>
      <c r="Z451">
        <v>2</v>
      </c>
      <c r="AA451">
        <v>80</v>
      </c>
      <c r="AB451">
        <v>0</v>
      </c>
      <c r="AC451">
        <v>10</v>
      </c>
      <c r="AD451">
        <v>4</v>
      </c>
      <c r="AE451">
        <v>3</v>
      </c>
      <c r="AF451">
        <v>5</v>
      </c>
      <c r="AG451">
        <v>3</v>
      </c>
      <c r="AH451">
        <v>0</v>
      </c>
      <c r="AI451">
        <v>3</v>
      </c>
    </row>
    <row r="452" spans="1:35" x14ac:dyDescent="0.3">
      <c r="A452">
        <v>35</v>
      </c>
      <c r="B452" t="s">
        <v>40</v>
      </c>
      <c r="C452" t="s">
        <v>33</v>
      </c>
      <c r="D452">
        <v>750</v>
      </c>
      <c r="E452" t="s">
        <v>42</v>
      </c>
      <c r="F452">
        <v>28</v>
      </c>
      <c r="G452">
        <v>3</v>
      </c>
      <c r="H452" t="s">
        <v>35</v>
      </c>
      <c r="I452">
        <v>1</v>
      </c>
      <c r="J452">
        <v>1596</v>
      </c>
      <c r="K452">
        <v>2</v>
      </c>
      <c r="L452" s="17" t="s">
        <v>43</v>
      </c>
      <c r="M452">
        <v>46</v>
      </c>
      <c r="N452">
        <v>4</v>
      </c>
      <c r="O452">
        <v>2</v>
      </c>
      <c r="P452" t="s">
        <v>47</v>
      </c>
      <c r="Q452">
        <v>3</v>
      </c>
      <c r="R452" t="s">
        <v>45</v>
      </c>
      <c r="S452" s="6">
        <v>3407</v>
      </c>
      <c r="T452">
        <v>25348</v>
      </c>
      <c r="U452">
        <v>1</v>
      </c>
      <c r="V452" t="s">
        <v>39</v>
      </c>
      <c r="W452" t="s">
        <v>40</v>
      </c>
      <c r="X452">
        <v>17</v>
      </c>
      <c r="Y452">
        <v>3</v>
      </c>
      <c r="Z452">
        <v>4</v>
      </c>
      <c r="AA452">
        <v>80</v>
      </c>
      <c r="AB452">
        <v>2</v>
      </c>
      <c r="AC452">
        <v>10</v>
      </c>
      <c r="AD452">
        <v>3</v>
      </c>
      <c r="AE452">
        <v>2</v>
      </c>
      <c r="AF452">
        <v>10</v>
      </c>
      <c r="AG452">
        <v>9</v>
      </c>
      <c r="AH452">
        <v>6</v>
      </c>
      <c r="AI452">
        <v>8</v>
      </c>
    </row>
    <row r="453" spans="1:35" x14ac:dyDescent="0.3">
      <c r="A453">
        <v>33</v>
      </c>
      <c r="B453" t="s">
        <v>32</v>
      </c>
      <c r="C453" t="s">
        <v>33</v>
      </c>
      <c r="D453">
        <v>587</v>
      </c>
      <c r="E453" t="s">
        <v>42</v>
      </c>
      <c r="F453">
        <v>10</v>
      </c>
      <c r="G453">
        <v>1</v>
      </c>
      <c r="H453" t="s">
        <v>48</v>
      </c>
      <c r="I453">
        <v>1</v>
      </c>
      <c r="J453">
        <v>584</v>
      </c>
      <c r="K453">
        <v>1</v>
      </c>
      <c r="L453" s="17" t="s">
        <v>43</v>
      </c>
      <c r="M453">
        <v>38</v>
      </c>
      <c r="N453">
        <v>1</v>
      </c>
      <c r="O453">
        <v>1</v>
      </c>
      <c r="P453" t="s">
        <v>47</v>
      </c>
      <c r="Q453">
        <v>4</v>
      </c>
      <c r="R453" t="s">
        <v>49</v>
      </c>
      <c r="S453" s="6">
        <v>3408</v>
      </c>
      <c r="T453">
        <v>6705</v>
      </c>
      <c r="U453">
        <v>7</v>
      </c>
      <c r="V453" t="s">
        <v>39</v>
      </c>
      <c r="W453" t="s">
        <v>40</v>
      </c>
      <c r="X453">
        <v>13</v>
      </c>
      <c r="Y453">
        <v>3</v>
      </c>
      <c r="Z453">
        <v>1</v>
      </c>
      <c r="AA453">
        <v>80</v>
      </c>
      <c r="AB453">
        <v>3</v>
      </c>
      <c r="AC453">
        <v>8</v>
      </c>
      <c r="AD453">
        <v>2</v>
      </c>
      <c r="AE453">
        <v>3</v>
      </c>
      <c r="AF453">
        <v>4</v>
      </c>
      <c r="AG453">
        <v>3</v>
      </c>
      <c r="AH453">
        <v>1</v>
      </c>
      <c r="AI453">
        <v>3</v>
      </c>
    </row>
    <row r="454" spans="1:35" x14ac:dyDescent="0.3">
      <c r="A454">
        <v>36</v>
      </c>
      <c r="B454" t="s">
        <v>40</v>
      </c>
      <c r="C454" t="s">
        <v>33</v>
      </c>
      <c r="D454">
        <v>852</v>
      </c>
      <c r="E454" t="s">
        <v>42</v>
      </c>
      <c r="F454">
        <v>5</v>
      </c>
      <c r="G454">
        <v>4</v>
      </c>
      <c r="H454" t="s">
        <v>35</v>
      </c>
      <c r="I454">
        <v>1</v>
      </c>
      <c r="J454">
        <v>51</v>
      </c>
      <c r="K454">
        <v>2</v>
      </c>
      <c r="L454" s="17" t="s">
        <v>36</v>
      </c>
      <c r="M454">
        <v>82</v>
      </c>
      <c r="N454">
        <v>2</v>
      </c>
      <c r="O454">
        <v>1</v>
      </c>
      <c r="P454" t="s">
        <v>44</v>
      </c>
      <c r="Q454">
        <v>1</v>
      </c>
      <c r="R454" t="s">
        <v>45</v>
      </c>
      <c r="S454" s="6">
        <v>3419</v>
      </c>
      <c r="T454">
        <v>13072</v>
      </c>
      <c r="U454">
        <v>9</v>
      </c>
      <c r="V454" t="s">
        <v>39</v>
      </c>
      <c r="W454" t="s">
        <v>32</v>
      </c>
      <c r="X454">
        <v>14</v>
      </c>
      <c r="Y454">
        <v>3</v>
      </c>
      <c r="Z454">
        <v>4</v>
      </c>
      <c r="AA454">
        <v>80</v>
      </c>
      <c r="AB454">
        <v>1</v>
      </c>
      <c r="AC454">
        <v>6</v>
      </c>
      <c r="AD454">
        <v>3</v>
      </c>
      <c r="AE454">
        <v>4</v>
      </c>
      <c r="AF454">
        <v>1</v>
      </c>
      <c r="AG454">
        <v>1</v>
      </c>
      <c r="AH454">
        <v>0</v>
      </c>
      <c r="AI454">
        <v>0</v>
      </c>
    </row>
    <row r="455" spans="1:35" x14ac:dyDescent="0.3">
      <c r="A455">
        <v>47</v>
      </c>
      <c r="B455" t="s">
        <v>40</v>
      </c>
      <c r="C455" t="s">
        <v>33</v>
      </c>
      <c r="D455">
        <v>465</v>
      </c>
      <c r="E455" t="s">
        <v>42</v>
      </c>
      <c r="F455">
        <v>1</v>
      </c>
      <c r="G455">
        <v>3</v>
      </c>
      <c r="H455" t="s">
        <v>57</v>
      </c>
      <c r="I455">
        <v>1</v>
      </c>
      <c r="J455">
        <v>1438</v>
      </c>
      <c r="K455">
        <v>1</v>
      </c>
      <c r="L455" s="17" t="s">
        <v>43</v>
      </c>
      <c r="M455">
        <v>74</v>
      </c>
      <c r="N455">
        <v>3</v>
      </c>
      <c r="O455">
        <v>1</v>
      </c>
      <c r="P455" t="s">
        <v>44</v>
      </c>
      <c r="Q455">
        <v>4</v>
      </c>
      <c r="R455" t="s">
        <v>45</v>
      </c>
      <c r="S455" s="6">
        <v>3420</v>
      </c>
      <c r="T455">
        <v>10205</v>
      </c>
      <c r="U455">
        <v>7</v>
      </c>
      <c r="V455" t="s">
        <v>39</v>
      </c>
      <c r="W455" t="s">
        <v>40</v>
      </c>
      <c r="X455">
        <v>12</v>
      </c>
      <c r="Y455">
        <v>3</v>
      </c>
      <c r="Z455">
        <v>3</v>
      </c>
      <c r="AA455">
        <v>80</v>
      </c>
      <c r="AB455">
        <v>1</v>
      </c>
      <c r="AC455">
        <v>17</v>
      </c>
      <c r="AD455">
        <v>2</v>
      </c>
      <c r="AE455">
        <v>2</v>
      </c>
      <c r="AF455">
        <v>6</v>
      </c>
      <c r="AG455">
        <v>5</v>
      </c>
      <c r="AH455">
        <v>1</v>
      </c>
      <c r="AI455">
        <v>2</v>
      </c>
    </row>
    <row r="456" spans="1:35" x14ac:dyDescent="0.3">
      <c r="A456">
        <v>44</v>
      </c>
      <c r="B456" t="s">
        <v>40</v>
      </c>
      <c r="C456" t="s">
        <v>33</v>
      </c>
      <c r="D456">
        <v>1467</v>
      </c>
      <c r="E456" t="s">
        <v>42</v>
      </c>
      <c r="F456">
        <v>20</v>
      </c>
      <c r="G456">
        <v>3</v>
      </c>
      <c r="H456" t="s">
        <v>35</v>
      </c>
      <c r="I456">
        <v>1</v>
      </c>
      <c r="J456">
        <v>1475</v>
      </c>
      <c r="K456">
        <v>4</v>
      </c>
      <c r="L456" s="17" t="s">
        <v>43</v>
      </c>
      <c r="M456">
        <v>49</v>
      </c>
      <c r="N456">
        <v>3</v>
      </c>
      <c r="O456">
        <v>1</v>
      </c>
      <c r="P456" t="s">
        <v>44</v>
      </c>
      <c r="Q456">
        <v>2</v>
      </c>
      <c r="R456" t="s">
        <v>38</v>
      </c>
      <c r="S456" s="6">
        <v>3420</v>
      </c>
      <c r="T456">
        <v>21158</v>
      </c>
      <c r="U456">
        <v>1</v>
      </c>
      <c r="V456" t="s">
        <v>39</v>
      </c>
      <c r="W456" t="s">
        <v>40</v>
      </c>
      <c r="X456">
        <v>13</v>
      </c>
      <c r="Y456">
        <v>3</v>
      </c>
      <c r="Z456">
        <v>3</v>
      </c>
      <c r="AA456">
        <v>80</v>
      </c>
      <c r="AB456">
        <v>0</v>
      </c>
      <c r="AC456">
        <v>6</v>
      </c>
      <c r="AD456">
        <v>3</v>
      </c>
      <c r="AE456">
        <v>2</v>
      </c>
      <c r="AF456">
        <v>5</v>
      </c>
      <c r="AG456">
        <v>2</v>
      </c>
      <c r="AH456">
        <v>1</v>
      </c>
      <c r="AI456">
        <v>3</v>
      </c>
    </row>
    <row r="457" spans="1:35" x14ac:dyDescent="0.3">
      <c r="A457">
        <v>46</v>
      </c>
      <c r="B457" t="s">
        <v>40</v>
      </c>
      <c r="C457" t="s">
        <v>33</v>
      </c>
      <c r="D457">
        <v>991</v>
      </c>
      <c r="E457" t="s">
        <v>58</v>
      </c>
      <c r="F457">
        <v>1</v>
      </c>
      <c r="G457">
        <v>2</v>
      </c>
      <c r="H457" t="s">
        <v>35</v>
      </c>
      <c r="I457">
        <v>1</v>
      </c>
      <c r="J457">
        <v>1314</v>
      </c>
      <c r="K457">
        <v>4</v>
      </c>
      <c r="L457" s="17" t="s">
        <v>36</v>
      </c>
      <c r="M457">
        <v>44</v>
      </c>
      <c r="N457">
        <v>3</v>
      </c>
      <c r="O457">
        <v>1</v>
      </c>
      <c r="P457" t="s">
        <v>58</v>
      </c>
      <c r="Q457">
        <v>1</v>
      </c>
      <c r="R457" t="s">
        <v>38</v>
      </c>
      <c r="S457" s="6">
        <v>3423</v>
      </c>
      <c r="T457">
        <v>22957</v>
      </c>
      <c r="U457">
        <v>6</v>
      </c>
      <c r="V457" t="s">
        <v>39</v>
      </c>
      <c r="W457" t="s">
        <v>40</v>
      </c>
      <c r="X457">
        <v>12</v>
      </c>
      <c r="Y457">
        <v>3</v>
      </c>
      <c r="Z457">
        <v>3</v>
      </c>
      <c r="AA457">
        <v>80</v>
      </c>
      <c r="AB457">
        <v>0</v>
      </c>
      <c r="AC457">
        <v>10</v>
      </c>
      <c r="AD457">
        <v>3</v>
      </c>
      <c r="AE457">
        <v>4</v>
      </c>
      <c r="AF457">
        <v>7</v>
      </c>
      <c r="AG457">
        <v>6</v>
      </c>
      <c r="AH457">
        <v>5</v>
      </c>
      <c r="AI457">
        <v>7</v>
      </c>
    </row>
    <row r="458" spans="1:35" x14ac:dyDescent="0.3">
      <c r="A458">
        <v>25</v>
      </c>
      <c r="B458" t="s">
        <v>40</v>
      </c>
      <c r="C458" t="s">
        <v>33</v>
      </c>
      <c r="D458">
        <v>180</v>
      </c>
      <c r="E458" t="s">
        <v>42</v>
      </c>
      <c r="F458">
        <v>2</v>
      </c>
      <c r="G458">
        <v>1</v>
      </c>
      <c r="H458" t="s">
        <v>48</v>
      </c>
      <c r="I458">
        <v>1</v>
      </c>
      <c r="J458">
        <v>854</v>
      </c>
      <c r="K458">
        <v>1</v>
      </c>
      <c r="L458" s="17" t="s">
        <v>43</v>
      </c>
      <c r="M458">
        <v>65</v>
      </c>
      <c r="N458">
        <v>4</v>
      </c>
      <c r="O458">
        <v>1</v>
      </c>
      <c r="P458" t="s">
        <v>44</v>
      </c>
      <c r="Q458">
        <v>1</v>
      </c>
      <c r="R458" t="s">
        <v>38</v>
      </c>
      <c r="S458" s="6">
        <v>3424</v>
      </c>
      <c r="T458">
        <v>21632</v>
      </c>
      <c r="U458">
        <v>7</v>
      </c>
      <c r="V458" t="s">
        <v>39</v>
      </c>
      <c r="W458" t="s">
        <v>40</v>
      </c>
      <c r="X458">
        <v>13</v>
      </c>
      <c r="Y458">
        <v>3</v>
      </c>
      <c r="Z458">
        <v>3</v>
      </c>
      <c r="AA458">
        <v>80</v>
      </c>
      <c r="AB458">
        <v>0</v>
      </c>
      <c r="AC458">
        <v>6</v>
      </c>
      <c r="AD458">
        <v>3</v>
      </c>
      <c r="AE458">
        <v>2</v>
      </c>
      <c r="AF458">
        <v>4</v>
      </c>
      <c r="AG458">
        <v>3</v>
      </c>
      <c r="AH458">
        <v>0</v>
      </c>
      <c r="AI458">
        <v>1</v>
      </c>
    </row>
    <row r="459" spans="1:35" x14ac:dyDescent="0.3">
      <c r="A459">
        <v>32</v>
      </c>
      <c r="B459" t="s">
        <v>40</v>
      </c>
      <c r="C459" t="s">
        <v>41</v>
      </c>
      <c r="D459">
        <v>585</v>
      </c>
      <c r="E459" t="s">
        <v>42</v>
      </c>
      <c r="F459">
        <v>10</v>
      </c>
      <c r="G459">
        <v>3</v>
      </c>
      <c r="H459" t="s">
        <v>35</v>
      </c>
      <c r="I459">
        <v>1</v>
      </c>
      <c r="J459">
        <v>1720</v>
      </c>
      <c r="K459">
        <v>1</v>
      </c>
      <c r="L459" s="17" t="s">
        <v>43</v>
      </c>
      <c r="M459">
        <v>56</v>
      </c>
      <c r="N459">
        <v>3</v>
      </c>
      <c r="O459">
        <v>1</v>
      </c>
      <c r="P459" t="s">
        <v>44</v>
      </c>
      <c r="Q459">
        <v>3</v>
      </c>
      <c r="R459" t="s">
        <v>45</v>
      </c>
      <c r="S459" s="6">
        <v>3433</v>
      </c>
      <c r="T459">
        <v>17360</v>
      </c>
      <c r="U459">
        <v>6</v>
      </c>
      <c r="V459" t="s">
        <v>39</v>
      </c>
      <c r="W459" t="s">
        <v>40</v>
      </c>
      <c r="X459">
        <v>13</v>
      </c>
      <c r="Y459">
        <v>3</v>
      </c>
      <c r="Z459">
        <v>1</v>
      </c>
      <c r="AA459">
        <v>80</v>
      </c>
      <c r="AB459">
        <v>1</v>
      </c>
      <c r="AC459">
        <v>10</v>
      </c>
      <c r="AD459">
        <v>3</v>
      </c>
      <c r="AE459">
        <v>2</v>
      </c>
      <c r="AF459">
        <v>5</v>
      </c>
      <c r="AG459">
        <v>2</v>
      </c>
      <c r="AH459">
        <v>1</v>
      </c>
      <c r="AI459">
        <v>3</v>
      </c>
    </row>
    <row r="460" spans="1:35" x14ac:dyDescent="0.3">
      <c r="A460">
        <v>28</v>
      </c>
      <c r="B460" t="s">
        <v>32</v>
      </c>
      <c r="C460" t="s">
        <v>33</v>
      </c>
      <c r="D460">
        <v>1434</v>
      </c>
      <c r="E460" t="s">
        <v>42</v>
      </c>
      <c r="F460">
        <v>5</v>
      </c>
      <c r="G460">
        <v>4</v>
      </c>
      <c r="H460" t="s">
        <v>57</v>
      </c>
      <c r="I460">
        <v>1</v>
      </c>
      <c r="J460">
        <v>65</v>
      </c>
      <c r="K460">
        <v>3</v>
      </c>
      <c r="L460" s="17" t="s">
        <v>43</v>
      </c>
      <c r="M460">
        <v>50</v>
      </c>
      <c r="N460">
        <v>3</v>
      </c>
      <c r="O460">
        <v>1</v>
      </c>
      <c r="P460" t="s">
        <v>47</v>
      </c>
      <c r="Q460">
        <v>3</v>
      </c>
      <c r="R460" t="s">
        <v>38</v>
      </c>
      <c r="S460" s="6">
        <v>3441</v>
      </c>
      <c r="T460">
        <v>11179</v>
      </c>
      <c r="U460">
        <v>1</v>
      </c>
      <c r="V460" t="s">
        <v>39</v>
      </c>
      <c r="W460" t="s">
        <v>32</v>
      </c>
      <c r="X460">
        <v>13</v>
      </c>
      <c r="Y460">
        <v>3</v>
      </c>
      <c r="Z460">
        <v>3</v>
      </c>
      <c r="AA460">
        <v>80</v>
      </c>
      <c r="AB460">
        <v>0</v>
      </c>
      <c r="AC460">
        <v>2</v>
      </c>
      <c r="AD460">
        <v>3</v>
      </c>
      <c r="AE460">
        <v>2</v>
      </c>
      <c r="AF460">
        <v>2</v>
      </c>
      <c r="AG460">
        <v>2</v>
      </c>
      <c r="AH460">
        <v>2</v>
      </c>
      <c r="AI460">
        <v>2</v>
      </c>
    </row>
    <row r="461" spans="1:35" x14ac:dyDescent="0.3">
      <c r="A461">
        <v>27</v>
      </c>
      <c r="B461" t="s">
        <v>40</v>
      </c>
      <c r="C461" t="s">
        <v>33</v>
      </c>
      <c r="D461">
        <v>1054</v>
      </c>
      <c r="E461" t="s">
        <v>42</v>
      </c>
      <c r="F461">
        <v>8</v>
      </c>
      <c r="G461">
        <v>3</v>
      </c>
      <c r="H461" t="s">
        <v>48</v>
      </c>
      <c r="I461">
        <v>1</v>
      </c>
      <c r="J461">
        <v>1751</v>
      </c>
      <c r="K461">
        <v>3</v>
      </c>
      <c r="L461" s="17" t="s">
        <v>36</v>
      </c>
      <c r="M461">
        <v>67</v>
      </c>
      <c r="N461">
        <v>3</v>
      </c>
      <c r="O461">
        <v>1</v>
      </c>
      <c r="P461" t="s">
        <v>44</v>
      </c>
      <c r="Q461">
        <v>4</v>
      </c>
      <c r="R461" t="s">
        <v>38</v>
      </c>
      <c r="S461" s="6">
        <v>3445</v>
      </c>
      <c r="T461">
        <v>6152</v>
      </c>
      <c r="U461">
        <v>1</v>
      </c>
      <c r="V461" t="s">
        <v>39</v>
      </c>
      <c r="W461" t="s">
        <v>40</v>
      </c>
      <c r="X461">
        <v>11</v>
      </c>
      <c r="Y461">
        <v>3</v>
      </c>
      <c r="Z461">
        <v>3</v>
      </c>
      <c r="AA461">
        <v>80</v>
      </c>
      <c r="AB461">
        <v>0</v>
      </c>
      <c r="AC461">
        <v>6</v>
      </c>
      <c r="AD461">
        <v>5</v>
      </c>
      <c r="AE461">
        <v>2</v>
      </c>
      <c r="AF461">
        <v>6</v>
      </c>
      <c r="AG461">
        <v>2</v>
      </c>
      <c r="AH461">
        <v>1</v>
      </c>
      <c r="AI461">
        <v>4</v>
      </c>
    </row>
    <row r="462" spans="1:35" x14ac:dyDescent="0.3">
      <c r="A462">
        <v>21</v>
      </c>
      <c r="B462" t="s">
        <v>40</v>
      </c>
      <c r="C462" t="s">
        <v>33</v>
      </c>
      <c r="D462">
        <v>1343</v>
      </c>
      <c r="E462" t="s">
        <v>34</v>
      </c>
      <c r="F462">
        <v>22</v>
      </c>
      <c r="G462">
        <v>1</v>
      </c>
      <c r="H462" t="s">
        <v>57</v>
      </c>
      <c r="I462">
        <v>1</v>
      </c>
      <c r="J462">
        <v>669</v>
      </c>
      <c r="K462">
        <v>3</v>
      </c>
      <c r="L462" s="17" t="s">
        <v>43</v>
      </c>
      <c r="M462">
        <v>49</v>
      </c>
      <c r="N462">
        <v>3</v>
      </c>
      <c r="O462">
        <v>1</v>
      </c>
      <c r="P462" t="s">
        <v>54</v>
      </c>
      <c r="Q462">
        <v>3</v>
      </c>
      <c r="R462" t="s">
        <v>38</v>
      </c>
      <c r="S462" s="6">
        <v>3447</v>
      </c>
      <c r="T462">
        <v>24444</v>
      </c>
      <c r="U462">
        <v>1</v>
      </c>
      <c r="V462" t="s">
        <v>39</v>
      </c>
      <c r="W462" t="s">
        <v>40</v>
      </c>
      <c r="X462">
        <v>11</v>
      </c>
      <c r="Y462">
        <v>3</v>
      </c>
      <c r="Z462">
        <v>3</v>
      </c>
      <c r="AA462">
        <v>80</v>
      </c>
      <c r="AB462">
        <v>0</v>
      </c>
      <c r="AC462">
        <v>3</v>
      </c>
      <c r="AD462">
        <v>2</v>
      </c>
      <c r="AE462">
        <v>3</v>
      </c>
      <c r="AF462">
        <v>3</v>
      </c>
      <c r="AG462">
        <v>2</v>
      </c>
      <c r="AH462">
        <v>1</v>
      </c>
      <c r="AI462">
        <v>2</v>
      </c>
    </row>
    <row r="463" spans="1:35" x14ac:dyDescent="0.3">
      <c r="A463">
        <v>40</v>
      </c>
      <c r="B463" t="s">
        <v>40</v>
      </c>
      <c r="C463" t="s">
        <v>33</v>
      </c>
      <c r="D463">
        <v>555</v>
      </c>
      <c r="E463" t="s">
        <v>42</v>
      </c>
      <c r="F463">
        <v>2</v>
      </c>
      <c r="G463">
        <v>3</v>
      </c>
      <c r="H463" t="s">
        <v>48</v>
      </c>
      <c r="I463">
        <v>1</v>
      </c>
      <c r="J463">
        <v>521</v>
      </c>
      <c r="K463">
        <v>2</v>
      </c>
      <c r="L463" s="17" t="s">
        <v>36</v>
      </c>
      <c r="M463">
        <v>78</v>
      </c>
      <c r="N463">
        <v>2</v>
      </c>
      <c r="O463">
        <v>2</v>
      </c>
      <c r="P463" t="s">
        <v>47</v>
      </c>
      <c r="Q463">
        <v>3</v>
      </c>
      <c r="R463" t="s">
        <v>45</v>
      </c>
      <c r="S463" s="6">
        <v>3448</v>
      </c>
      <c r="T463">
        <v>13436</v>
      </c>
      <c r="U463">
        <v>6</v>
      </c>
      <c r="V463" t="s">
        <v>39</v>
      </c>
      <c r="W463" t="s">
        <v>40</v>
      </c>
      <c r="X463">
        <v>22</v>
      </c>
      <c r="Y463">
        <v>4</v>
      </c>
      <c r="Z463">
        <v>2</v>
      </c>
      <c r="AA463">
        <v>80</v>
      </c>
      <c r="AB463">
        <v>1</v>
      </c>
      <c r="AC463">
        <v>20</v>
      </c>
      <c r="AD463">
        <v>3</v>
      </c>
      <c r="AE463">
        <v>3</v>
      </c>
      <c r="AF463">
        <v>1</v>
      </c>
      <c r="AG463">
        <v>0</v>
      </c>
      <c r="AH463">
        <v>0</v>
      </c>
      <c r="AI463">
        <v>0</v>
      </c>
    </row>
    <row r="464" spans="1:35" x14ac:dyDescent="0.3">
      <c r="A464">
        <v>45</v>
      </c>
      <c r="B464" t="s">
        <v>40</v>
      </c>
      <c r="C464" t="s">
        <v>33</v>
      </c>
      <c r="D464">
        <v>1316</v>
      </c>
      <c r="E464" t="s">
        <v>42</v>
      </c>
      <c r="F464">
        <v>29</v>
      </c>
      <c r="G464">
        <v>3</v>
      </c>
      <c r="H464" t="s">
        <v>48</v>
      </c>
      <c r="I464">
        <v>1</v>
      </c>
      <c r="J464">
        <v>192</v>
      </c>
      <c r="K464">
        <v>3</v>
      </c>
      <c r="L464" s="17" t="s">
        <v>43</v>
      </c>
      <c r="M464">
        <v>83</v>
      </c>
      <c r="N464">
        <v>3</v>
      </c>
      <c r="O464">
        <v>1</v>
      </c>
      <c r="P464" t="s">
        <v>44</v>
      </c>
      <c r="Q464">
        <v>4</v>
      </c>
      <c r="R464" t="s">
        <v>38</v>
      </c>
      <c r="S464" s="6">
        <v>3452</v>
      </c>
      <c r="T464">
        <v>9752</v>
      </c>
      <c r="U464">
        <v>5</v>
      </c>
      <c r="V464" t="s">
        <v>39</v>
      </c>
      <c r="W464" t="s">
        <v>40</v>
      </c>
      <c r="X464">
        <v>13</v>
      </c>
      <c r="Y464">
        <v>3</v>
      </c>
      <c r="Z464">
        <v>2</v>
      </c>
      <c r="AA464">
        <v>80</v>
      </c>
      <c r="AB464">
        <v>0</v>
      </c>
      <c r="AC464">
        <v>9</v>
      </c>
      <c r="AD464">
        <v>2</v>
      </c>
      <c r="AE464">
        <v>2</v>
      </c>
      <c r="AF464">
        <v>6</v>
      </c>
      <c r="AG464">
        <v>5</v>
      </c>
      <c r="AH464">
        <v>0</v>
      </c>
      <c r="AI464">
        <v>3</v>
      </c>
    </row>
    <row r="465" spans="1:35" x14ac:dyDescent="0.3">
      <c r="A465">
        <v>37</v>
      </c>
      <c r="B465" t="s">
        <v>40</v>
      </c>
      <c r="C465" t="s">
        <v>33</v>
      </c>
      <c r="D465">
        <v>921</v>
      </c>
      <c r="E465" t="s">
        <v>42</v>
      </c>
      <c r="F465">
        <v>10</v>
      </c>
      <c r="G465">
        <v>3</v>
      </c>
      <c r="H465" t="s">
        <v>48</v>
      </c>
      <c r="I465">
        <v>1</v>
      </c>
      <c r="J465">
        <v>486</v>
      </c>
      <c r="K465">
        <v>3</v>
      </c>
      <c r="L465" s="17" t="s">
        <v>36</v>
      </c>
      <c r="M465">
        <v>98</v>
      </c>
      <c r="N465">
        <v>3</v>
      </c>
      <c r="O465">
        <v>1</v>
      </c>
      <c r="P465" t="s">
        <v>47</v>
      </c>
      <c r="Q465">
        <v>1</v>
      </c>
      <c r="R465" t="s">
        <v>45</v>
      </c>
      <c r="S465" s="6">
        <v>3452</v>
      </c>
      <c r="T465">
        <v>17663</v>
      </c>
      <c r="U465">
        <v>6</v>
      </c>
      <c r="V465" t="s">
        <v>39</v>
      </c>
      <c r="W465" t="s">
        <v>40</v>
      </c>
      <c r="X465">
        <v>20</v>
      </c>
      <c r="Y465">
        <v>4</v>
      </c>
      <c r="Z465">
        <v>2</v>
      </c>
      <c r="AA465">
        <v>80</v>
      </c>
      <c r="AB465">
        <v>1</v>
      </c>
      <c r="AC465">
        <v>17</v>
      </c>
      <c r="AD465">
        <v>3</v>
      </c>
      <c r="AE465">
        <v>3</v>
      </c>
      <c r="AF465">
        <v>5</v>
      </c>
      <c r="AG465">
        <v>4</v>
      </c>
      <c r="AH465">
        <v>0</v>
      </c>
      <c r="AI465">
        <v>3</v>
      </c>
    </row>
    <row r="466" spans="1:35" x14ac:dyDescent="0.3">
      <c r="A466">
        <v>33</v>
      </c>
      <c r="B466" t="s">
        <v>40</v>
      </c>
      <c r="C466" t="s">
        <v>33</v>
      </c>
      <c r="D466">
        <v>461</v>
      </c>
      <c r="E466" t="s">
        <v>42</v>
      </c>
      <c r="F466">
        <v>13</v>
      </c>
      <c r="G466">
        <v>1</v>
      </c>
      <c r="H466" t="s">
        <v>35</v>
      </c>
      <c r="I466">
        <v>1</v>
      </c>
      <c r="J466">
        <v>995</v>
      </c>
      <c r="K466">
        <v>2</v>
      </c>
      <c r="L466" s="17" t="s">
        <v>36</v>
      </c>
      <c r="M466">
        <v>53</v>
      </c>
      <c r="N466">
        <v>3</v>
      </c>
      <c r="O466">
        <v>1</v>
      </c>
      <c r="P466" t="s">
        <v>44</v>
      </c>
      <c r="Q466">
        <v>4</v>
      </c>
      <c r="R466" t="s">
        <v>38</v>
      </c>
      <c r="S466" s="6">
        <v>3452</v>
      </c>
      <c r="T466">
        <v>17241</v>
      </c>
      <c r="U466">
        <v>3</v>
      </c>
      <c r="V466" t="s">
        <v>39</v>
      </c>
      <c r="W466" t="s">
        <v>40</v>
      </c>
      <c r="X466">
        <v>18</v>
      </c>
      <c r="Y466">
        <v>3</v>
      </c>
      <c r="Z466">
        <v>1</v>
      </c>
      <c r="AA466">
        <v>80</v>
      </c>
      <c r="AB466">
        <v>0</v>
      </c>
      <c r="AC466">
        <v>5</v>
      </c>
      <c r="AD466">
        <v>4</v>
      </c>
      <c r="AE466">
        <v>3</v>
      </c>
      <c r="AF466">
        <v>3</v>
      </c>
      <c r="AG466">
        <v>2</v>
      </c>
      <c r="AH466">
        <v>0</v>
      </c>
      <c r="AI466">
        <v>2</v>
      </c>
    </row>
    <row r="467" spans="1:35" x14ac:dyDescent="0.3">
      <c r="A467">
        <v>28</v>
      </c>
      <c r="B467" t="s">
        <v>32</v>
      </c>
      <c r="C467" t="s">
        <v>33</v>
      </c>
      <c r="D467">
        <v>1157</v>
      </c>
      <c r="E467" t="s">
        <v>42</v>
      </c>
      <c r="F467">
        <v>2</v>
      </c>
      <c r="G467">
        <v>4</v>
      </c>
      <c r="H467" t="s">
        <v>48</v>
      </c>
      <c r="I467">
        <v>1</v>
      </c>
      <c r="J467">
        <v>440</v>
      </c>
      <c r="K467">
        <v>1</v>
      </c>
      <c r="L467" s="17" t="s">
        <v>43</v>
      </c>
      <c r="M467">
        <v>84</v>
      </c>
      <c r="N467">
        <v>1</v>
      </c>
      <c r="O467">
        <v>1</v>
      </c>
      <c r="P467" t="s">
        <v>44</v>
      </c>
      <c r="Q467">
        <v>4</v>
      </c>
      <c r="R467" t="s">
        <v>45</v>
      </c>
      <c r="S467" s="6">
        <v>3464</v>
      </c>
      <c r="T467">
        <v>24737</v>
      </c>
      <c r="U467">
        <v>5</v>
      </c>
      <c r="V467" t="s">
        <v>39</v>
      </c>
      <c r="W467" t="s">
        <v>32</v>
      </c>
      <c r="X467">
        <v>13</v>
      </c>
      <c r="Y467">
        <v>3</v>
      </c>
      <c r="Z467">
        <v>4</v>
      </c>
      <c r="AA467">
        <v>80</v>
      </c>
      <c r="AB467">
        <v>0</v>
      </c>
      <c r="AC467">
        <v>5</v>
      </c>
      <c r="AD467">
        <v>4</v>
      </c>
      <c r="AE467">
        <v>2</v>
      </c>
      <c r="AF467">
        <v>3</v>
      </c>
      <c r="AG467">
        <v>2</v>
      </c>
      <c r="AH467">
        <v>2</v>
      </c>
      <c r="AI467">
        <v>2</v>
      </c>
    </row>
    <row r="468" spans="1:35" x14ac:dyDescent="0.3">
      <c r="A468">
        <v>27</v>
      </c>
      <c r="B468" t="s">
        <v>40</v>
      </c>
      <c r="C468" t="s">
        <v>33</v>
      </c>
      <c r="D468">
        <v>591</v>
      </c>
      <c r="E468" t="s">
        <v>42</v>
      </c>
      <c r="F468">
        <v>2</v>
      </c>
      <c r="G468">
        <v>1</v>
      </c>
      <c r="H468" t="s">
        <v>48</v>
      </c>
      <c r="I468">
        <v>1</v>
      </c>
      <c r="J468">
        <v>7</v>
      </c>
      <c r="K468">
        <v>1</v>
      </c>
      <c r="L468" s="17" t="s">
        <v>43</v>
      </c>
      <c r="M468">
        <v>40</v>
      </c>
      <c r="N468">
        <v>3</v>
      </c>
      <c r="O468">
        <v>1</v>
      </c>
      <c r="P468" t="s">
        <v>47</v>
      </c>
      <c r="Q468">
        <v>2</v>
      </c>
      <c r="R468" t="s">
        <v>45</v>
      </c>
      <c r="S468" s="6">
        <v>3468</v>
      </c>
      <c r="T468">
        <v>16632</v>
      </c>
      <c r="U468">
        <v>9</v>
      </c>
      <c r="V468" t="s">
        <v>39</v>
      </c>
      <c r="W468" t="s">
        <v>40</v>
      </c>
      <c r="X468">
        <v>12</v>
      </c>
      <c r="Y468">
        <v>3</v>
      </c>
      <c r="Z468">
        <v>4</v>
      </c>
      <c r="AA468">
        <v>80</v>
      </c>
      <c r="AB468">
        <v>1</v>
      </c>
      <c r="AC468">
        <v>6</v>
      </c>
      <c r="AD468">
        <v>3</v>
      </c>
      <c r="AE468">
        <v>3</v>
      </c>
      <c r="AF468">
        <v>2</v>
      </c>
      <c r="AG468">
        <v>2</v>
      </c>
      <c r="AH468">
        <v>2</v>
      </c>
      <c r="AI468">
        <v>2</v>
      </c>
    </row>
    <row r="469" spans="1:35" x14ac:dyDescent="0.3">
      <c r="A469">
        <v>31</v>
      </c>
      <c r="B469" t="s">
        <v>40</v>
      </c>
      <c r="C469" t="s">
        <v>33</v>
      </c>
      <c r="D469">
        <v>741</v>
      </c>
      <c r="E469" t="s">
        <v>42</v>
      </c>
      <c r="F469">
        <v>2</v>
      </c>
      <c r="G469">
        <v>4</v>
      </c>
      <c r="H469" t="s">
        <v>35</v>
      </c>
      <c r="I469">
        <v>1</v>
      </c>
      <c r="J469">
        <v>1721</v>
      </c>
      <c r="K469">
        <v>2</v>
      </c>
      <c r="L469" s="17" t="s">
        <v>43</v>
      </c>
      <c r="M469">
        <v>69</v>
      </c>
      <c r="N469">
        <v>3</v>
      </c>
      <c r="O469">
        <v>1</v>
      </c>
      <c r="P469" t="s">
        <v>47</v>
      </c>
      <c r="Q469">
        <v>3</v>
      </c>
      <c r="R469" t="s">
        <v>45</v>
      </c>
      <c r="S469" s="6">
        <v>3477</v>
      </c>
      <c r="T469">
        <v>18103</v>
      </c>
      <c r="U469">
        <v>1</v>
      </c>
      <c r="V469" t="s">
        <v>39</v>
      </c>
      <c r="W469" t="s">
        <v>40</v>
      </c>
      <c r="X469">
        <v>14</v>
      </c>
      <c r="Y469">
        <v>3</v>
      </c>
      <c r="Z469">
        <v>4</v>
      </c>
      <c r="AA469">
        <v>80</v>
      </c>
      <c r="AB469">
        <v>1</v>
      </c>
      <c r="AC469">
        <v>6</v>
      </c>
      <c r="AD469">
        <v>2</v>
      </c>
      <c r="AE469">
        <v>4</v>
      </c>
      <c r="AF469">
        <v>5</v>
      </c>
      <c r="AG469">
        <v>2</v>
      </c>
      <c r="AH469">
        <v>0</v>
      </c>
      <c r="AI469">
        <v>3</v>
      </c>
    </row>
    <row r="470" spans="1:35" x14ac:dyDescent="0.3">
      <c r="A470">
        <v>31</v>
      </c>
      <c r="B470" t="s">
        <v>32</v>
      </c>
      <c r="C470" t="s">
        <v>41</v>
      </c>
      <c r="D470">
        <v>307</v>
      </c>
      <c r="E470" t="s">
        <v>42</v>
      </c>
      <c r="F470">
        <v>29</v>
      </c>
      <c r="G470">
        <v>2</v>
      </c>
      <c r="H470" t="s">
        <v>48</v>
      </c>
      <c r="I470">
        <v>1</v>
      </c>
      <c r="J470">
        <v>355</v>
      </c>
      <c r="K470">
        <v>3</v>
      </c>
      <c r="L470" s="17" t="s">
        <v>43</v>
      </c>
      <c r="M470">
        <v>71</v>
      </c>
      <c r="N470">
        <v>2</v>
      </c>
      <c r="O470">
        <v>1</v>
      </c>
      <c r="P470" t="s">
        <v>47</v>
      </c>
      <c r="Q470">
        <v>2</v>
      </c>
      <c r="R470" t="s">
        <v>38</v>
      </c>
      <c r="S470" s="6">
        <v>3479</v>
      </c>
      <c r="T470">
        <v>11652</v>
      </c>
      <c r="U470">
        <v>0</v>
      </c>
      <c r="V470" t="s">
        <v>39</v>
      </c>
      <c r="W470" t="s">
        <v>40</v>
      </c>
      <c r="X470">
        <v>11</v>
      </c>
      <c r="Y470">
        <v>3</v>
      </c>
      <c r="Z470">
        <v>2</v>
      </c>
      <c r="AA470">
        <v>80</v>
      </c>
      <c r="AB470">
        <v>0</v>
      </c>
      <c r="AC470">
        <v>6</v>
      </c>
      <c r="AD470">
        <v>2</v>
      </c>
      <c r="AE470">
        <v>4</v>
      </c>
      <c r="AF470">
        <v>5</v>
      </c>
      <c r="AG470">
        <v>4</v>
      </c>
      <c r="AH470">
        <v>1</v>
      </c>
      <c r="AI470">
        <v>4</v>
      </c>
    </row>
    <row r="471" spans="1:35" x14ac:dyDescent="0.3">
      <c r="A471">
        <v>52</v>
      </c>
      <c r="B471" t="s">
        <v>40</v>
      </c>
      <c r="C471" t="s">
        <v>52</v>
      </c>
      <c r="D471">
        <v>585</v>
      </c>
      <c r="E471" t="s">
        <v>34</v>
      </c>
      <c r="F471">
        <v>29</v>
      </c>
      <c r="G471">
        <v>4</v>
      </c>
      <c r="H471" t="s">
        <v>35</v>
      </c>
      <c r="I471">
        <v>1</v>
      </c>
      <c r="J471">
        <v>2019</v>
      </c>
      <c r="K471">
        <v>1</v>
      </c>
      <c r="L471" s="17" t="s">
        <v>43</v>
      </c>
      <c r="M471">
        <v>40</v>
      </c>
      <c r="N471">
        <v>3</v>
      </c>
      <c r="O471">
        <v>1</v>
      </c>
      <c r="P471" t="s">
        <v>54</v>
      </c>
      <c r="Q471">
        <v>4</v>
      </c>
      <c r="R471" t="s">
        <v>49</v>
      </c>
      <c r="S471" s="6">
        <v>3482</v>
      </c>
      <c r="T471">
        <v>19788</v>
      </c>
      <c r="U471">
        <v>2</v>
      </c>
      <c r="V471" t="s">
        <v>39</v>
      </c>
      <c r="W471" t="s">
        <v>40</v>
      </c>
      <c r="X471">
        <v>15</v>
      </c>
      <c r="Y471">
        <v>3</v>
      </c>
      <c r="Z471">
        <v>2</v>
      </c>
      <c r="AA471">
        <v>80</v>
      </c>
      <c r="AB471">
        <v>2</v>
      </c>
      <c r="AC471">
        <v>16</v>
      </c>
      <c r="AD471">
        <v>3</v>
      </c>
      <c r="AE471">
        <v>2</v>
      </c>
      <c r="AF471">
        <v>9</v>
      </c>
      <c r="AG471">
        <v>8</v>
      </c>
      <c r="AH471">
        <v>0</v>
      </c>
      <c r="AI471">
        <v>0</v>
      </c>
    </row>
    <row r="472" spans="1:35" x14ac:dyDescent="0.3">
      <c r="A472">
        <v>28</v>
      </c>
      <c r="B472" t="s">
        <v>32</v>
      </c>
      <c r="C472" t="s">
        <v>33</v>
      </c>
      <c r="D472">
        <v>529</v>
      </c>
      <c r="E472" t="s">
        <v>42</v>
      </c>
      <c r="F472">
        <v>2</v>
      </c>
      <c r="G472">
        <v>4</v>
      </c>
      <c r="H472" t="s">
        <v>35</v>
      </c>
      <c r="I472">
        <v>1</v>
      </c>
      <c r="J472">
        <v>364</v>
      </c>
      <c r="K472">
        <v>1</v>
      </c>
      <c r="L472" s="17" t="s">
        <v>43</v>
      </c>
      <c r="M472">
        <v>79</v>
      </c>
      <c r="N472">
        <v>3</v>
      </c>
      <c r="O472">
        <v>1</v>
      </c>
      <c r="P472" t="s">
        <v>47</v>
      </c>
      <c r="Q472">
        <v>3</v>
      </c>
      <c r="R472" t="s">
        <v>38</v>
      </c>
      <c r="S472" s="6">
        <v>3485</v>
      </c>
      <c r="T472">
        <v>14935</v>
      </c>
      <c r="U472">
        <v>2</v>
      </c>
      <c r="V472" t="s">
        <v>39</v>
      </c>
      <c r="W472" t="s">
        <v>40</v>
      </c>
      <c r="X472">
        <v>11</v>
      </c>
      <c r="Y472">
        <v>3</v>
      </c>
      <c r="Z472">
        <v>3</v>
      </c>
      <c r="AA472">
        <v>80</v>
      </c>
      <c r="AB472">
        <v>0</v>
      </c>
      <c r="AC472">
        <v>5</v>
      </c>
      <c r="AD472">
        <v>5</v>
      </c>
      <c r="AE472">
        <v>1</v>
      </c>
      <c r="AF472">
        <v>0</v>
      </c>
      <c r="AG472">
        <v>0</v>
      </c>
      <c r="AH472">
        <v>0</v>
      </c>
      <c r="AI472">
        <v>0</v>
      </c>
    </row>
    <row r="473" spans="1:35" x14ac:dyDescent="0.3">
      <c r="A473">
        <v>30</v>
      </c>
      <c r="B473" t="s">
        <v>40</v>
      </c>
      <c r="C473" t="s">
        <v>33</v>
      </c>
      <c r="D473">
        <v>853</v>
      </c>
      <c r="E473" t="s">
        <v>42</v>
      </c>
      <c r="F473">
        <v>7</v>
      </c>
      <c r="G473">
        <v>4</v>
      </c>
      <c r="H473" t="s">
        <v>35</v>
      </c>
      <c r="I473">
        <v>1</v>
      </c>
      <c r="J473">
        <v>1224</v>
      </c>
      <c r="K473">
        <v>3</v>
      </c>
      <c r="L473" s="17" t="s">
        <v>43</v>
      </c>
      <c r="M473">
        <v>49</v>
      </c>
      <c r="N473">
        <v>3</v>
      </c>
      <c r="O473">
        <v>2</v>
      </c>
      <c r="P473" t="s">
        <v>47</v>
      </c>
      <c r="Q473">
        <v>3</v>
      </c>
      <c r="R473" t="s">
        <v>49</v>
      </c>
      <c r="S473" s="6">
        <v>3491</v>
      </c>
      <c r="T473">
        <v>11309</v>
      </c>
      <c r="U473">
        <v>1</v>
      </c>
      <c r="V473" t="s">
        <v>39</v>
      </c>
      <c r="W473" t="s">
        <v>40</v>
      </c>
      <c r="X473">
        <v>13</v>
      </c>
      <c r="Y473">
        <v>3</v>
      </c>
      <c r="Z473">
        <v>1</v>
      </c>
      <c r="AA473">
        <v>80</v>
      </c>
      <c r="AB473">
        <v>3</v>
      </c>
      <c r="AC473">
        <v>10</v>
      </c>
      <c r="AD473">
        <v>4</v>
      </c>
      <c r="AE473">
        <v>2</v>
      </c>
      <c r="AF473">
        <v>10</v>
      </c>
      <c r="AG473">
        <v>7</v>
      </c>
      <c r="AH473">
        <v>8</v>
      </c>
      <c r="AI473">
        <v>9</v>
      </c>
    </row>
    <row r="474" spans="1:35" x14ac:dyDescent="0.3">
      <c r="A474">
        <v>37</v>
      </c>
      <c r="B474" t="s">
        <v>40</v>
      </c>
      <c r="C474" t="s">
        <v>52</v>
      </c>
      <c r="D474">
        <v>1413</v>
      </c>
      <c r="E474" t="s">
        <v>42</v>
      </c>
      <c r="F474">
        <v>5</v>
      </c>
      <c r="G474">
        <v>2</v>
      </c>
      <c r="H474" t="s">
        <v>57</v>
      </c>
      <c r="I474">
        <v>1</v>
      </c>
      <c r="J474">
        <v>1440</v>
      </c>
      <c r="K474">
        <v>3</v>
      </c>
      <c r="L474" s="17" t="s">
        <v>43</v>
      </c>
      <c r="M474">
        <v>84</v>
      </c>
      <c r="N474">
        <v>4</v>
      </c>
      <c r="O474">
        <v>1</v>
      </c>
      <c r="P474" t="s">
        <v>47</v>
      </c>
      <c r="Q474">
        <v>3</v>
      </c>
      <c r="R474" t="s">
        <v>38</v>
      </c>
      <c r="S474" s="6">
        <v>3500</v>
      </c>
      <c r="T474">
        <v>25470</v>
      </c>
      <c r="U474">
        <v>0</v>
      </c>
      <c r="V474" t="s">
        <v>39</v>
      </c>
      <c r="W474" t="s">
        <v>40</v>
      </c>
      <c r="X474">
        <v>14</v>
      </c>
      <c r="Y474">
        <v>3</v>
      </c>
      <c r="Z474">
        <v>1</v>
      </c>
      <c r="AA474">
        <v>80</v>
      </c>
      <c r="AB474">
        <v>0</v>
      </c>
      <c r="AC474">
        <v>7</v>
      </c>
      <c r="AD474">
        <v>2</v>
      </c>
      <c r="AE474">
        <v>1</v>
      </c>
      <c r="AF474">
        <v>6</v>
      </c>
      <c r="AG474">
        <v>5</v>
      </c>
      <c r="AH474">
        <v>1</v>
      </c>
      <c r="AI474">
        <v>3</v>
      </c>
    </row>
    <row r="475" spans="1:35" x14ac:dyDescent="0.3">
      <c r="A475">
        <v>23</v>
      </c>
      <c r="B475" t="s">
        <v>40</v>
      </c>
      <c r="C475" t="s">
        <v>33</v>
      </c>
      <c r="D475">
        <v>310</v>
      </c>
      <c r="E475" t="s">
        <v>42</v>
      </c>
      <c r="F475">
        <v>10</v>
      </c>
      <c r="G475">
        <v>1</v>
      </c>
      <c r="H475" t="s">
        <v>48</v>
      </c>
      <c r="I475">
        <v>1</v>
      </c>
      <c r="J475">
        <v>784</v>
      </c>
      <c r="K475">
        <v>1</v>
      </c>
      <c r="L475" s="17" t="s">
        <v>43</v>
      </c>
      <c r="M475">
        <v>79</v>
      </c>
      <c r="N475">
        <v>4</v>
      </c>
      <c r="O475">
        <v>1</v>
      </c>
      <c r="P475" t="s">
        <v>44</v>
      </c>
      <c r="Q475">
        <v>3</v>
      </c>
      <c r="R475" t="s">
        <v>38</v>
      </c>
      <c r="S475" s="6">
        <v>3505</v>
      </c>
      <c r="T475">
        <v>19630</v>
      </c>
      <c r="U475">
        <v>1</v>
      </c>
      <c r="V475" t="s">
        <v>39</v>
      </c>
      <c r="W475" t="s">
        <v>40</v>
      </c>
      <c r="X475">
        <v>18</v>
      </c>
      <c r="Y475">
        <v>3</v>
      </c>
      <c r="Z475">
        <v>4</v>
      </c>
      <c r="AA475">
        <v>80</v>
      </c>
      <c r="AB475">
        <v>0</v>
      </c>
      <c r="AC475">
        <v>2</v>
      </c>
      <c r="AD475">
        <v>3</v>
      </c>
      <c r="AE475">
        <v>3</v>
      </c>
      <c r="AF475">
        <v>2</v>
      </c>
      <c r="AG475">
        <v>2</v>
      </c>
      <c r="AH475">
        <v>0</v>
      </c>
      <c r="AI475">
        <v>2</v>
      </c>
    </row>
    <row r="476" spans="1:35" x14ac:dyDescent="0.3">
      <c r="A476">
        <v>35</v>
      </c>
      <c r="B476" t="s">
        <v>40</v>
      </c>
      <c r="C476" t="s">
        <v>33</v>
      </c>
      <c r="D476">
        <v>735</v>
      </c>
      <c r="E476" t="s">
        <v>42</v>
      </c>
      <c r="F476">
        <v>6</v>
      </c>
      <c r="G476">
        <v>1</v>
      </c>
      <c r="H476" t="s">
        <v>35</v>
      </c>
      <c r="I476">
        <v>1</v>
      </c>
      <c r="J476">
        <v>1291</v>
      </c>
      <c r="K476">
        <v>3</v>
      </c>
      <c r="L476" s="17" t="s">
        <v>43</v>
      </c>
      <c r="M476">
        <v>66</v>
      </c>
      <c r="N476">
        <v>3</v>
      </c>
      <c r="O476">
        <v>1</v>
      </c>
      <c r="P476" t="s">
        <v>44</v>
      </c>
      <c r="Q476">
        <v>3</v>
      </c>
      <c r="R476" t="s">
        <v>45</v>
      </c>
      <c r="S476" s="6">
        <v>3506</v>
      </c>
      <c r="T476">
        <v>6020</v>
      </c>
      <c r="U476">
        <v>0</v>
      </c>
      <c r="V476" t="s">
        <v>39</v>
      </c>
      <c r="W476" t="s">
        <v>32</v>
      </c>
      <c r="X476">
        <v>14</v>
      </c>
      <c r="Y476">
        <v>3</v>
      </c>
      <c r="Z476">
        <v>4</v>
      </c>
      <c r="AA476">
        <v>80</v>
      </c>
      <c r="AB476">
        <v>0</v>
      </c>
      <c r="AC476">
        <v>4</v>
      </c>
      <c r="AD476">
        <v>3</v>
      </c>
      <c r="AE476">
        <v>3</v>
      </c>
      <c r="AF476">
        <v>3</v>
      </c>
      <c r="AG476">
        <v>2</v>
      </c>
      <c r="AH476">
        <v>2</v>
      </c>
      <c r="AI476">
        <v>2</v>
      </c>
    </row>
    <row r="477" spans="1:35" x14ac:dyDescent="0.3">
      <c r="A477">
        <v>27</v>
      </c>
      <c r="B477" t="s">
        <v>40</v>
      </c>
      <c r="C477" t="s">
        <v>33</v>
      </c>
      <c r="D477">
        <v>486</v>
      </c>
      <c r="E477" t="s">
        <v>42</v>
      </c>
      <c r="F477">
        <v>8</v>
      </c>
      <c r="G477">
        <v>3</v>
      </c>
      <c r="H477" t="s">
        <v>48</v>
      </c>
      <c r="I477">
        <v>1</v>
      </c>
      <c r="J477">
        <v>1647</v>
      </c>
      <c r="K477">
        <v>2</v>
      </c>
      <c r="L477" s="17" t="s">
        <v>36</v>
      </c>
      <c r="M477">
        <v>86</v>
      </c>
      <c r="N477">
        <v>4</v>
      </c>
      <c r="O477">
        <v>1</v>
      </c>
      <c r="P477" t="s">
        <v>44</v>
      </c>
      <c r="Q477">
        <v>3</v>
      </c>
      <c r="R477" t="s">
        <v>45</v>
      </c>
      <c r="S477" s="6">
        <v>3517</v>
      </c>
      <c r="T477">
        <v>22490</v>
      </c>
      <c r="U477">
        <v>7</v>
      </c>
      <c r="V477" t="s">
        <v>39</v>
      </c>
      <c r="W477" t="s">
        <v>40</v>
      </c>
      <c r="X477">
        <v>17</v>
      </c>
      <c r="Y477">
        <v>3</v>
      </c>
      <c r="Z477">
        <v>1</v>
      </c>
      <c r="AA477">
        <v>80</v>
      </c>
      <c r="AB477">
        <v>0</v>
      </c>
      <c r="AC477">
        <v>5</v>
      </c>
      <c r="AD477">
        <v>0</v>
      </c>
      <c r="AE477">
        <v>3</v>
      </c>
      <c r="AF477">
        <v>3</v>
      </c>
      <c r="AG477">
        <v>2</v>
      </c>
      <c r="AH477">
        <v>0</v>
      </c>
      <c r="AI477">
        <v>2</v>
      </c>
    </row>
    <row r="478" spans="1:35" x14ac:dyDescent="0.3">
      <c r="A478">
        <v>55</v>
      </c>
      <c r="B478" t="s">
        <v>40</v>
      </c>
      <c r="C478" t="s">
        <v>33</v>
      </c>
      <c r="D478">
        <v>1441</v>
      </c>
      <c r="E478" t="s">
        <v>42</v>
      </c>
      <c r="F478">
        <v>22</v>
      </c>
      <c r="G478">
        <v>3</v>
      </c>
      <c r="H478" t="s">
        <v>57</v>
      </c>
      <c r="I478">
        <v>1</v>
      </c>
      <c r="J478">
        <v>1694</v>
      </c>
      <c r="K478">
        <v>1</v>
      </c>
      <c r="L478" s="17" t="s">
        <v>43</v>
      </c>
      <c r="M478">
        <v>94</v>
      </c>
      <c r="N478">
        <v>2</v>
      </c>
      <c r="O478">
        <v>1</v>
      </c>
      <c r="P478" t="s">
        <v>44</v>
      </c>
      <c r="Q478">
        <v>2</v>
      </c>
      <c r="R478" t="s">
        <v>49</v>
      </c>
      <c r="S478" s="6">
        <v>3537</v>
      </c>
      <c r="T478">
        <v>23737</v>
      </c>
      <c r="U478">
        <v>5</v>
      </c>
      <c r="V478" t="s">
        <v>39</v>
      </c>
      <c r="W478" t="s">
        <v>40</v>
      </c>
      <c r="X478">
        <v>12</v>
      </c>
      <c r="Y478">
        <v>3</v>
      </c>
      <c r="Z478">
        <v>4</v>
      </c>
      <c r="AA478">
        <v>80</v>
      </c>
      <c r="AB478">
        <v>1</v>
      </c>
      <c r="AC478">
        <v>8</v>
      </c>
      <c r="AD478">
        <v>1</v>
      </c>
      <c r="AE478">
        <v>3</v>
      </c>
      <c r="AF478">
        <v>4</v>
      </c>
      <c r="AG478">
        <v>2</v>
      </c>
      <c r="AH478">
        <v>1</v>
      </c>
      <c r="AI478">
        <v>2</v>
      </c>
    </row>
    <row r="479" spans="1:35" x14ac:dyDescent="0.3">
      <c r="A479">
        <v>43</v>
      </c>
      <c r="B479" t="s">
        <v>40</v>
      </c>
      <c r="C479" t="s">
        <v>33</v>
      </c>
      <c r="D479">
        <v>244</v>
      </c>
      <c r="E479" t="s">
        <v>58</v>
      </c>
      <c r="F479">
        <v>2</v>
      </c>
      <c r="G479">
        <v>3</v>
      </c>
      <c r="H479" t="s">
        <v>35</v>
      </c>
      <c r="I479">
        <v>1</v>
      </c>
      <c r="J479">
        <v>1778</v>
      </c>
      <c r="K479">
        <v>2</v>
      </c>
      <c r="L479" s="17" t="s">
        <v>43</v>
      </c>
      <c r="M479">
        <v>97</v>
      </c>
      <c r="N479">
        <v>3</v>
      </c>
      <c r="O479">
        <v>1</v>
      </c>
      <c r="P479" t="s">
        <v>58</v>
      </c>
      <c r="Q479">
        <v>4</v>
      </c>
      <c r="R479" t="s">
        <v>38</v>
      </c>
      <c r="S479" s="6">
        <v>3539</v>
      </c>
      <c r="T479">
        <v>5033</v>
      </c>
      <c r="U479">
        <v>0</v>
      </c>
      <c r="V479" t="s">
        <v>39</v>
      </c>
      <c r="W479" t="s">
        <v>40</v>
      </c>
      <c r="X479">
        <v>13</v>
      </c>
      <c r="Y479">
        <v>3</v>
      </c>
      <c r="Z479">
        <v>2</v>
      </c>
      <c r="AA479">
        <v>80</v>
      </c>
      <c r="AB479">
        <v>0</v>
      </c>
      <c r="AC479">
        <v>10</v>
      </c>
      <c r="AD479">
        <v>5</v>
      </c>
      <c r="AE479">
        <v>3</v>
      </c>
      <c r="AF479">
        <v>9</v>
      </c>
      <c r="AG479">
        <v>7</v>
      </c>
      <c r="AH479">
        <v>1</v>
      </c>
      <c r="AI479">
        <v>8</v>
      </c>
    </row>
    <row r="480" spans="1:35" x14ac:dyDescent="0.3">
      <c r="A480">
        <v>27</v>
      </c>
      <c r="B480" t="s">
        <v>40</v>
      </c>
      <c r="C480" t="s">
        <v>33</v>
      </c>
      <c r="D480">
        <v>728</v>
      </c>
      <c r="E480" t="s">
        <v>34</v>
      </c>
      <c r="F480">
        <v>23</v>
      </c>
      <c r="G480">
        <v>1</v>
      </c>
      <c r="H480" t="s">
        <v>48</v>
      </c>
      <c r="I480">
        <v>1</v>
      </c>
      <c r="J480">
        <v>1864</v>
      </c>
      <c r="K480">
        <v>2</v>
      </c>
      <c r="L480" s="17" t="s">
        <v>36</v>
      </c>
      <c r="M480">
        <v>36</v>
      </c>
      <c r="N480">
        <v>2</v>
      </c>
      <c r="O480">
        <v>2</v>
      </c>
      <c r="P480" t="s">
        <v>54</v>
      </c>
      <c r="Q480">
        <v>3</v>
      </c>
      <c r="R480" t="s">
        <v>45</v>
      </c>
      <c r="S480" s="6">
        <v>3540</v>
      </c>
      <c r="T480">
        <v>7018</v>
      </c>
      <c r="U480">
        <v>1</v>
      </c>
      <c r="V480" t="s">
        <v>39</v>
      </c>
      <c r="W480" t="s">
        <v>40</v>
      </c>
      <c r="X480">
        <v>21</v>
      </c>
      <c r="Y480">
        <v>4</v>
      </c>
      <c r="Z480">
        <v>4</v>
      </c>
      <c r="AA480">
        <v>80</v>
      </c>
      <c r="AB480">
        <v>1</v>
      </c>
      <c r="AC480">
        <v>9</v>
      </c>
      <c r="AD480">
        <v>5</v>
      </c>
      <c r="AE480">
        <v>3</v>
      </c>
      <c r="AF480">
        <v>9</v>
      </c>
      <c r="AG480">
        <v>8</v>
      </c>
      <c r="AH480">
        <v>5</v>
      </c>
      <c r="AI480">
        <v>8</v>
      </c>
    </row>
    <row r="481" spans="1:35" x14ac:dyDescent="0.3">
      <c r="A481">
        <v>40</v>
      </c>
      <c r="B481" t="s">
        <v>40</v>
      </c>
      <c r="C481" t="s">
        <v>52</v>
      </c>
      <c r="D481">
        <v>458</v>
      </c>
      <c r="E481" t="s">
        <v>42</v>
      </c>
      <c r="F481">
        <v>16</v>
      </c>
      <c r="G481">
        <v>2</v>
      </c>
      <c r="H481" t="s">
        <v>35</v>
      </c>
      <c r="I481">
        <v>1</v>
      </c>
      <c r="J481">
        <v>1340</v>
      </c>
      <c r="K481">
        <v>3</v>
      </c>
      <c r="L481" s="17" t="s">
        <v>43</v>
      </c>
      <c r="M481">
        <v>74</v>
      </c>
      <c r="N481">
        <v>3</v>
      </c>
      <c r="O481">
        <v>1</v>
      </c>
      <c r="P481" t="s">
        <v>44</v>
      </c>
      <c r="Q481">
        <v>3</v>
      </c>
      <c r="R481" t="s">
        <v>49</v>
      </c>
      <c r="S481" s="6">
        <v>3544</v>
      </c>
      <c r="T481">
        <v>8532</v>
      </c>
      <c r="U481">
        <v>9</v>
      </c>
      <c r="V481" t="s">
        <v>39</v>
      </c>
      <c r="W481" t="s">
        <v>40</v>
      </c>
      <c r="X481">
        <v>16</v>
      </c>
      <c r="Y481">
        <v>3</v>
      </c>
      <c r="Z481">
        <v>2</v>
      </c>
      <c r="AA481">
        <v>80</v>
      </c>
      <c r="AB481">
        <v>1</v>
      </c>
      <c r="AC481">
        <v>6</v>
      </c>
      <c r="AD481">
        <v>0</v>
      </c>
      <c r="AE481">
        <v>3</v>
      </c>
      <c r="AF481">
        <v>4</v>
      </c>
      <c r="AG481">
        <v>2</v>
      </c>
      <c r="AH481">
        <v>0</v>
      </c>
      <c r="AI481">
        <v>0</v>
      </c>
    </row>
    <row r="482" spans="1:35" x14ac:dyDescent="0.3">
      <c r="A482">
        <v>37</v>
      </c>
      <c r="B482" t="s">
        <v>40</v>
      </c>
      <c r="C482" t="s">
        <v>33</v>
      </c>
      <c r="D482">
        <v>290</v>
      </c>
      <c r="E482" t="s">
        <v>42</v>
      </c>
      <c r="F482">
        <v>21</v>
      </c>
      <c r="G482">
        <v>3</v>
      </c>
      <c r="H482" t="s">
        <v>35</v>
      </c>
      <c r="I482">
        <v>1</v>
      </c>
      <c r="J482">
        <v>267</v>
      </c>
      <c r="K482">
        <v>2</v>
      </c>
      <c r="L482" s="17" t="s">
        <v>43</v>
      </c>
      <c r="M482">
        <v>65</v>
      </c>
      <c r="N482">
        <v>4</v>
      </c>
      <c r="O482">
        <v>1</v>
      </c>
      <c r="P482" t="s">
        <v>44</v>
      </c>
      <c r="Q482">
        <v>1</v>
      </c>
      <c r="R482" t="s">
        <v>45</v>
      </c>
      <c r="S482" s="6">
        <v>3564</v>
      </c>
      <c r="T482">
        <v>22977</v>
      </c>
      <c r="U482">
        <v>1</v>
      </c>
      <c r="V482" t="s">
        <v>39</v>
      </c>
      <c r="W482" t="s">
        <v>32</v>
      </c>
      <c r="X482">
        <v>12</v>
      </c>
      <c r="Y482">
        <v>3</v>
      </c>
      <c r="Z482">
        <v>1</v>
      </c>
      <c r="AA482">
        <v>80</v>
      </c>
      <c r="AB482">
        <v>1</v>
      </c>
      <c r="AC482">
        <v>8</v>
      </c>
      <c r="AD482">
        <v>3</v>
      </c>
      <c r="AE482">
        <v>2</v>
      </c>
      <c r="AF482">
        <v>8</v>
      </c>
      <c r="AG482">
        <v>7</v>
      </c>
      <c r="AH482">
        <v>1</v>
      </c>
      <c r="AI482">
        <v>7</v>
      </c>
    </row>
    <row r="483" spans="1:35" x14ac:dyDescent="0.3">
      <c r="A483">
        <v>26</v>
      </c>
      <c r="B483" t="s">
        <v>40</v>
      </c>
      <c r="C483" t="s">
        <v>33</v>
      </c>
      <c r="D483">
        <v>652</v>
      </c>
      <c r="E483" t="s">
        <v>42</v>
      </c>
      <c r="F483">
        <v>7</v>
      </c>
      <c r="G483">
        <v>3</v>
      </c>
      <c r="H483" t="s">
        <v>46</v>
      </c>
      <c r="I483">
        <v>1</v>
      </c>
      <c r="J483">
        <v>1417</v>
      </c>
      <c r="K483">
        <v>3</v>
      </c>
      <c r="L483" s="17" t="s">
        <v>43</v>
      </c>
      <c r="M483">
        <v>100</v>
      </c>
      <c r="N483">
        <v>4</v>
      </c>
      <c r="O483">
        <v>1</v>
      </c>
      <c r="P483" t="s">
        <v>47</v>
      </c>
      <c r="Q483">
        <v>1</v>
      </c>
      <c r="R483" t="s">
        <v>38</v>
      </c>
      <c r="S483" s="6">
        <v>3578</v>
      </c>
      <c r="T483">
        <v>23577</v>
      </c>
      <c r="U483">
        <v>0</v>
      </c>
      <c r="V483" t="s">
        <v>39</v>
      </c>
      <c r="W483" t="s">
        <v>40</v>
      </c>
      <c r="X483">
        <v>12</v>
      </c>
      <c r="Y483">
        <v>3</v>
      </c>
      <c r="Z483">
        <v>4</v>
      </c>
      <c r="AA483">
        <v>80</v>
      </c>
      <c r="AB483">
        <v>0</v>
      </c>
      <c r="AC483">
        <v>8</v>
      </c>
      <c r="AD483">
        <v>2</v>
      </c>
      <c r="AE483">
        <v>3</v>
      </c>
      <c r="AF483">
        <v>7</v>
      </c>
      <c r="AG483">
        <v>7</v>
      </c>
      <c r="AH483">
        <v>0</v>
      </c>
      <c r="AI483">
        <v>7</v>
      </c>
    </row>
    <row r="484" spans="1:35" x14ac:dyDescent="0.3">
      <c r="A484">
        <v>30</v>
      </c>
      <c r="B484" t="s">
        <v>40</v>
      </c>
      <c r="C484" t="s">
        <v>33</v>
      </c>
      <c r="D484">
        <v>1465</v>
      </c>
      <c r="E484" t="s">
        <v>42</v>
      </c>
      <c r="F484">
        <v>1</v>
      </c>
      <c r="G484">
        <v>3</v>
      </c>
      <c r="H484" t="s">
        <v>48</v>
      </c>
      <c r="I484">
        <v>1</v>
      </c>
      <c r="J484">
        <v>1241</v>
      </c>
      <c r="K484">
        <v>4</v>
      </c>
      <c r="L484" s="17" t="s">
        <v>43</v>
      </c>
      <c r="M484">
        <v>63</v>
      </c>
      <c r="N484">
        <v>3</v>
      </c>
      <c r="O484">
        <v>1</v>
      </c>
      <c r="P484" t="s">
        <v>44</v>
      </c>
      <c r="Q484">
        <v>2</v>
      </c>
      <c r="R484" t="s">
        <v>45</v>
      </c>
      <c r="S484" s="6">
        <v>3579</v>
      </c>
      <c r="T484">
        <v>9369</v>
      </c>
      <c r="U484">
        <v>0</v>
      </c>
      <c r="V484" t="s">
        <v>39</v>
      </c>
      <c r="W484" t="s">
        <v>32</v>
      </c>
      <c r="X484">
        <v>21</v>
      </c>
      <c r="Y484">
        <v>4</v>
      </c>
      <c r="Z484">
        <v>1</v>
      </c>
      <c r="AA484">
        <v>80</v>
      </c>
      <c r="AB484">
        <v>1</v>
      </c>
      <c r="AC484">
        <v>12</v>
      </c>
      <c r="AD484">
        <v>2</v>
      </c>
      <c r="AE484">
        <v>3</v>
      </c>
      <c r="AF484">
        <v>11</v>
      </c>
      <c r="AG484">
        <v>9</v>
      </c>
      <c r="AH484">
        <v>5</v>
      </c>
      <c r="AI484">
        <v>7</v>
      </c>
    </row>
    <row r="485" spans="1:35" x14ac:dyDescent="0.3">
      <c r="A485">
        <v>49</v>
      </c>
      <c r="B485" t="s">
        <v>40</v>
      </c>
      <c r="C485" t="s">
        <v>33</v>
      </c>
      <c r="D485">
        <v>1418</v>
      </c>
      <c r="E485" t="s">
        <v>42</v>
      </c>
      <c r="F485">
        <v>1</v>
      </c>
      <c r="G485">
        <v>3</v>
      </c>
      <c r="H485" t="s">
        <v>57</v>
      </c>
      <c r="I485">
        <v>1</v>
      </c>
      <c r="J485">
        <v>887</v>
      </c>
      <c r="K485">
        <v>3</v>
      </c>
      <c r="L485" s="17" t="s">
        <v>36</v>
      </c>
      <c r="M485">
        <v>36</v>
      </c>
      <c r="N485">
        <v>3</v>
      </c>
      <c r="O485">
        <v>1</v>
      </c>
      <c r="P485" t="s">
        <v>44</v>
      </c>
      <c r="Q485">
        <v>1</v>
      </c>
      <c r="R485" t="s">
        <v>45</v>
      </c>
      <c r="S485" s="6">
        <v>3580</v>
      </c>
      <c r="T485">
        <v>10554</v>
      </c>
      <c r="U485">
        <v>2</v>
      </c>
      <c r="V485" t="s">
        <v>39</v>
      </c>
      <c r="W485" t="s">
        <v>40</v>
      </c>
      <c r="X485">
        <v>16</v>
      </c>
      <c r="Y485">
        <v>3</v>
      </c>
      <c r="Z485">
        <v>2</v>
      </c>
      <c r="AA485">
        <v>80</v>
      </c>
      <c r="AB485">
        <v>1</v>
      </c>
      <c r="AC485">
        <v>7</v>
      </c>
      <c r="AD485">
        <v>2</v>
      </c>
      <c r="AE485">
        <v>3</v>
      </c>
      <c r="AF485">
        <v>4</v>
      </c>
      <c r="AG485">
        <v>2</v>
      </c>
      <c r="AH485">
        <v>0</v>
      </c>
      <c r="AI485">
        <v>2</v>
      </c>
    </row>
    <row r="486" spans="1:35" x14ac:dyDescent="0.3">
      <c r="A486">
        <v>28</v>
      </c>
      <c r="B486" t="s">
        <v>40</v>
      </c>
      <c r="C486" t="s">
        <v>33</v>
      </c>
      <c r="D486">
        <v>1217</v>
      </c>
      <c r="E486" t="s">
        <v>42</v>
      </c>
      <c r="F486">
        <v>1</v>
      </c>
      <c r="G486">
        <v>3</v>
      </c>
      <c r="H486" t="s">
        <v>48</v>
      </c>
      <c r="I486">
        <v>1</v>
      </c>
      <c r="J486">
        <v>1834</v>
      </c>
      <c r="K486">
        <v>3</v>
      </c>
      <c r="L486" s="17" t="s">
        <v>36</v>
      </c>
      <c r="M486">
        <v>67</v>
      </c>
      <c r="N486">
        <v>3</v>
      </c>
      <c r="O486">
        <v>1</v>
      </c>
      <c r="P486" t="s">
        <v>44</v>
      </c>
      <c r="Q486">
        <v>1</v>
      </c>
      <c r="R486" t="s">
        <v>45</v>
      </c>
      <c r="S486" s="6">
        <v>3591</v>
      </c>
      <c r="T486">
        <v>12719</v>
      </c>
      <c r="U486">
        <v>1</v>
      </c>
      <c r="V486" t="s">
        <v>39</v>
      </c>
      <c r="W486" t="s">
        <v>40</v>
      </c>
      <c r="X486">
        <v>25</v>
      </c>
      <c r="Y486">
        <v>4</v>
      </c>
      <c r="Z486">
        <v>3</v>
      </c>
      <c r="AA486">
        <v>80</v>
      </c>
      <c r="AB486">
        <v>1</v>
      </c>
      <c r="AC486">
        <v>3</v>
      </c>
      <c r="AD486">
        <v>3</v>
      </c>
      <c r="AE486">
        <v>3</v>
      </c>
      <c r="AF486">
        <v>3</v>
      </c>
      <c r="AG486">
        <v>2</v>
      </c>
      <c r="AH486">
        <v>1</v>
      </c>
      <c r="AI486">
        <v>2</v>
      </c>
    </row>
    <row r="487" spans="1:35" x14ac:dyDescent="0.3">
      <c r="A487">
        <v>24</v>
      </c>
      <c r="B487" t="s">
        <v>40</v>
      </c>
      <c r="C487" t="s">
        <v>33</v>
      </c>
      <c r="D487">
        <v>477</v>
      </c>
      <c r="E487" t="s">
        <v>42</v>
      </c>
      <c r="F487">
        <v>24</v>
      </c>
      <c r="G487">
        <v>3</v>
      </c>
      <c r="H487" t="s">
        <v>48</v>
      </c>
      <c r="I487">
        <v>1</v>
      </c>
      <c r="J487">
        <v>1173</v>
      </c>
      <c r="K487">
        <v>4</v>
      </c>
      <c r="L487" s="17" t="s">
        <v>43</v>
      </c>
      <c r="M487">
        <v>49</v>
      </c>
      <c r="N487">
        <v>3</v>
      </c>
      <c r="O487">
        <v>1</v>
      </c>
      <c r="P487" t="s">
        <v>47</v>
      </c>
      <c r="Q487">
        <v>2</v>
      </c>
      <c r="R487" t="s">
        <v>38</v>
      </c>
      <c r="S487" s="6">
        <v>3597</v>
      </c>
      <c r="T487">
        <v>6409</v>
      </c>
      <c r="U487">
        <v>8</v>
      </c>
      <c r="V487" t="s">
        <v>39</v>
      </c>
      <c r="W487" t="s">
        <v>40</v>
      </c>
      <c r="X487">
        <v>22</v>
      </c>
      <c r="Y487">
        <v>4</v>
      </c>
      <c r="Z487">
        <v>4</v>
      </c>
      <c r="AA487">
        <v>80</v>
      </c>
      <c r="AB487">
        <v>0</v>
      </c>
      <c r="AC487">
        <v>6</v>
      </c>
      <c r="AD487">
        <v>2</v>
      </c>
      <c r="AE487">
        <v>3</v>
      </c>
      <c r="AF487">
        <v>4</v>
      </c>
      <c r="AG487">
        <v>3</v>
      </c>
      <c r="AH487">
        <v>1</v>
      </c>
      <c r="AI487">
        <v>2</v>
      </c>
    </row>
    <row r="488" spans="1:35" x14ac:dyDescent="0.3">
      <c r="A488">
        <v>33</v>
      </c>
      <c r="B488" t="s">
        <v>40</v>
      </c>
      <c r="C488" t="s">
        <v>33</v>
      </c>
      <c r="D488">
        <v>147</v>
      </c>
      <c r="E488" t="s">
        <v>58</v>
      </c>
      <c r="F488">
        <v>2</v>
      </c>
      <c r="G488">
        <v>3</v>
      </c>
      <c r="H488" t="s">
        <v>58</v>
      </c>
      <c r="I488">
        <v>1</v>
      </c>
      <c r="J488">
        <v>1207</v>
      </c>
      <c r="K488">
        <v>2</v>
      </c>
      <c r="L488" s="17" t="s">
        <v>43</v>
      </c>
      <c r="M488">
        <v>99</v>
      </c>
      <c r="N488">
        <v>3</v>
      </c>
      <c r="O488">
        <v>1</v>
      </c>
      <c r="P488" t="s">
        <v>58</v>
      </c>
      <c r="Q488">
        <v>3</v>
      </c>
      <c r="R488" t="s">
        <v>45</v>
      </c>
      <c r="S488" s="6">
        <v>3600</v>
      </c>
      <c r="T488">
        <v>8429</v>
      </c>
      <c r="U488">
        <v>1</v>
      </c>
      <c r="V488" t="s">
        <v>39</v>
      </c>
      <c r="W488" t="s">
        <v>40</v>
      </c>
      <c r="X488">
        <v>13</v>
      </c>
      <c r="Y488">
        <v>3</v>
      </c>
      <c r="Z488">
        <v>4</v>
      </c>
      <c r="AA488">
        <v>80</v>
      </c>
      <c r="AB488">
        <v>1</v>
      </c>
      <c r="AC488">
        <v>5</v>
      </c>
      <c r="AD488">
        <v>2</v>
      </c>
      <c r="AE488">
        <v>3</v>
      </c>
      <c r="AF488">
        <v>5</v>
      </c>
      <c r="AG488">
        <v>4</v>
      </c>
      <c r="AH488">
        <v>1</v>
      </c>
      <c r="AI488">
        <v>4</v>
      </c>
    </row>
    <row r="489" spans="1:35" x14ac:dyDescent="0.3">
      <c r="A489">
        <v>40</v>
      </c>
      <c r="B489" t="s">
        <v>40</v>
      </c>
      <c r="C489" t="s">
        <v>41</v>
      </c>
      <c r="D489">
        <v>1469</v>
      </c>
      <c r="E489" t="s">
        <v>42</v>
      </c>
      <c r="F489">
        <v>9</v>
      </c>
      <c r="G489">
        <v>4</v>
      </c>
      <c r="H489" t="s">
        <v>48</v>
      </c>
      <c r="I489">
        <v>1</v>
      </c>
      <c r="J489">
        <v>964</v>
      </c>
      <c r="K489">
        <v>4</v>
      </c>
      <c r="L489" s="17" t="s">
        <v>43</v>
      </c>
      <c r="M489">
        <v>35</v>
      </c>
      <c r="N489">
        <v>3</v>
      </c>
      <c r="O489">
        <v>1</v>
      </c>
      <c r="P489" t="s">
        <v>44</v>
      </c>
      <c r="Q489">
        <v>2</v>
      </c>
      <c r="R489" t="s">
        <v>49</v>
      </c>
      <c r="S489" s="6">
        <v>3617</v>
      </c>
      <c r="T489">
        <v>25063</v>
      </c>
      <c r="U489">
        <v>8</v>
      </c>
      <c r="V489" t="s">
        <v>39</v>
      </c>
      <c r="W489" t="s">
        <v>32</v>
      </c>
      <c r="X489">
        <v>14</v>
      </c>
      <c r="Y489">
        <v>3</v>
      </c>
      <c r="Z489">
        <v>4</v>
      </c>
      <c r="AA489">
        <v>80</v>
      </c>
      <c r="AB489">
        <v>1</v>
      </c>
      <c r="AC489">
        <v>3</v>
      </c>
      <c r="AD489">
        <v>2</v>
      </c>
      <c r="AE489">
        <v>3</v>
      </c>
      <c r="AF489">
        <v>1</v>
      </c>
      <c r="AG489">
        <v>1</v>
      </c>
      <c r="AH489">
        <v>0</v>
      </c>
      <c r="AI489">
        <v>0</v>
      </c>
    </row>
    <row r="490" spans="1:35" x14ac:dyDescent="0.3">
      <c r="A490">
        <v>34</v>
      </c>
      <c r="B490" t="s">
        <v>40</v>
      </c>
      <c r="C490" t="s">
        <v>33</v>
      </c>
      <c r="D490">
        <v>254</v>
      </c>
      <c r="E490" t="s">
        <v>42</v>
      </c>
      <c r="F490">
        <v>1</v>
      </c>
      <c r="G490">
        <v>2</v>
      </c>
      <c r="H490" t="s">
        <v>35</v>
      </c>
      <c r="I490">
        <v>1</v>
      </c>
      <c r="J490">
        <v>649</v>
      </c>
      <c r="K490">
        <v>2</v>
      </c>
      <c r="L490" s="17" t="s">
        <v>43</v>
      </c>
      <c r="M490">
        <v>83</v>
      </c>
      <c r="N490">
        <v>2</v>
      </c>
      <c r="O490">
        <v>1</v>
      </c>
      <c r="P490" t="s">
        <v>44</v>
      </c>
      <c r="Q490">
        <v>4</v>
      </c>
      <c r="R490" t="s">
        <v>45</v>
      </c>
      <c r="S490" s="6">
        <v>3622</v>
      </c>
      <c r="T490">
        <v>22794</v>
      </c>
      <c r="U490">
        <v>1</v>
      </c>
      <c r="V490" t="s">
        <v>39</v>
      </c>
      <c r="W490" t="s">
        <v>32</v>
      </c>
      <c r="X490">
        <v>13</v>
      </c>
      <c r="Y490">
        <v>3</v>
      </c>
      <c r="Z490">
        <v>4</v>
      </c>
      <c r="AA490">
        <v>80</v>
      </c>
      <c r="AB490">
        <v>1</v>
      </c>
      <c r="AC490">
        <v>6</v>
      </c>
      <c r="AD490">
        <v>3</v>
      </c>
      <c r="AE490">
        <v>3</v>
      </c>
      <c r="AF490">
        <v>6</v>
      </c>
      <c r="AG490">
        <v>5</v>
      </c>
      <c r="AH490">
        <v>1</v>
      </c>
      <c r="AI490">
        <v>3</v>
      </c>
    </row>
    <row r="491" spans="1:35" x14ac:dyDescent="0.3">
      <c r="A491">
        <v>37</v>
      </c>
      <c r="B491" t="s">
        <v>40</v>
      </c>
      <c r="C491" t="s">
        <v>33</v>
      </c>
      <c r="D491">
        <v>1462</v>
      </c>
      <c r="E491" t="s">
        <v>42</v>
      </c>
      <c r="F491">
        <v>11</v>
      </c>
      <c r="G491">
        <v>3</v>
      </c>
      <c r="H491" t="s">
        <v>48</v>
      </c>
      <c r="I491">
        <v>1</v>
      </c>
      <c r="J491">
        <v>1411</v>
      </c>
      <c r="K491">
        <v>1</v>
      </c>
      <c r="L491" s="17" t="s">
        <v>36</v>
      </c>
      <c r="M491">
        <v>94</v>
      </c>
      <c r="N491">
        <v>3</v>
      </c>
      <c r="O491">
        <v>1</v>
      </c>
      <c r="P491" t="s">
        <v>47</v>
      </c>
      <c r="Q491">
        <v>3</v>
      </c>
      <c r="R491" t="s">
        <v>38</v>
      </c>
      <c r="S491" s="6">
        <v>3629</v>
      </c>
      <c r="T491">
        <v>19106</v>
      </c>
      <c r="U491">
        <v>4</v>
      </c>
      <c r="V491" t="s">
        <v>39</v>
      </c>
      <c r="W491" t="s">
        <v>40</v>
      </c>
      <c r="X491">
        <v>18</v>
      </c>
      <c r="Y491">
        <v>3</v>
      </c>
      <c r="Z491">
        <v>1</v>
      </c>
      <c r="AA491">
        <v>80</v>
      </c>
      <c r="AB491">
        <v>0</v>
      </c>
      <c r="AC491">
        <v>8</v>
      </c>
      <c r="AD491">
        <v>6</v>
      </c>
      <c r="AE491">
        <v>3</v>
      </c>
      <c r="AF491">
        <v>3</v>
      </c>
      <c r="AG491">
        <v>2</v>
      </c>
      <c r="AH491">
        <v>0</v>
      </c>
      <c r="AI491">
        <v>2</v>
      </c>
    </row>
    <row r="492" spans="1:35" x14ac:dyDescent="0.3">
      <c r="A492">
        <v>45</v>
      </c>
      <c r="B492" t="s">
        <v>40</v>
      </c>
      <c r="C492" t="s">
        <v>52</v>
      </c>
      <c r="D492">
        <v>248</v>
      </c>
      <c r="E492" t="s">
        <v>42</v>
      </c>
      <c r="F492">
        <v>23</v>
      </c>
      <c r="G492">
        <v>2</v>
      </c>
      <c r="H492" t="s">
        <v>35</v>
      </c>
      <c r="I492">
        <v>1</v>
      </c>
      <c r="J492">
        <v>1002</v>
      </c>
      <c r="K492">
        <v>4</v>
      </c>
      <c r="L492" s="17" t="s">
        <v>43</v>
      </c>
      <c r="M492">
        <v>42</v>
      </c>
      <c r="N492">
        <v>3</v>
      </c>
      <c r="O492">
        <v>2</v>
      </c>
      <c r="P492" t="s">
        <v>47</v>
      </c>
      <c r="Q492">
        <v>1</v>
      </c>
      <c r="R492" t="s">
        <v>45</v>
      </c>
      <c r="S492" s="6">
        <v>3633</v>
      </c>
      <c r="T492">
        <v>14039</v>
      </c>
      <c r="U492">
        <v>1</v>
      </c>
      <c r="V492" t="s">
        <v>39</v>
      </c>
      <c r="W492" t="s">
        <v>32</v>
      </c>
      <c r="X492">
        <v>15</v>
      </c>
      <c r="Y492">
        <v>3</v>
      </c>
      <c r="Z492">
        <v>3</v>
      </c>
      <c r="AA492">
        <v>80</v>
      </c>
      <c r="AB492">
        <v>1</v>
      </c>
      <c r="AC492">
        <v>9</v>
      </c>
      <c r="AD492">
        <v>2</v>
      </c>
      <c r="AE492">
        <v>3</v>
      </c>
      <c r="AF492">
        <v>9</v>
      </c>
      <c r="AG492">
        <v>8</v>
      </c>
      <c r="AH492">
        <v>0</v>
      </c>
      <c r="AI492">
        <v>8</v>
      </c>
    </row>
    <row r="493" spans="1:35" x14ac:dyDescent="0.3">
      <c r="A493">
        <v>39</v>
      </c>
      <c r="B493" t="s">
        <v>32</v>
      </c>
      <c r="C493" t="s">
        <v>52</v>
      </c>
      <c r="D493">
        <v>592</v>
      </c>
      <c r="E493" t="s">
        <v>42</v>
      </c>
      <c r="F493">
        <v>2</v>
      </c>
      <c r="G493">
        <v>3</v>
      </c>
      <c r="H493" t="s">
        <v>35</v>
      </c>
      <c r="I493">
        <v>1</v>
      </c>
      <c r="J493">
        <v>1458</v>
      </c>
      <c r="K493">
        <v>1</v>
      </c>
      <c r="L493" s="17" t="s">
        <v>36</v>
      </c>
      <c r="M493">
        <v>54</v>
      </c>
      <c r="N493">
        <v>2</v>
      </c>
      <c r="O493">
        <v>1</v>
      </c>
      <c r="P493" t="s">
        <v>47</v>
      </c>
      <c r="Q493">
        <v>1</v>
      </c>
      <c r="R493" t="s">
        <v>38</v>
      </c>
      <c r="S493" s="6">
        <v>3646</v>
      </c>
      <c r="T493">
        <v>17181</v>
      </c>
      <c r="U493">
        <v>2</v>
      </c>
      <c r="V493" t="s">
        <v>39</v>
      </c>
      <c r="W493" t="s">
        <v>32</v>
      </c>
      <c r="X493">
        <v>23</v>
      </c>
      <c r="Y493">
        <v>4</v>
      </c>
      <c r="Z493">
        <v>2</v>
      </c>
      <c r="AA493">
        <v>80</v>
      </c>
      <c r="AB493">
        <v>0</v>
      </c>
      <c r="AC493">
        <v>11</v>
      </c>
      <c r="AD493">
        <v>2</v>
      </c>
      <c r="AE493">
        <v>4</v>
      </c>
      <c r="AF493">
        <v>1</v>
      </c>
      <c r="AG493">
        <v>0</v>
      </c>
      <c r="AH493">
        <v>0</v>
      </c>
      <c r="AI493">
        <v>0</v>
      </c>
    </row>
    <row r="494" spans="1:35" x14ac:dyDescent="0.3">
      <c r="A494">
        <v>28</v>
      </c>
      <c r="B494" t="s">
        <v>40</v>
      </c>
      <c r="C494" t="s">
        <v>33</v>
      </c>
      <c r="D494">
        <v>857</v>
      </c>
      <c r="E494" t="s">
        <v>42</v>
      </c>
      <c r="F494">
        <v>10</v>
      </c>
      <c r="G494">
        <v>3</v>
      </c>
      <c r="H494" t="s">
        <v>46</v>
      </c>
      <c r="I494">
        <v>1</v>
      </c>
      <c r="J494">
        <v>1097</v>
      </c>
      <c r="K494">
        <v>3</v>
      </c>
      <c r="L494" s="17" t="s">
        <v>36</v>
      </c>
      <c r="M494">
        <v>59</v>
      </c>
      <c r="N494">
        <v>3</v>
      </c>
      <c r="O494">
        <v>2</v>
      </c>
      <c r="P494" t="s">
        <v>44</v>
      </c>
      <c r="Q494">
        <v>3</v>
      </c>
      <c r="R494" t="s">
        <v>38</v>
      </c>
      <c r="S494" s="6">
        <v>3660</v>
      </c>
      <c r="T494">
        <v>7909</v>
      </c>
      <c r="U494">
        <v>3</v>
      </c>
      <c r="V494" t="s">
        <v>39</v>
      </c>
      <c r="W494" t="s">
        <v>40</v>
      </c>
      <c r="X494">
        <v>13</v>
      </c>
      <c r="Y494">
        <v>3</v>
      </c>
      <c r="Z494">
        <v>4</v>
      </c>
      <c r="AA494">
        <v>80</v>
      </c>
      <c r="AB494">
        <v>0</v>
      </c>
      <c r="AC494">
        <v>10</v>
      </c>
      <c r="AD494">
        <v>4</v>
      </c>
      <c r="AE494">
        <v>4</v>
      </c>
      <c r="AF494">
        <v>8</v>
      </c>
      <c r="AG494">
        <v>7</v>
      </c>
      <c r="AH494">
        <v>1</v>
      </c>
      <c r="AI494">
        <v>7</v>
      </c>
    </row>
    <row r="495" spans="1:35" x14ac:dyDescent="0.3">
      <c r="A495">
        <v>25</v>
      </c>
      <c r="B495" t="s">
        <v>40</v>
      </c>
      <c r="C495" t="s">
        <v>33</v>
      </c>
      <c r="D495">
        <v>882</v>
      </c>
      <c r="E495" t="s">
        <v>42</v>
      </c>
      <c r="F495">
        <v>19</v>
      </c>
      <c r="G495">
        <v>1</v>
      </c>
      <c r="H495" t="s">
        <v>48</v>
      </c>
      <c r="I495">
        <v>1</v>
      </c>
      <c r="J495">
        <v>1358</v>
      </c>
      <c r="K495">
        <v>4</v>
      </c>
      <c r="L495" s="17" t="s">
        <v>43</v>
      </c>
      <c r="M495">
        <v>67</v>
      </c>
      <c r="N495">
        <v>3</v>
      </c>
      <c r="O495">
        <v>1</v>
      </c>
      <c r="P495" t="s">
        <v>47</v>
      </c>
      <c r="Q495">
        <v>4</v>
      </c>
      <c r="R495" t="s">
        <v>45</v>
      </c>
      <c r="S495" s="6">
        <v>3669</v>
      </c>
      <c r="T495">
        <v>9075</v>
      </c>
      <c r="U495">
        <v>3</v>
      </c>
      <c r="V495" t="s">
        <v>39</v>
      </c>
      <c r="W495" t="s">
        <v>40</v>
      </c>
      <c r="X495">
        <v>11</v>
      </c>
      <c r="Y495">
        <v>3</v>
      </c>
      <c r="Z495">
        <v>3</v>
      </c>
      <c r="AA495">
        <v>80</v>
      </c>
      <c r="AB495">
        <v>3</v>
      </c>
      <c r="AC495">
        <v>7</v>
      </c>
      <c r="AD495">
        <v>6</v>
      </c>
      <c r="AE495">
        <v>2</v>
      </c>
      <c r="AF495">
        <v>3</v>
      </c>
      <c r="AG495">
        <v>2</v>
      </c>
      <c r="AH495">
        <v>1</v>
      </c>
      <c r="AI495">
        <v>2</v>
      </c>
    </row>
    <row r="496" spans="1:35" x14ac:dyDescent="0.3">
      <c r="A496">
        <v>42</v>
      </c>
      <c r="B496" t="s">
        <v>40</v>
      </c>
      <c r="C496" t="s">
        <v>41</v>
      </c>
      <c r="D496">
        <v>748</v>
      </c>
      <c r="E496" t="s">
        <v>42</v>
      </c>
      <c r="F496">
        <v>9</v>
      </c>
      <c r="G496">
        <v>2</v>
      </c>
      <c r="H496" t="s">
        <v>48</v>
      </c>
      <c r="I496">
        <v>1</v>
      </c>
      <c r="J496">
        <v>1480</v>
      </c>
      <c r="K496">
        <v>1</v>
      </c>
      <c r="L496" s="17" t="s">
        <v>36</v>
      </c>
      <c r="M496">
        <v>74</v>
      </c>
      <c r="N496">
        <v>3</v>
      </c>
      <c r="O496">
        <v>1</v>
      </c>
      <c r="P496" t="s">
        <v>47</v>
      </c>
      <c r="Q496">
        <v>4</v>
      </c>
      <c r="R496" t="s">
        <v>38</v>
      </c>
      <c r="S496" s="6">
        <v>3673</v>
      </c>
      <c r="T496">
        <v>16458</v>
      </c>
      <c r="U496">
        <v>1</v>
      </c>
      <c r="V496" t="s">
        <v>39</v>
      </c>
      <c r="W496" t="s">
        <v>40</v>
      </c>
      <c r="X496">
        <v>13</v>
      </c>
      <c r="Y496">
        <v>3</v>
      </c>
      <c r="Z496">
        <v>3</v>
      </c>
      <c r="AA496">
        <v>80</v>
      </c>
      <c r="AB496">
        <v>0</v>
      </c>
      <c r="AC496">
        <v>12</v>
      </c>
      <c r="AD496">
        <v>3</v>
      </c>
      <c r="AE496">
        <v>3</v>
      </c>
      <c r="AF496">
        <v>12</v>
      </c>
      <c r="AG496">
        <v>9</v>
      </c>
      <c r="AH496">
        <v>5</v>
      </c>
      <c r="AI496">
        <v>8</v>
      </c>
    </row>
    <row r="497" spans="1:35" x14ac:dyDescent="0.3">
      <c r="A497">
        <v>35</v>
      </c>
      <c r="B497" t="s">
        <v>40</v>
      </c>
      <c r="C497" t="s">
        <v>33</v>
      </c>
      <c r="D497">
        <v>538</v>
      </c>
      <c r="E497" t="s">
        <v>42</v>
      </c>
      <c r="F497">
        <v>25</v>
      </c>
      <c r="G497">
        <v>2</v>
      </c>
      <c r="H497" t="s">
        <v>46</v>
      </c>
      <c r="I497">
        <v>1</v>
      </c>
      <c r="J497">
        <v>652</v>
      </c>
      <c r="K497">
        <v>1</v>
      </c>
      <c r="L497" s="17" t="s">
        <v>43</v>
      </c>
      <c r="M497">
        <v>54</v>
      </c>
      <c r="N497">
        <v>2</v>
      </c>
      <c r="O497">
        <v>2</v>
      </c>
      <c r="P497" t="s">
        <v>47</v>
      </c>
      <c r="Q497">
        <v>4</v>
      </c>
      <c r="R497" t="s">
        <v>38</v>
      </c>
      <c r="S497" s="6">
        <v>3681</v>
      </c>
      <c r="T497">
        <v>14004</v>
      </c>
      <c r="U497">
        <v>4</v>
      </c>
      <c r="V497" t="s">
        <v>39</v>
      </c>
      <c r="W497" t="s">
        <v>40</v>
      </c>
      <c r="X497">
        <v>14</v>
      </c>
      <c r="Y497">
        <v>3</v>
      </c>
      <c r="Z497">
        <v>4</v>
      </c>
      <c r="AA497">
        <v>80</v>
      </c>
      <c r="AB497">
        <v>0</v>
      </c>
      <c r="AC497">
        <v>9</v>
      </c>
      <c r="AD497">
        <v>3</v>
      </c>
      <c r="AE497">
        <v>3</v>
      </c>
      <c r="AF497">
        <v>3</v>
      </c>
      <c r="AG497">
        <v>2</v>
      </c>
      <c r="AH497">
        <v>0</v>
      </c>
      <c r="AI497">
        <v>2</v>
      </c>
    </row>
    <row r="498" spans="1:35" x14ac:dyDescent="0.3">
      <c r="A498">
        <v>36</v>
      </c>
      <c r="B498" t="s">
        <v>40</v>
      </c>
      <c r="C498" t="s">
        <v>41</v>
      </c>
      <c r="D498">
        <v>566</v>
      </c>
      <c r="E498" t="s">
        <v>42</v>
      </c>
      <c r="F498">
        <v>18</v>
      </c>
      <c r="G498">
        <v>4</v>
      </c>
      <c r="H498" t="s">
        <v>35</v>
      </c>
      <c r="I498">
        <v>1</v>
      </c>
      <c r="J498">
        <v>407</v>
      </c>
      <c r="K498">
        <v>3</v>
      </c>
      <c r="L498" s="17" t="s">
        <v>43</v>
      </c>
      <c r="M498">
        <v>81</v>
      </c>
      <c r="N498">
        <v>4</v>
      </c>
      <c r="O498">
        <v>1</v>
      </c>
      <c r="P498" t="s">
        <v>47</v>
      </c>
      <c r="Q498">
        <v>4</v>
      </c>
      <c r="R498" t="s">
        <v>45</v>
      </c>
      <c r="S498" s="6">
        <v>3688</v>
      </c>
      <c r="T498">
        <v>7122</v>
      </c>
      <c r="U498">
        <v>4</v>
      </c>
      <c r="V498" t="s">
        <v>39</v>
      </c>
      <c r="W498" t="s">
        <v>40</v>
      </c>
      <c r="X498">
        <v>18</v>
      </c>
      <c r="Y498">
        <v>3</v>
      </c>
      <c r="Z498">
        <v>4</v>
      </c>
      <c r="AA498">
        <v>80</v>
      </c>
      <c r="AB498">
        <v>2</v>
      </c>
      <c r="AC498">
        <v>4</v>
      </c>
      <c r="AD498">
        <v>2</v>
      </c>
      <c r="AE498">
        <v>3</v>
      </c>
      <c r="AF498">
        <v>1</v>
      </c>
      <c r="AG498">
        <v>0</v>
      </c>
      <c r="AH498">
        <v>0</v>
      </c>
      <c r="AI498">
        <v>0</v>
      </c>
    </row>
    <row r="499" spans="1:35" x14ac:dyDescent="0.3">
      <c r="A499">
        <v>50</v>
      </c>
      <c r="B499" t="s">
        <v>40</v>
      </c>
      <c r="C499" t="s">
        <v>33</v>
      </c>
      <c r="D499">
        <v>328</v>
      </c>
      <c r="E499" t="s">
        <v>42</v>
      </c>
      <c r="F499">
        <v>1</v>
      </c>
      <c r="G499">
        <v>3</v>
      </c>
      <c r="H499" t="s">
        <v>48</v>
      </c>
      <c r="I499">
        <v>1</v>
      </c>
      <c r="J499">
        <v>249</v>
      </c>
      <c r="K499">
        <v>3</v>
      </c>
      <c r="L499" s="17" t="s">
        <v>43</v>
      </c>
      <c r="M499">
        <v>86</v>
      </c>
      <c r="N499">
        <v>2</v>
      </c>
      <c r="O499">
        <v>1</v>
      </c>
      <c r="P499" t="s">
        <v>47</v>
      </c>
      <c r="Q499">
        <v>3</v>
      </c>
      <c r="R499" t="s">
        <v>45</v>
      </c>
      <c r="S499" s="6">
        <v>3690</v>
      </c>
      <c r="T499">
        <v>3425</v>
      </c>
      <c r="U499">
        <v>2</v>
      </c>
      <c r="V499" t="s">
        <v>39</v>
      </c>
      <c r="W499" t="s">
        <v>40</v>
      </c>
      <c r="X499">
        <v>15</v>
      </c>
      <c r="Y499">
        <v>3</v>
      </c>
      <c r="Z499">
        <v>4</v>
      </c>
      <c r="AA499">
        <v>80</v>
      </c>
      <c r="AB499">
        <v>1</v>
      </c>
      <c r="AC499">
        <v>5</v>
      </c>
      <c r="AD499">
        <v>2</v>
      </c>
      <c r="AE499">
        <v>2</v>
      </c>
      <c r="AF499">
        <v>3</v>
      </c>
      <c r="AG499">
        <v>2</v>
      </c>
      <c r="AH499">
        <v>0</v>
      </c>
      <c r="AI499">
        <v>2</v>
      </c>
    </row>
    <row r="500" spans="1:35" x14ac:dyDescent="0.3">
      <c r="A500">
        <v>25</v>
      </c>
      <c r="B500" t="s">
        <v>32</v>
      </c>
      <c r="C500" t="s">
        <v>33</v>
      </c>
      <c r="D500">
        <v>1219</v>
      </c>
      <c r="E500" t="s">
        <v>42</v>
      </c>
      <c r="F500">
        <v>4</v>
      </c>
      <c r="G500">
        <v>1</v>
      </c>
      <c r="H500" t="s">
        <v>57</v>
      </c>
      <c r="I500">
        <v>1</v>
      </c>
      <c r="J500">
        <v>1106</v>
      </c>
      <c r="K500">
        <v>4</v>
      </c>
      <c r="L500" s="17" t="s">
        <v>43</v>
      </c>
      <c r="M500">
        <v>32</v>
      </c>
      <c r="N500">
        <v>3</v>
      </c>
      <c r="O500">
        <v>1</v>
      </c>
      <c r="P500" t="s">
        <v>47</v>
      </c>
      <c r="Q500">
        <v>4</v>
      </c>
      <c r="R500" t="s">
        <v>45</v>
      </c>
      <c r="S500" s="6">
        <v>3691</v>
      </c>
      <c r="T500">
        <v>4605</v>
      </c>
      <c r="U500">
        <v>1</v>
      </c>
      <c r="V500" t="s">
        <v>39</v>
      </c>
      <c r="W500" t="s">
        <v>32</v>
      </c>
      <c r="X500">
        <v>15</v>
      </c>
      <c r="Y500">
        <v>3</v>
      </c>
      <c r="Z500">
        <v>2</v>
      </c>
      <c r="AA500">
        <v>80</v>
      </c>
      <c r="AB500">
        <v>1</v>
      </c>
      <c r="AC500">
        <v>7</v>
      </c>
      <c r="AD500">
        <v>3</v>
      </c>
      <c r="AE500">
        <v>4</v>
      </c>
      <c r="AF500">
        <v>7</v>
      </c>
      <c r="AG500">
        <v>7</v>
      </c>
      <c r="AH500">
        <v>5</v>
      </c>
      <c r="AI500">
        <v>6</v>
      </c>
    </row>
    <row r="501" spans="1:35" x14ac:dyDescent="0.3">
      <c r="A501">
        <v>36</v>
      </c>
      <c r="B501" t="s">
        <v>40</v>
      </c>
      <c r="C501" t="s">
        <v>41</v>
      </c>
      <c r="D501">
        <v>469</v>
      </c>
      <c r="E501" t="s">
        <v>42</v>
      </c>
      <c r="F501">
        <v>3</v>
      </c>
      <c r="G501">
        <v>3</v>
      </c>
      <c r="H501" t="s">
        <v>57</v>
      </c>
      <c r="I501">
        <v>1</v>
      </c>
      <c r="J501">
        <v>1257</v>
      </c>
      <c r="K501">
        <v>3</v>
      </c>
      <c r="L501" s="17" t="s">
        <v>43</v>
      </c>
      <c r="M501">
        <v>46</v>
      </c>
      <c r="N501">
        <v>3</v>
      </c>
      <c r="O501">
        <v>1</v>
      </c>
      <c r="P501" t="s">
        <v>44</v>
      </c>
      <c r="Q501">
        <v>2</v>
      </c>
      <c r="R501" t="s">
        <v>45</v>
      </c>
      <c r="S501" s="6">
        <v>3692</v>
      </c>
      <c r="T501">
        <v>9256</v>
      </c>
      <c r="U501">
        <v>1</v>
      </c>
      <c r="V501" t="s">
        <v>39</v>
      </c>
      <c r="W501" t="s">
        <v>40</v>
      </c>
      <c r="X501">
        <v>12</v>
      </c>
      <c r="Y501">
        <v>3</v>
      </c>
      <c r="Z501">
        <v>3</v>
      </c>
      <c r="AA501">
        <v>80</v>
      </c>
      <c r="AB501">
        <v>0</v>
      </c>
      <c r="AC501">
        <v>12</v>
      </c>
      <c r="AD501">
        <v>2</v>
      </c>
      <c r="AE501">
        <v>2</v>
      </c>
      <c r="AF501">
        <v>11</v>
      </c>
      <c r="AG501">
        <v>10</v>
      </c>
      <c r="AH501">
        <v>0</v>
      </c>
      <c r="AI501">
        <v>7</v>
      </c>
    </row>
    <row r="502" spans="1:35" x14ac:dyDescent="0.3">
      <c r="A502">
        <v>45</v>
      </c>
      <c r="B502" t="s">
        <v>40</v>
      </c>
      <c r="C502" t="s">
        <v>33</v>
      </c>
      <c r="D502">
        <v>549</v>
      </c>
      <c r="E502" t="s">
        <v>42</v>
      </c>
      <c r="F502">
        <v>8</v>
      </c>
      <c r="G502">
        <v>4</v>
      </c>
      <c r="H502" t="s">
        <v>46</v>
      </c>
      <c r="I502">
        <v>1</v>
      </c>
      <c r="J502">
        <v>452</v>
      </c>
      <c r="K502">
        <v>4</v>
      </c>
      <c r="L502" s="17" t="s">
        <v>43</v>
      </c>
      <c r="M502">
        <v>75</v>
      </c>
      <c r="N502">
        <v>3</v>
      </c>
      <c r="O502">
        <v>2</v>
      </c>
      <c r="P502" t="s">
        <v>44</v>
      </c>
      <c r="Q502">
        <v>4</v>
      </c>
      <c r="R502" t="s">
        <v>45</v>
      </c>
      <c r="S502" s="6">
        <v>3697</v>
      </c>
      <c r="T502">
        <v>9278</v>
      </c>
      <c r="U502">
        <v>9</v>
      </c>
      <c r="V502" t="s">
        <v>39</v>
      </c>
      <c r="W502" t="s">
        <v>40</v>
      </c>
      <c r="X502">
        <v>14</v>
      </c>
      <c r="Y502">
        <v>3</v>
      </c>
      <c r="Z502">
        <v>1</v>
      </c>
      <c r="AA502">
        <v>80</v>
      </c>
      <c r="AB502">
        <v>2</v>
      </c>
      <c r="AC502">
        <v>12</v>
      </c>
      <c r="AD502">
        <v>3</v>
      </c>
      <c r="AE502">
        <v>3</v>
      </c>
      <c r="AF502">
        <v>10</v>
      </c>
      <c r="AG502">
        <v>9</v>
      </c>
      <c r="AH502">
        <v>9</v>
      </c>
      <c r="AI502">
        <v>8</v>
      </c>
    </row>
    <row r="503" spans="1:35" x14ac:dyDescent="0.3">
      <c r="A503">
        <v>38</v>
      </c>
      <c r="B503" t="s">
        <v>40</v>
      </c>
      <c r="C503" t="s">
        <v>33</v>
      </c>
      <c r="D503">
        <v>1153</v>
      </c>
      <c r="E503" t="s">
        <v>42</v>
      </c>
      <c r="F503">
        <v>6</v>
      </c>
      <c r="G503">
        <v>2</v>
      </c>
      <c r="H503" t="s">
        <v>46</v>
      </c>
      <c r="I503">
        <v>1</v>
      </c>
      <c r="J503">
        <v>1782</v>
      </c>
      <c r="K503">
        <v>4</v>
      </c>
      <c r="L503" s="17" t="s">
        <v>36</v>
      </c>
      <c r="M503">
        <v>40</v>
      </c>
      <c r="N503">
        <v>2</v>
      </c>
      <c r="O503">
        <v>1</v>
      </c>
      <c r="P503" t="s">
        <v>47</v>
      </c>
      <c r="Q503">
        <v>3</v>
      </c>
      <c r="R503" t="s">
        <v>45</v>
      </c>
      <c r="S503" s="6">
        <v>3702</v>
      </c>
      <c r="T503">
        <v>16376</v>
      </c>
      <c r="U503">
        <v>1</v>
      </c>
      <c r="V503" t="s">
        <v>39</v>
      </c>
      <c r="W503" t="s">
        <v>40</v>
      </c>
      <c r="X503">
        <v>11</v>
      </c>
      <c r="Y503">
        <v>3</v>
      </c>
      <c r="Z503">
        <v>2</v>
      </c>
      <c r="AA503">
        <v>80</v>
      </c>
      <c r="AB503">
        <v>1</v>
      </c>
      <c r="AC503">
        <v>5</v>
      </c>
      <c r="AD503">
        <v>3</v>
      </c>
      <c r="AE503">
        <v>3</v>
      </c>
      <c r="AF503">
        <v>5</v>
      </c>
      <c r="AG503">
        <v>4</v>
      </c>
      <c r="AH503">
        <v>0</v>
      </c>
      <c r="AI503">
        <v>4</v>
      </c>
    </row>
    <row r="504" spans="1:35" x14ac:dyDescent="0.3">
      <c r="A504">
        <v>44</v>
      </c>
      <c r="B504" t="s">
        <v>40</v>
      </c>
      <c r="C504" t="s">
        <v>52</v>
      </c>
      <c r="D504">
        <v>381</v>
      </c>
      <c r="E504" t="s">
        <v>42</v>
      </c>
      <c r="F504">
        <v>24</v>
      </c>
      <c r="G504">
        <v>3</v>
      </c>
      <c r="H504" t="s">
        <v>48</v>
      </c>
      <c r="I504">
        <v>1</v>
      </c>
      <c r="J504">
        <v>744</v>
      </c>
      <c r="K504">
        <v>1</v>
      </c>
      <c r="L504" s="17" t="s">
        <v>43</v>
      </c>
      <c r="M504">
        <v>49</v>
      </c>
      <c r="N504">
        <v>1</v>
      </c>
      <c r="O504">
        <v>1</v>
      </c>
      <c r="P504" t="s">
        <v>47</v>
      </c>
      <c r="Q504">
        <v>3</v>
      </c>
      <c r="R504" t="s">
        <v>38</v>
      </c>
      <c r="S504" s="6">
        <v>3708</v>
      </c>
      <c r="T504">
        <v>2104</v>
      </c>
      <c r="U504">
        <v>2</v>
      </c>
      <c r="V504" t="s">
        <v>39</v>
      </c>
      <c r="W504" t="s">
        <v>40</v>
      </c>
      <c r="X504">
        <v>14</v>
      </c>
      <c r="Y504">
        <v>3</v>
      </c>
      <c r="Z504">
        <v>3</v>
      </c>
      <c r="AA504">
        <v>80</v>
      </c>
      <c r="AB504">
        <v>0</v>
      </c>
      <c r="AC504">
        <v>9</v>
      </c>
      <c r="AD504">
        <v>5</v>
      </c>
      <c r="AE504">
        <v>3</v>
      </c>
      <c r="AF504">
        <v>5</v>
      </c>
      <c r="AG504">
        <v>2</v>
      </c>
      <c r="AH504">
        <v>1</v>
      </c>
      <c r="AI504">
        <v>4</v>
      </c>
    </row>
    <row r="505" spans="1:35" x14ac:dyDescent="0.3">
      <c r="A505">
        <v>31</v>
      </c>
      <c r="B505" t="s">
        <v>32</v>
      </c>
      <c r="C505" t="s">
        <v>41</v>
      </c>
      <c r="D505">
        <v>523</v>
      </c>
      <c r="E505" t="s">
        <v>42</v>
      </c>
      <c r="F505">
        <v>2</v>
      </c>
      <c r="G505">
        <v>3</v>
      </c>
      <c r="H505" t="s">
        <v>35</v>
      </c>
      <c r="I505">
        <v>1</v>
      </c>
      <c r="J505">
        <v>1464</v>
      </c>
      <c r="K505">
        <v>2</v>
      </c>
      <c r="L505" s="17" t="s">
        <v>43</v>
      </c>
      <c r="M505">
        <v>94</v>
      </c>
      <c r="N505">
        <v>3</v>
      </c>
      <c r="O505">
        <v>1</v>
      </c>
      <c r="P505" t="s">
        <v>47</v>
      </c>
      <c r="Q505">
        <v>4</v>
      </c>
      <c r="R505" t="s">
        <v>45</v>
      </c>
      <c r="S505" s="6">
        <v>3722</v>
      </c>
      <c r="T505">
        <v>21081</v>
      </c>
      <c r="U505">
        <v>6</v>
      </c>
      <c r="V505" t="s">
        <v>39</v>
      </c>
      <c r="W505" t="s">
        <v>32</v>
      </c>
      <c r="X505">
        <v>13</v>
      </c>
      <c r="Y505">
        <v>3</v>
      </c>
      <c r="Z505">
        <v>3</v>
      </c>
      <c r="AA505">
        <v>80</v>
      </c>
      <c r="AB505">
        <v>1</v>
      </c>
      <c r="AC505">
        <v>7</v>
      </c>
      <c r="AD505">
        <v>2</v>
      </c>
      <c r="AE505">
        <v>1</v>
      </c>
      <c r="AF505">
        <v>2</v>
      </c>
      <c r="AG505">
        <v>2</v>
      </c>
      <c r="AH505">
        <v>2</v>
      </c>
      <c r="AI505">
        <v>2</v>
      </c>
    </row>
    <row r="506" spans="1:35" x14ac:dyDescent="0.3">
      <c r="A506">
        <v>32</v>
      </c>
      <c r="B506" t="s">
        <v>32</v>
      </c>
      <c r="C506" t="s">
        <v>33</v>
      </c>
      <c r="D506">
        <v>515</v>
      </c>
      <c r="E506" t="s">
        <v>42</v>
      </c>
      <c r="F506">
        <v>1</v>
      </c>
      <c r="G506">
        <v>3</v>
      </c>
      <c r="H506" t="s">
        <v>35</v>
      </c>
      <c r="I506">
        <v>1</v>
      </c>
      <c r="J506">
        <v>331</v>
      </c>
      <c r="K506">
        <v>4</v>
      </c>
      <c r="L506" s="17" t="s">
        <v>43</v>
      </c>
      <c r="M506">
        <v>62</v>
      </c>
      <c r="N506">
        <v>2</v>
      </c>
      <c r="O506">
        <v>1</v>
      </c>
      <c r="P506" t="s">
        <v>47</v>
      </c>
      <c r="Q506">
        <v>3</v>
      </c>
      <c r="R506" t="s">
        <v>38</v>
      </c>
      <c r="S506" s="6">
        <v>3730</v>
      </c>
      <c r="T506">
        <v>9571</v>
      </c>
      <c r="U506">
        <v>0</v>
      </c>
      <c r="V506" t="s">
        <v>39</v>
      </c>
      <c r="W506" t="s">
        <v>32</v>
      </c>
      <c r="X506">
        <v>14</v>
      </c>
      <c r="Y506">
        <v>3</v>
      </c>
      <c r="Z506">
        <v>4</v>
      </c>
      <c r="AA506">
        <v>80</v>
      </c>
      <c r="AB506">
        <v>0</v>
      </c>
      <c r="AC506">
        <v>4</v>
      </c>
      <c r="AD506">
        <v>2</v>
      </c>
      <c r="AE506">
        <v>1</v>
      </c>
      <c r="AF506">
        <v>3</v>
      </c>
      <c r="AG506">
        <v>2</v>
      </c>
      <c r="AH506">
        <v>1</v>
      </c>
      <c r="AI506">
        <v>2</v>
      </c>
    </row>
    <row r="507" spans="1:35" x14ac:dyDescent="0.3">
      <c r="A507">
        <v>34</v>
      </c>
      <c r="B507" t="s">
        <v>40</v>
      </c>
      <c r="C507" t="s">
        <v>33</v>
      </c>
      <c r="D507">
        <v>829</v>
      </c>
      <c r="E507" t="s">
        <v>58</v>
      </c>
      <c r="F507">
        <v>3</v>
      </c>
      <c r="G507">
        <v>2</v>
      </c>
      <c r="H507" t="s">
        <v>58</v>
      </c>
      <c r="I507">
        <v>1</v>
      </c>
      <c r="J507">
        <v>847</v>
      </c>
      <c r="K507">
        <v>3</v>
      </c>
      <c r="L507" s="17" t="s">
        <v>43</v>
      </c>
      <c r="M507">
        <v>88</v>
      </c>
      <c r="N507">
        <v>3</v>
      </c>
      <c r="O507">
        <v>1</v>
      </c>
      <c r="P507" t="s">
        <v>58</v>
      </c>
      <c r="Q507">
        <v>4</v>
      </c>
      <c r="R507" t="s">
        <v>45</v>
      </c>
      <c r="S507" s="6">
        <v>3737</v>
      </c>
      <c r="T507">
        <v>2243</v>
      </c>
      <c r="U507">
        <v>0</v>
      </c>
      <c r="V507" t="s">
        <v>39</v>
      </c>
      <c r="W507" t="s">
        <v>40</v>
      </c>
      <c r="X507">
        <v>19</v>
      </c>
      <c r="Y507">
        <v>3</v>
      </c>
      <c r="Z507">
        <v>3</v>
      </c>
      <c r="AA507">
        <v>80</v>
      </c>
      <c r="AB507">
        <v>1</v>
      </c>
      <c r="AC507">
        <v>4</v>
      </c>
      <c r="AD507">
        <v>1</v>
      </c>
      <c r="AE507">
        <v>1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35</v>
      </c>
      <c r="B508" t="s">
        <v>32</v>
      </c>
      <c r="C508" t="s">
        <v>33</v>
      </c>
      <c r="D508">
        <v>622</v>
      </c>
      <c r="E508" t="s">
        <v>42</v>
      </c>
      <c r="F508">
        <v>14</v>
      </c>
      <c r="G508">
        <v>4</v>
      </c>
      <c r="H508" t="s">
        <v>46</v>
      </c>
      <c r="I508">
        <v>1</v>
      </c>
      <c r="J508">
        <v>1010</v>
      </c>
      <c r="K508">
        <v>3</v>
      </c>
      <c r="L508" s="17" t="s">
        <v>43</v>
      </c>
      <c r="M508">
        <v>39</v>
      </c>
      <c r="N508">
        <v>2</v>
      </c>
      <c r="O508">
        <v>1</v>
      </c>
      <c r="P508" t="s">
        <v>47</v>
      </c>
      <c r="Q508">
        <v>2</v>
      </c>
      <c r="R508" t="s">
        <v>49</v>
      </c>
      <c r="S508" s="6">
        <v>3743</v>
      </c>
      <c r="T508">
        <v>10074</v>
      </c>
      <c r="U508">
        <v>1</v>
      </c>
      <c r="V508" t="s">
        <v>39</v>
      </c>
      <c r="W508" t="s">
        <v>32</v>
      </c>
      <c r="X508">
        <v>24</v>
      </c>
      <c r="Y508">
        <v>4</v>
      </c>
      <c r="Z508">
        <v>4</v>
      </c>
      <c r="AA508">
        <v>80</v>
      </c>
      <c r="AB508">
        <v>1</v>
      </c>
      <c r="AC508">
        <v>5</v>
      </c>
      <c r="AD508">
        <v>2</v>
      </c>
      <c r="AE508">
        <v>1</v>
      </c>
      <c r="AF508">
        <v>4</v>
      </c>
      <c r="AG508">
        <v>2</v>
      </c>
      <c r="AH508">
        <v>0</v>
      </c>
      <c r="AI508">
        <v>2</v>
      </c>
    </row>
    <row r="509" spans="1:35" x14ac:dyDescent="0.3">
      <c r="A509">
        <v>30</v>
      </c>
      <c r="B509" t="s">
        <v>40</v>
      </c>
      <c r="C509" t="s">
        <v>33</v>
      </c>
      <c r="D509">
        <v>911</v>
      </c>
      <c r="E509" t="s">
        <v>42</v>
      </c>
      <c r="F509">
        <v>1</v>
      </c>
      <c r="G509">
        <v>2</v>
      </c>
      <c r="H509" t="s">
        <v>48</v>
      </c>
      <c r="I509">
        <v>1</v>
      </c>
      <c r="J509">
        <v>1989</v>
      </c>
      <c r="K509">
        <v>4</v>
      </c>
      <c r="L509" s="17" t="s">
        <v>43</v>
      </c>
      <c r="M509">
        <v>76</v>
      </c>
      <c r="N509">
        <v>3</v>
      </c>
      <c r="O509">
        <v>1</v>
      </c>
      <c r="P509" t="s">
        <v>47</v>
      </c>
      <c r="Q509">
        <v>2</v>
      </c>
      <c r="R509" t="s">
        <v>45</v>
      </c>
      <c r="S509" s="6">
        <v>3748</v>
      </c>
      <c r="T509">
        <v>4077</v>
      </c>
      <c r="U509">
        <v>1</v>
      </c>
      <c r="V509" t="s">
        <v>39</v>
      </c>
      <c r="W509" t="s">
        <v>40</v>
      </c>
      <c r="X509">
        <v>13</v>
      </c>
      <c r="Y509">
        <v>3</v>
      </c>
      <c r="Z509">
        <v>3</v>
      </c>
      <c r="AA509">
        <v>80</v>
      </c>
      <c r="AB509">
        <v>0</v>
      </c>
      <c r="AC509">
        <v>12</v>
      </c>
      <c r="AD509">
        <v>6</v>
      </c>
      <c r="AE509">
        <v>2</v>
      </c>
      <c r="AF509">
        <v>12</v>
      </c>
      <c r="AG509">
        <v>8</v>
      </c>
      <c r="AH509">
        <v>1</v>
      </c>
      <c r="AI509">
        <v>7</v>
      </c>
    </row>
    <row r="510" spans="1:35" x14ac:dyDescent="0.3">
      <c r="A510">
        <v>39</v>
      </c>
      <c r="B510" t="s">
        <v>40</v>
      </c>
      <c r="C510" t="s">
        <v>41</v>
      </c>
      <c r="D510">
        <v>443</v>
      </c>
      <c r="E510" t="s">
        <v>42</v>
      </c>
      <c r="F510">
        <v>8</v>
      </c>
      <c r="G510">
        <v>1</v>
      </c>
      <c r="H510" t="s">
        <v>35</v>
      </c>
      <c r="I510">
        <v>1</v>
      </c>
      <c r="J510">
        <v>602</v>
      </c>
      <c r="K510">
        <v>3</v>
      </c>
      <c r="L510" s="17" t="s">
        <v>36</v>
      </c>
      <c r="M510">
        <v>48</v>
      </c>
      <c r="N510">
        <v>3</v>
      </c>
      <c r="O510">
        <v>1</v>
      </c>
      <c r="P510" t="s">
        <v>47</v>
      </c>
      <c r="Q510">
        <v>3</v>
      </c>
      <c r="R510" t="s">
        <v>45</v>
      </c>
      <c r="S510" s="6">
        <v>3755</v>
      </c>
      <c r="T510">
        <v>17872</v>
      </c>
      <c r="U510">
        <v>1</v>
      </c>
      <c r="V510" t="s">
        <v>39</v>
      </c>
      <c r="W510" t="s">
        <v>40</v>
      </c>
      <c r="X510">
        <v>11</v>
      </c>
      <c r="Y510">
        <v>3</v>
      </c>
      <c r="Z510">
        <v>1</v>
      </c>
      <c r="AA510">
        <v>80</v>
      </c>
      <c r="AB510">
        <v>1</v>
      </c>
      <c r="AC510">
        <v>8</v>
      </c>
      <c r="AD510">
        <v>3</v>
      </c>
      <c r="AE510">
        <v>3</v>
      </c>
      <c r="AF510">
        <v>8</v>
      </c>
      <c r="AG510">
        <v>3</v>
      </c>
      <c r="AH510">
        <v>0</v>
      </c>
      <c r="AI510">
        <v>7</v>
      </c>
    </row>
    <row r="511" spans="1:35" x14ac:dyDescent="0.3">
      <c r="A511">
        <v>29</v>
      </c>
      <c r="B511" t="s">
        <v>40</v>
      </c>
      <c r="C511" t="s">
        <v>33</v>
      </c>
      <c r="D511">
        <v>1010</v>
      </c>
      <c r="E511" t="s">
        <v>42</v>
      </c>
      <c r="F511">
        <v>1</v>
      </c>
      <c r="G511">
        <v>3</v>
      </c>
      <c r="H511" t="s">
        <v>35</v>
      </c>
      <c r="I511">
        <v>1</v>
      </c>
      <c r="J511">
        <v>1249</v>
      </c>
      <c r="K511">
        <v>1</v>
      </c>
      <c r="L511" s="17" t="s">
        <v>36</v>
      </c>
      <c r="M511">
        <v>97</v>
      </c>
      <c r="N511">
        <v>3</v>
      </c>
      <c r="O511">
        <v>1</v>
      </c>
      <c r="P511" t="s">
        <v>44</v>
      </c>
      <c r="Q511">
        <v>4</v>
      </c>
      <c r="R511" t="s">
        <v>49</v>
      </c>
      <c r="S511" s="6">
        <v>3760</v>
      </c>
      <c r="T511">
        <v>5598</v>
      </c>
      <c r="U511">
        <v>1</v>
      </c>
      <c r="V511" t="s">
        <v>39</v>
      </c>
      <c r="W511" t="s">
        <v>40</v>
      </c>
      <c r="X511">
        <v>15</v>
      </c>
      <c r="Y511">
        <v>3</v>
      </c>
      <c r="Z511">
        <v>1</v>
      </c>
      <c r="AA511">
        <v>80</v>
      </c>
      <c r="AB511">
        <v>3</v>
      </c>
      <c r="AC511">
        <v>3</v>
      </c>
      <c r="AD511">
        <v>5</v>
      </c>
      <c r="AE511">
        <v>3</v>
      </c>
      <c r="AF511">
        <v>3</v>
      </c>
      <c r="AG511">
        <v>2</v>
      </c>
      <c r="AH511">
        <v>1</v>
      </c>
      <c r="AI511">
        <v>2</v>
      </c>
    </row>
    <row r="512" spans="1:35" x14ac:dyDescent="0.3">
      <c r="A512">
        <v>24</v>
      </c>
      <c r="B512" t="s">
        <v>40</v>
      </c>
      <c r="C512" t="s">
        <v>41</v>
      </c>
      <c r="D512">
        <v>567</v>
      </c>
      <c r="E512" t="s">
        <v>42</v>
      </c>
      <c r="F512">
        <v>2</v>
      </c>
      <c r="G512">
        <v>1</v>
      </c>
      <c r="H512" t="s">
        <v>57</v>
      </c>
      <c r="I512">
        <v>1</v>
      </c>
      <c r="J512">
        <v>1646</v>
      </c>
      <c r="K512">
        <v>1</v>
      </c>
      <c r="L512" s="17" t="s">
        <v>36</v>
      </c>
      <c r="M512">
        <v>32</v>
      </c>
      <c r="N512">
        <v>3</v>
      </c>
      <c r="O512">
        <v>1</v>
      </c>
      <c r="P512" t="s">
        <v>44</v>
      </c>
      <c r="Q512">
        <v>4</v>
      </c>
      <c r="R512" t="s">
        <v>38</v>
      </c>
      <c r="S512" s="6">
        <v>3760</v>
      </c>
      <c r="T512">
        <v>17218</v>
      </c>
      <c r="U512">
        <v>1</v>
      </c>
      <c r="V512" t="s">
        <v>39</v>
      </c>
      <c r="W512" t="s">
        <v>32</v>
      </c>
      <c r="X512">
        <v>13</v>
      </c>
      <c r="Y512">
        <v>3</v>
      </c>
      <c r="Z512">
        <v>3</v>
      </c>
      <c r="AA512">
        <v>80</v>
      </c>
      <c r="AB512">
        <v>0</v>
      </c>
      <c r="AC512">
        <v>6</v>
      </c>
      <c r="AD512">
        <v>2</v>
      </c>
      <c r="AE512">
        <v>3</v>
      </c>
      <c r="AF512">
        <v>6</v>
      </c>
      <c r="AG512">
        <v>3</v>
      </c>
      <c r="AH512">
        <v>1</v>
      </c>
      <c r="AI512">
        <v>3</v>
      </c>
    </row>
    <row r="513" spans="1:35" x14ac:dyDescent="0.3">
      <c r="A513">
        <v>30</v>
      </c>
      <c r="B513" t="s">
        <v>40</v>
      </c>
      <c r="C513" t="s">
        <v>41</v>
      </c>
      <c r="D513">
        <v>1012</v>
      </c>
      <c r="E513" t="s">
        <v>42</v>
      </c>
      <c r="F513">
        <v>5</v>
      </c>
      <c r="G513">
        <v>4</v>
      </c>
      <c r="H513" t="s">
        <v>35</v>
      </c>
      <c r="I513">
        <v>1</v>
      </c>
      <c r="J513">
        <v>861</v>
      </c>
      <c r="K513">
        <v>2</v>
      </c>
      <c r="L513" s="17" t="s">
        <v>43</v>
      </c>
      <c r="M513">
        <v>75</v>
      </c>
      <c r="N513">
        <v>2</v>
      </c>
      <c r="O513">
        <v>1</v>
      </c>
      <c r="P513" t="s">
        <v>44</v>
      </c>
      <c r="Q513">
        <v>4</v>
      </c>
      <c r="R513" t="s">
        <v>49</v>
      </c>
      <c r="S513" s="6">
        <v>3761</v>
      </c>
      <c r="T513">
        <v>2373</v>
      </c>
      <c r="U513">
        <v>9</v>
      </c>
      <c r="V513" t="s">
        <v>39</v>
      </c>
      <c r="W513" t="s">
        <v>40</v>
      </c>
      <c r="X513">
        <v>12</v>
      </c>
      <c r="Y513">
        <v>3</v>
      </c>
      <c r="Z513">
        <v>2</v>
      </c>
      <c r="AA513">
        <v>80</v>
      </c>
      <c r="AB513">
        <v>1</v>
      </c>
      <c r="AC513">
        <v>10</v>
      </c>
      <c r="AD513">
        <v>3</v>
      </c>
      <c r="AE513">
        <v>2</v>
      </c>
      <c r="AF513">
        <v>5</v>
      </c>
      <c r="AG513">
        <v>4</v>
      </c>
      <c r="AH513">
        <v>0</v>
      </c>
      <c r="AI513">
        <v>3</v>
      </c>
    </row>
    <row r="514" spans="1:35" x14ac:dyDescent="0.3">
      <c r="A514">
        <v>54</v>
      </c>
      <c r="B514" t="s">
        <v>40</v>
      </c>
      <c r="C514" t="s">
        <v>33</v>
      </c>
      <c r="D514">
        <v>548</v>
      </c>
      <c r="E514" t="s">
        <v>42</v>
      </c>
      <c r="F514">
        <v>8</v>
      </c>
      <c r="G514">
        <v>4</v>
      </c>
      <c r="H514" t="s">
        <v>35</v>
      </c>
      <c r="I514">
        <v>1</v>
      </c>
      <c r="J514">
        <v>578</v>
      </c>
      <c r="K514">
        <v>3</v>
      </c>
      <c r="L514" s="17" t="s">
        <v>36</v>
      </c>
      <c r="M514">
        <v>42</v>
      </c>
      <c r="N514">
        <v>3</v>
      </c>
      <c r="O514">
        <v>2</v>
      </c>
      <c r="P514" t="s">
        <v>47</v>
      </c>
      <c r="Q514">
        <v>3</v>
      </c>
      <c r="R514" t="s">
        <v>38</v>
      </c>
      <c r="S514" s="6">
        <v>3780</v>
      </c>
      <c r="T514">
        <v>23428</v>
      </c>
      <c r="U514">
        <v>7</v>
      </c>
      <c r="V514" t="s">
        <v>39</v>
      </c>
      <c r="W514" t="s">
        <v>40</v>
      </c>
      <c r="X514">
        <v>11</v>
      </c>
      <c r="Y514">
        <v>3</v>
      </c>
      <c r="Z514">
        <v>3</v>
      </c>
      <c r="AA514">
        <v>80</v>
      </c>
      <c r="AB514">
        <v>0</v>
      </c>
      <c r="AC514">
        <v>19</v>
      </c>
      <c r="AD514">
        <v>3</v>
      </c>
      <c r="AE514">
        <v>3</v>
      </c>
      <c r="AF514">
        <v>1</v>
      </c>
      <c r="AG514">
        <v>0</v>
      </c>
      <c r="AH514">
        <v>0</v>
      </c>
      <c r="AI514">
        <v>0</v>
      </c>
    </row>
    <row r="515" spans="1:35" x14ac:dyDescent="0.3">
      <c r="A515">
        <v>29</v>
      </c>
      <c r="B515" t="s">
        <v>40</v>
      </c>
      <c r="C515" t="s">
        <v>33</v>
      </c>
      <c r="D515">
        <v>468</v>
      </c>
      <c r="E515" t="s">
        <v>42</v>
      </c>
      <c r="F515">
        <v>28</v>
      </c>
      <c r="G515">
        <v>4</v>
      </c>
      <c r="H515" t="s">
        <v>48</v>
      </c>
      <c r="I515">
        <v>1</v>
      </c>
      <c r="J515">
        <v>2054</v>
      </c>
      <c r="K515">
        <v>4</v>
      </c>
      <c r="L515" s="17" t="s">
        <v>36</v>
      </c>
      <c r="M515">
        <v>73</v>
      </c>
      <c r="N515">
        <v>2</v>
      </c>
      <c r="O515">
        <v>1</v>
      </c>
      <c r="P515" t="s">
        <v>44</v>
      </c>
      <c r="Q515">
        <v>1</v>
      </c>
      <c r="R515" t="s">
        <v>38</v>
      </c>
      <c r="S515" s="6">
        <v>3785</v>
      </c>
      <c r="T515">
        <v>8489</v>
      </c>
      <c r="U515">
        <v>1</v>
      </c>
      <c r="V515" t="s">
        <v>39</v>
      </c>
      <c r="W515" t="s">
        <v>40</v>
      </c>
      <c r="X515">
        <v>14</v>
      </c>
      <c r="Y515">
        <v>3</v>
      </c>
      <c r="Z515">
        <v>2</v>
      </c>
      <c r="AA515">
        <v>80</v>
      </c>
      <c r="AB515">
        <v>0</v>
      </c>
      <c r="AC515">
        <v>5</v>
      </c>
      <c r="AD515">
        <v>3</v>
      </c>
      <c r="AE515">
        <v>1</v>
      </c>
      <c r="AF515">
        <v>5</v>
      </c>
      <c r="AG515">
        <v>4</v>
      </c>
      <c r="AH515">
        <v>0</v>
      </c>
      <c r="AI515">
        <v>4</v>
      </c>
    </row>
    <row r="516" spans="1:35" x14ac:dyDescent="0.3">
      <c r="A516">
        <v>29</v>
      </c>
      <c r="B516" t="s">
        <v>40</v>
      </c>
      <c r="C516" t="s">
        <v>41</v>
      </c>
      <c r="D516">
        <v>574</v>
      </c>
      <c r="E516" t="s">
        <v>42</v>
      </c>
      <c r="F516">
        <v>20</v>
      </c>
      <c r="G516">
        <v>1</v>
      </c>
      <c r="H516" t="s">
        <v>48</v>
      </c>
      <c r="I516">
        <v>1</v>
      </c>
      <c r="J516">
        <v>1852</v>
      </c>
      <c r="K516">
        <v>4</v>
      </c>
      <c r="L516" s="17" t="s">
        <v>43</v>
      </c>
      <c r="M516">
        <v>40</v>
      </c>
      <c r="N516">
        <v>3</v>
      </c>
      <c r="O516">
        <v>1</v>
      </c>
      <c r="P516" t="s">
        <v>47</v>
      </c>
      <c r="Q516">
        <v>4</v>
      </c>
      <c r="R516" t="s">
        <v>45</v>
      </c>
      <c r="S516" s="6">
        <v>3812</v>
      </c>
      <c r="T516">
        <v>7003</v>
      </c>
      <c r="U516">
        <v>1</v>
      </c>
      <c r="V516" t="s">
        <v>39</v>
      </c>
      <c r="W516" t="s">
        <v>40</v>
      </c>
      <c r="X516">
        <v>13</v>
      </c>
      <c r="Y516">
        <v>3</v>
      </c>
      <c r="Z516">
        <v>2</v>
      </c>
      <c r="AA516">
        <v>80</v>
      </c>
      <c r="AB516">
        <v>0</v>
      </c>
      <c r="AC516">
        <v>11</v>
      </c>
      <c r="AD516">
        <v>3</v>
      </c>
      <c r="AE516">
        <v>4</v>
      </c>
      <c r="AF516">
        <v>11</v>
      </c>
      <c r="AG516">
        <v>8</v>
      </c>
      <c r="AH516">
        <v>3</v>
      </c>
      <c r="AI516">
        <v>10</v>
      </c>
    </row>
    <row r="517" spans="1:35" x14ac:dyDescent="0.3">
      <c r="A517">
        <v>34</v>
      </c>
      <c r="B517" t="s">
        <v>40</v>
      </c>
      <c r="C517" t="s">
        <v>41</v>
      </c>
      <c r="D517">
        <v>878</v>
      </c>
      <c r="E517" t="s">
        <v>42</v>
      </c>
      <c r="F517">
        <v>10</v>
      </c>
      <c r="G517">
        <v>4</v>
      </c>
      <c r="H517" t="s">
        <v>48</v>
      </c>
      <c r="I517">
        <v>1</v>
      </c>
      <c r="J517">
        <v>277</v>
      </c>
      <c r="K517">
        <v>4</v>
      </c>
      <c r="L517" s="17" t="s">
        <v>43</v>
      </c>
      <c r="M517">
        <v>43</v>
      </c>
      <c r="N517">
        <v>3</v>
      </c>
      <c r="O517">
        <v>1</v>
      </c>
      <c r="P517" t="s">
        <v>44</v>
      </c>
      <c r="Q517">
        <v>3</v>
      </c>
      <c r="R517" t="s">
        <v>49</v>
      </c>
      <c r="S517" s="6">
        <v>3815</v>
      </c>
      <c r="T517">
        <v>5972</v>
      </c>
      <c r="U517">
        <v>1</v>
      </c>
      <c r="V517" t="s">
        <v>39</v>
      </c>
      <c r="W517" t="s">
        <v>32</v>
      </c>
      <c r="X517">
        <v>17</v>
      </c>
      <c r="Y517">
        <v>3</v>
      </c>
      <c r="Z517">
        <v>4</v>
      </c>
      <c r="AA517">
        <v>80</v>
      </c>
      <c r="AB517">
        <v>1</v>
      </c>
      <c r="AC517">
        <v>5</v>
      </c>
      <c r="AD517">
        <v>4</v>
      </c>
      <c r="AE517">
        <v>4</v>
      </c>
      <c r="AF517">
        <v>5</v>
      </c>
      <c r="AG517">
        <v>3</v>
      </c>
      <c r="AH517">
        <v>2</v>
      </c>
      <c r="AI517">
        <v>0</v>
      </c>
    </row>
    <row r="518" spans="1:35" x14ac:dyDescent="0.3">
      <c r="A518">
        <v>27</v>
      </c>
      <c r="B518" t="s">
        <v>40</v>
      </c>
      <c r="C518" t="s">
        <v>33</v>
      </c>
      <c r="D518">
        <v>1469</v>
      </c>
      <c r="E518" t="s">
        <v>42</v>
      </c>
      <c r="F518">
        <v>1</v>
      </c>
      <c r="G518">
        <v>2</v>
      </c>
      <c r="H518" t="s">
        <v>48</v>
      </c>
      <c r="I518">
        <v>1</v>
      </c>
      <c r="J518">
        <v>497</v>
      </c>
      <c r="K518">
        <v>4</v>
      </c>
      <c r="L518" s="17" t="s">
        <v>43</v>
      </c>
      <c r="M518">
        <v>82</v>
      </c>
      <c r="N518">
        <v>3</v>
      </c>
      <c r="O518">
        <v>1</v>
      </c>
      <c r="P518" t="s">
        <v>47</v>
      </c>
      <c r="Q518">
        <v>2</v>
      </c>
      <c r="R518" t="s">
        <v>49</v>
      </c>
      <c r="S518" s="6">
        <v>3816</v>
      </c>
      <c r="T518">
        <v>17881</v>
      </c>
      <c r="U518">
        <v>1</v>
      </c>
      <c r="V518" t="s">
        <v>39</v>
      </c>
      <c r="W518" t="s">
        <v>40</v>
      </c>
      <c r="X518">
        <v>11</v>
      </c>
      <c r="Y518">
        <v>3</v>
      </c>
      <c r="Z518">
        <v>2</v>
      </c>
      <c r="AA518">
        <v>80</v>
      </c>
      <c r="AB518">
        <v>1</v>
      </c>
      <c r="AC518">
        <v>5</v>
      </c>
      <c r="AD518">
        <v>2</v>
      </c>
      <c r="AE518">
        <v>3</v>
      </c>
      <c r="AF518">
        <v>5</v>
      </c>
      <c r="AG518">
        <v>2</v>
      </c>
      <c r="AH518">
        <v>0</v>
      </c>
      <c r="AI518">
        <v>4</v>
      </c>
    </row>
    <row r="519" spans="1:35" x14ac:dyDescent="0.3">
      <c r="A519">
        <v>30</v>
      </c>
      <c r="B519" t="s">
        <v>40</v>
      </c>
      <c r="C519" t="s">
        <v>33</v>
      </c>
      <c r="D519">
        <v>921</v>
      </c>
      <c r="E519" t="s">
        <v>42</v>
      </c>
      <c r="F519">
        <v>1</v>
      </c>
      <c r="G519">
        <v>3</v>
      </c>
      <c r="H519" t="s">
        <v>35</v>
      </c>
      <c r="I519">
        <v>1</v>
      </c>
      <c r="J519">
        <v>806</v>
      </c>
      <c r="K519">
        <v>4</v>
      </c>
      <c r="L519" s="17" t="s">
        <v>43</v>
      </c>
      <c r="M519">
        <v>38</v>
      </c>
      <c r="N519">
        <v>1</v>
      </c>
      <c r="O519">
        <v>1</v>
      </c>
      <c r="P519" t="s">
        <v>47</v>
      </c>
      <c r="Q519">
        <v>3</v>
      </c>
      <c r="R519" t="s">
        <v>45</v>
      </c>
      <c r="S519" s="6">
        <v>3833</v>
      </c>
      <c r="T519">
        <v>24375</v>
      </c>
      <c r="U519">
        <v>3</v>
      </c>
      <c r="V519" t="s">
        <v>39</v>
      </c>
      <c r="W519" t="s">
        <v>40</v>
      </c>
      <c r="X519">
        <v>21</v>
      </c>
      <c r="Y519">
        <v>4</v>
      </c>
      <c r="Z519">
        <v>3</v>
      </c>
      <c r="AA519">
        <v>80</v>
      </c>
      <c r="AB519">
        <v>2</v>
      </c>
      <c r="AC519">
        <v>7</v>
      </c>
      <c r="AD519">
        <v>2</v>
      </c>
      <c r="AE519">
        <v>3</v>
      </c>
      <c r="AF519">
        <v>2</v>
      </c>
      <c r="AG519">
        <v>2</v>
      </c>
      <c r="AH519">
        <v>0</v>
      </c>
      <c r="AI519">
        <v>2</v>
      </c>
    </row>
    <row r="520" spans="1:35" x14ac:dyDescent="0.3">
      <c r="A520">
        <v>33</v>
      </c>
      <c r="B520" t="s">
        <v>40</v>
      </c>
      <c r="C520" t="s">
        <v>33</v>
      </c>
      <c r="D520">
        <v>1099</v>
      </c>
      <c r="E520" t="s">
        <v>42</v>
      </c>
      <c r="F520">
        <v>4</v>
      </c>
      <c r="G520">
        <v>4</v>
      </c>
      <c r="H520" t="s">
        <v>48</v>
      </c>
      <c r="I520">
        <v>1</v>
      </c>
      <c r="J520">
        <v>1502</v>
      </c>
      <c r="K520">
        <v>1</v>
      </c>
      <c r="L520" s="17" t="s">
        <v>36</v>
      </c>
      <c r="M520">
        <v>82</v>
      </c>
      <c r="N520">
        <v>2</v>
      </c>
      <c r="O520">
        <v>1</v>
      </c>
      <c r="P520" t="s">
        <v>47</v>
      </c>
      <c r="Q520">
        <v>2</v>
      </c>
      <c r="R520" t="s">
        <v>45</v>
      </c>
      <c r="S520" s="6">
        <v>3838</v>
      </c>
      <c r="T520">
        <v>8192</v>
      </c>
      <c r="U520">
        <v>8</v>
      </c>
      <c r="V520" t="s">
        <v>39</v>
      </c>
      <c r="W520" t="s">
        <v>40</v>
      </c>
      <c r="X520">
        <v>11</v>
      </c>
      <c r="Y520">
        <v>3</v>
      </c>
      <c r="Z520">
        <v>4</v>
      </c>
      <c r="AA520">
        <v>80</v>
      </c>
      <c r="AB520">
        <v>0</v>
      </c>
      <c r="AC520">
        <v>8</v>
      </c>
      <c r="AD520">
        <v>5</v>
      </c>
      <c r="AE520">
        <v>3</v>
      </c>
      <c r="AF520">
        <v>5</v>
      </c>
      <c r="AG520">
        <v>4</v>
      </c>
      <c r="AH520">
        <v>0</v>
      </c>
      <c r="AI520">
        <v>2</v>
      </c>
    </row>
    <row r="521" spans="1:35" x14ac:dyDescent="0.3">
      <c r="A521">
        <v>28</v>
      </c>
      <c r="B521" t="s">
        <v>40</v>
      </c>
      <c r="C521" t="s">
        <v>41</v>
      </c>
      <c r="D521">
        <v>193</v>
      </c>
      <c r="E521" t="s">
        <v>42</v>
      </c>
      <c r="F521">
        <v>2</v>
      </c>
      <c r="G521">
        <v>3</v>
      </c>
      <c r="H521" t="s">
        <v>35</v>
      </c>
      <c r="I521">
        <v>1</v>
      </c>
      <c r="J521">
        <v>1296</v>
      </c>
      <c r="K521">
        <v>4</v>
      </c>
      <c r="L521" s="17" t="s">
        <v>43</v>
      </c>
      <c r="M521">
        <v>52</v>
      </c>
      <c r="N521">
        <v>2</v>
      </c>
      <c r="O521">
        <v>1</v>
      </c>
      <c r="P521" t="s">
        <v>47</v>
      </c>
      <c r="Q521">
        <v>4</v>
      </c>
      <c r="R521" t="s">
        <v>45</v>
      </c>
      <c r="S521" s="6">
        <v>3867</v>
      </c>
      <c r="T521">
        <v>14222</v>
      </c>
      <c r="U521">
        <v>1</v>
      </c>
      <c r="V521" t="s">
        <v>39</v>
      </c>
      <c r="W521" t="s">
        <v>32</v>
      </c>
      <c r="X521">
        <v>12</v>
      </c>
      <c r="Y521">
        <v>3</v>
      </c>
      <c r="Z521">
        <v>2</v>
      </c>
      <c r="AA521">
        <v>80</v>
      </c>
      <c r="AB521">
        <v>1</v>
      </c>
      <c r="AC521">
        <v>2</v>
      </c>
      <c r="AD521">
        <v>2</v>
      </c>
      <c r="AE521">
        <v>3</v>
      </c>
      <c r="AF521">
        <v>2</v>
      </c>
      <c r="AG521">
        <v>2</v>
      </c>
      <c r="AH521">
        <v>2</v>
      </c>
      <c r="AI521">
        <v>2</v>
      </c>
    </row>
    <row r="522" spans="1:35" x14ac:dyDescent="0.3">
      <c r="A522">
        <v>50</v>
      </c>
      <c r="B522" t="s">
        <v>40</v>
      </c>
      <c r="C522" t="s">
        <v>33</v>
      </c>
      <c r="D522">
        <v>316</v>
      </c>
      <c r="E522" t="s">
        <v>34</v>
      </c>
      <c r="F522">
        <v>8</v>
      </c>
      <c r="G522">
        <v>4</v>
      </c>
      <c r="H522" t="s">
        <v>56</v>
      </c>
      <c r="I522">
        <v>1</v>
      </c>
      <c r="J522">
        <v>738</v>
      </c>
      <c r="K522">
        <v>4</v>
      </c>
      <c r="L522" s="17" t="s">
        <v>43</v>
      </c>
      <c r="M522">
        <v>54</v>
      </c>
      <c r="N522">
        <v>3</v>
      </c>
      <c r="O522">
        <v>1</v>
      </c>
      <c r="P522" t="s">
        <v>54</v>
      </c>
      <c r="Q522">
        <v>2</v>
      </c>
      <c r="R522" t="s">
        <v>45</v>
      </c>
      <c r="S522" s="6">
        <v>3875</v>
      </c>
      <c r="T522">
        <v>9983</v>
      </c>
      <c r="U522">
        <v>7</v>
      </c>
      <c r="V522" t="s">
        <v>39</v>
      </c>
      <c r="W522" t="s">
        <v>40</v>
      </c>
      <c r="X522">
        <v>15</v>
      </c>
      <c r="Y522">
        <v>3</v>
      </c>
      <c r="Z522">
        <v>4</v>
      </c>
      <c r="AA522">
        <v>80</v>
      </c>
      <c r="AB522">
        <v>1</v>
      </c>
      <c r="AC522">
        <v>4</v>
      </c>
      <c r="AD522">
        <v>2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36</v>
      </c>
      <c r="B523" t="s">
        <v>40</v>
      </c>
      <c r="C523" t="s">
        <v>41</v>
      </c>
      <c r="D523">
        <v>1213</v>
      </c>
      <c r="E523" t="s">
        <v>58</v>
      </c>
      <c r="F523">
        <v>2</v>
      </c>
      <c r="G523">
        <v>1</v>
      </c>
      <c r="H523" t="s">
        <v>58</v>
      </c>
      <c r="I523">
        <v>1</v>
      </c>
      <c r="J523">
        <v>1890</v>
      </c>
      <c r="K523">
        <v>2</v>
      </c>
      <c r="L523" s="17" t="s">
        <v>43</v>
      </c>
      <c r="M523">
        <v>94</v>
      </c>
      <c r="N523">
        <v>2</v>
      </c>
      <c r="O523">
        <v>2</v>
      </c>
      <c r="P523" t="s">
        <v>58</v>
      </c>
      <c r="Q523">
        <v>4</v>
      </c>
      <c r="R523" t="s">
        <v>38</v>
      </c>
      <c r="S523" s="6">
        <v>3886</v>
      </c>
      <c r="T523">
        <v>4223</v>
      </c>
      <c r="U523">
        <v>1</v>
      </c>
      <c r="V523" t="s">
        <v>39</v>
      </c>
      <c r="W523" t="s">
        <v>40</v>
      </c>
      <c r="X523">
        <v>21</v>
      </c>
      <c r="Y523">
        <v>4</v>
      </c>
      <c r="Z523">
        <v>4</v>
      </c>
      <c r="AA523">
        <v>80</v>
      </c>
      <c r="AB523">
        <v>0</v>
      </c>
      <c r="AC523">
        <v>10</v>
      </c>
      <c r="AD523">
        <v>2</v>
      </c>
      <c r="AE523">
        <v>2</v>
      </c>
      <c r="AF523">
        <v>10</v>
      </c>
      <c r="AG523">
        <v>1</v>
      </c>
      <c r="AH523">
        <v>0</v>
      </c>
      <c r="AI523">
        <v>8</v>
      </c>
    </row>
    <row r="524" spans="1:35" x14ac:dyDescent="0.3">
      <c r="A524">
        <v>22</v>
      </c>
      <c r="B524" t="s">
        <v>32</v>
      </c>
      <c r="C524" t="s">
        <v>41</v>
      </c>
      <c r="D524">
        <v>1368</v>
      </c>
      <c r="E524" t="s">
        <v>42</v>
      </c>
      <c r="F524">
        <v>4</v>
      </c>
      <c r="G524">
        <v>1</v>
      </c>
      <c r="H524" t="s">
        <v>57</v>
      </c>
      <c r="I524">
        <v>1</v>
      </c>
      <c r="J524">
        <v>593</v>
      </c>
      <c r="K524">
        <v>3</v>
      </c>
      <c r="L524" s="17" t="s">
        <v>43</v>
      </c>
      <c r="M524">
        <v>99</v>
      </c>
      <c r="N524">
        <v>2</v>
      </c>
      <c r="O524">
        <v>1</v>
      </c>
      <c r="P524" t="s">
        <v>47</v>
      </c>
      <c r="Q524">
        <v>3</v>
      </c>
      <c r="R524" t="s">
        <v>38</v>
      </c>
      <c r="S524" s="6">
        <v>3894</v>
      </c>
      <c r="T524">
        <v>9129</v>
      </c>
      <c r="U524">
        <v>5</v>
      </c>
      <c r="V524" t="s">
        <v>39</v>
      </c>
      <c r="W524" t="s">
        <v>40</v>
      </c>
      <c r="X524">
        <v>16</v>
      </c>
      <c r="Y524">
        <v>3</v>
      </c>
      <c r="Z524">
        <v>3</v>
      </c>
      <c r="AA524">
        <v>80</v>
      </c>
      <c r="AB524">
        <v>0</v>
      </c>
      <c r="AC524">
        <v>4</v>
      </c>
      <c r="AD524">
        <v>3</v>
      </c>
      <c r="AE524">
        <v>3</v>
      </c>
      <c r="AF524">
        <v>2</v>
      </c>
      <c r="AG524">
        <v>2</v>
      </c>
      <c r="AH524">
        <v>1</v>
      </c>
      <c r="AI524">
        <v>2</v>
      </c>
    </row>
    <row r="525" spans="1:35" x14ac:dyDescent="0.3">
      <c r="A525">
        <v>39</v>
      </c>
      <c r="B525" t="s">
        <v>40</v>
      </c>
      <c r="C525" t="s">
        <v>33</v>
      </c>
      <c r="D525">
        <v>835</v>
      </c>
      <c r="E525" t="s">
        <v>42</v>
      </c>
      <c r="F525">
        <v>19</v>
      </c>
      <c r="G525">
        <v>4</v>
      </c>
      <c r="H525" t="s">
        <v>46</v>
      </c>
      <c r="I525">
        <v>1</v>
      </c>
      <c r="J525">
        <v>1871</v>
      </c>
      <c r="K525">
        <v>4</v>
      </c>
      <c r="L525" s="17" t="s">
        <v>43</v>
      </c>
      <c r="M525">
        <v>41</v>
      </c>
      <c r="N525">
        <v>3</v>
      </c>
      <c r="O525">
        <v>2</v>
      </c>
      <c r="P525" t="s">
        <v>44</v>
      </c>
      <c r="Q525">
        <v>4</v>
      </c>
      <c r="R525" t="s">
        <v>49</v>
      </c>
      <c r="S525" s="6">
        <v>3902</v>
      </c>
      <c r="T525">
        <v>5141</v>
      </c>
      <c r="U525">
        <v>8</v>
      </c>
      <c r="V525" t="s">
        <v>39</v>
      </c>
      <c r="W525" t="s">
        <v>40</v>
      </c>
      <c r="X525">
        <v>14</v>
      </c>
      <c r="Y525">
        <v>3</v>
      </c>
      <c r="Z525">
        <v>2</v>
      </c>
      <c r="AA525">
        <v>80</v>
      </c>
      <c r="AB525">
        <v>3</v>
      </c>
      <c r="AC525">
        <v>7</v>
      </c>
      <c r="AD525">
        <v>2</v>
      </c>
      <c r="AE525">
        <v>3</v>
      </c>
      <c r="AF525">
        <v>2</v>
      </c>
      <c r="AG525">
        <v>2</v>
      </c>
      <c r="AH525">
        <v>2</v>
      </c>
      <c r="AI525">
        <v>2</v>
      </c>
    </row>
    <row r="526" spans="1:35" x14ac:dyDescent="0.3">
      <c r="A526">
        <v>39</v>
      </c>
      <c r="B526" t="s">
        <v>32</v>
      </c>
      <c r="C526" t="s">
        <v>33</v>
      </c>
      <c r="D526">
        <v>360</v>
      </c>
      <c r="E526" t="s">
        <v>42</v>
      </c>
      <c r="F526">
        <v>23</v>
      </c>
      <c r="G526">
        <v>3</v>
      </c>
      <c r="H526" t="s">
        <v>48</v>
      </c>
      <c r="I526">
        <v>1</v>
      </c>
      <c r="J526">
        <v>1310</v>
      </c>
      <c r="K526">
        <v>3</v>
      </c>
      <c r="L526" s="17" t="s">
        <v>43</v>
      </c>
      <c r="M526">
        <v>93</v>
      </c>
      <c r="N526">
        <v>3</v>
      </c>
      <c r="O526">
        <v>1</v>
      </c>
      <c r="P526" t="s">
        <v>44</v>
      </c>
      <c r="Q526">
        <v>1</v>
      </c>
      <c r="R526" t="s">
        <v>38</v>
      </c>
      <c r="S526" s="6">
        <v>3904</v>
      </c>
      <c r="T526">
        <v>22154</v>
      </c>
      <c r="U526">
        <v>0</v>
      </c>
      <c r="V526" t="s">
        <v>39</v>
      </c>
      <c r="W526" t="s">
        <v>40</v>
      </c>
      <c r="X526">
        <v>13</v>
      </c>
      <c r="Y526">
        <v>3</v>
      </c>
      <c r="Z526">
        <v>1</v>
      </c>
      <c r="AA526">
        <v>80</v>
      </c>
      <c r="AB526">
        <v>0</v>
      </c>
      <c r="AC526">
        <v>6</v>
      </c>
      <c r="AD526">
        <v>2</v>
      </c>
      <c r="AE526">
        <v>3</v>
      </c>
      <c r="AF526">
        <v>5</v>
      </c>
      <c r="AG526">
        <v>2</v>
      </c>
      <c r="AH526">
        <v>0</v>
      </c>
      <c r="AI526">
        <v>3</v>
      </c>
    </row>
    <row r="527" spans="1:35" x14ac:dyDescent="0.3">
      <c r="A527">
        <v>26</v>
      </c>
      <c r="B527" t="s">
        <v>40</v>
      </c>
      <c r="C527" t="s">
        <v>33</v>
      </c>
      <c r="D527">
        <v>683</v>
      </c>
      <c r="E527" t="s">
        <v>42</v>
      </c>
      <c r="F527">
        <v>2</v>
      </c>
      <c r="G527">
        <v>1</v>
      </c>
      <c r="H527" t="s">
        <v>48</v>
      </c>
      <c r="I527">
        <v>1</v>
      </c>
      <c r="J527">
        <v>1407</v>
      </c>
      <c r="K527">
        <v>1</v>
      </c>
      <c r="L527" s="17" t="s">
        <v>43</v>
      </c>
      <c r="M527">
        <v>36</v>
      </c>
      <c r="N527">
        <v>2</v>
      </c>
      <c r="O527">
        <v>1</v>
      </c>
      <c r="P527" t="s">
        <v>44</v>
      </c>
      <c r="Q527">
        <v>4</v>
      </c>
      <c r="R527" t="s">
        <v>38</v>
      </c>
      <c r="S527" s="6">
        <v>3904</v>
      </c>
      <c r="T527">
        <v>4050</v>
      </c>
      <c r="U527">
        <v>0</v>
      </c>
      <c r="V527" t="s">
        <v>39</v>
      </c>
      <c r="W527" t="s">
        <v>40</v>
      </c>
      <c r="X527">
        <v>12</v>
      </c>
      <c r="Y527">
        <v>3</v>
      </c>
      <c r="Z527">
        <v>4</v>
      </c>
      <c r="AA527">
        <v>80</v>
      </c>
      <c r="AB527">
        <v>0</v>
      </c>
      <c r="AC527">
        <v>5</v>
      </c>
      <c r="AD527">
        <v>2</v>
      </c>
      <c r="AE527">
        <v>3</v>
      </c>
      <c r="AF527">
        <v>4</v>
      </c>
      <c r="AG527">
        <v>3</v>
      </c>
      <c r="AH527">
        <v>1</v>
      </c>
      <c r="AI527">
        <v>1</v>
      </c>
    </row>
    <row r="528" spans="1:35" x14ac:dyDescent="0.3">
      <c r="A528">
        <v>24</v>
      </c>
      <c r="B528" t="s">
        <v>40</v>
      </c>
      <c r="C528" t="s">
        <v>33</v>
      </c>
      <c r="D528">
        <v>506</v>
      </c>
      <c r="E528" t="s">
        <v>42</v>
      </c>
      <c r="F528">
        <v>29</v>
      </c>
      <c r="G528">
        <v>1</v>
      </c>
      <c r="H528" t="s">
        <v>48</v>
      </c>
      <c r="I528">
        <v>1</v>
      </c>
      <c r="J528">
        <v>1725</v>
      </c>
      <c r="K528">
        <v>2</v>
      </c>
      <c r="L528" s="17" t="s">
        <v>43</v>
      </c>
      <c r="M528">
        <v>91</v>
      </c>
      <c r="N528">
        <v>3</v>
      </c>
      <c r="O528">
        <v>1</v>
      </c>
      <c r="P528" t="s">
        <v>47</v>
      </c>
      <c r="Q528">
        <v>1</v>
      </c>
      <c r="R528" t="s">
        <v>49</v>
      </c>
      <c r="S528" s="6">
        <v>3907</v>
      </c>
      <c r="T528">
        <v>3622</v>
      </c>
      <c r="U528">
        <v>1</v>
      </c>
      <c r="V528" t="s">
        <v>39</v>
      </c>
      <c r="W528" t="s">
        <v>40</v>
      </c>
      <c r="X528">
        <v>13</v>
      </c>
      <c r="Y528">
        <v>3</v>
      </c>
      <c r="Z528">
        <v>2</v>
      </c>
      <c r="AA528">
        <v>80</v>
      </c>
      <c r="AB528">
        <v>3</v>
      </c>
      <c r="AC528">
        <v>6</v>
      </c>
      <c r="AD528">
        <v>2</v>
      </c>
      <c r="AE528">
        <v>4</v>
      </c>
      <c r="AF528">
        <v>6</v>
      </c>
      <c r="AG528">
        <v>2</v>
      </c>
      <c r="AH528">
        <v>1</v>
      </c>
      <c r="AI528">
        <v>2</v>
      </c>
    </row>
    <row r="529" spans="1:35" x14ac:dyDescent="0.3">
      <c r="A529">
        <v>35</v>
      </c>
      <c r="B529" t="s">
        <v>40</v>
      </c>
      <c r="C529" t="s">
        <v>33</v>
      </c>
      <c r="D529">
        <v>802</v>
      </c>
      <c r="E529" t="s">
        <v>42</v>
      </c>
      <c r="F529">
        <v>10</v>
      </c>
      <c r="G529">
        <v>3</v>
      </c>
      <c r="H529" t="s">
        <v>46</v>
      </c>
      <c r="I529">
        <v>1</v>
      </c>
      <c r="J529">
        <v>1028</v>
      </c>
      <c r="K529">
        <v>2</v>
      </c>
      <c r="L529" s="17" t="s">
        <v>43</v>
      </c>
      <c r="M529">
        <v>45</v>
      </c>
      <c r="N529">
        <v>3</v>
      </c>
      <c r="O529">
        <v>1</v>
      </c>
      <c r="P529" t="s">
        <v>47</v>
      </c>
      <c r="Q529">
        <v>4</v>
      </c>
      <c r="R529" t="s">
        <v>49</v>
      </c>
      <c r="S529" s="6">
        <v>3917</v>
      </c>
      <c r="T529">
        <v>9541</v>
      </c>
      <c r="U529">
        <v>1</v>
      </c>
      <c r="V529" t="s">
        <v>39</v>
      </c>
      <c r="W529" t="s">
        <v>40</v>
      </c>
      <c r="X529">
        <v>20</v>
      </c>
      <c r="Y529">
        <v>4</v>
      </c>
      <c r="Z529">
        <v>1</v>
      </c>
      <c r="AA529">
        <v>80</v>
      </c>
      <c r="AB529">
        <v>1</v>
      </c>
      <c r="AC529">
        <v>3</v>
      </c>
      <c r="AD529">
        <v>4</v>
      </c>
      <c r="AE529">
        <v>2</v>
      </c>
      <c r="AF529">
        <v>3</v>
      </c>
      <c r="AG529">
        <v>2</v>
      </c>
      <c r="AH529">
        <v>1</v>
      </c>
      <c r="AI529">
        <v>2</v>
      </c>
    </row>
    <row r="530" spans="1:35" x14ac:dyDescent="0.3">
      <c r="A530">
        <v>32</v>
      </c>
      <c r="B530" t="s">
        <v>32</v>
      </c>
      <c r="C530" t="s">
        <v>41</v>
      </c>
      <c r="D530">
        <v>1125</v>
      </c>
      <c r="E530" t="s">
        <v>42</v>
      </c>
      <c r="F530">
        <v>16</v>
      </c>
      <c r="G530">
        <v>1</v>
      </c>
      <c r="H530" t="s">
        <v>35</v>
      </c>
      <c r="I530">
        <v>1</v>
      </c>
      <c r="J530">
        <v>33</v>
      </c>
      <c r="K530">
        <v>2</v>
      </c>
      <c r="L530" s="17" t="s">
        <v>36</v>
      </c>
      <c r="M530">
        <v>72</v>
      </c>
      <c r="N530">
        <v>1</v>
      </c>
      <c r="O530">
        <v>1</v>
      </c>
      <c r="P530" t="s">
        <v>44</v>
      </c>
      <c r="Q530">
        <v>1</v>
      </c>
      <c r="R530" t="s">
        <v>38</v>
      </c>
      <c r="S530" s="6">
        <v>3919</v>
      </c>
      <c r="T530">
        <v>4681</v>
      </c>
      <c r="U530">
        <v>1</v>
      </c>
      <c r="V530" t="s">
        <v>39</v>
      </c>
      <c r="W530" t="s">
        <v>32</v>
      </c>
      <c r="X530">
        <v>22</v>
      </c>
      <c r="Y530">
        <v>4</v>
      </c>
      <c r="Z530">
        <v>2</v>
      </c>
      <c r="AA530">
        <v>80</v>
      </c>
      <c r="AB530">
        <v>0</v>
      </c>
      <c r="AC530">
        <v>10</v>
      </c>
      <c r="AD530">
        <v>5</v>
      </c>
      <c r="AE530">
        <v>3</v>
      </c>
      <c r="AF530">
        <v>10</v>
      </c>
      <c r="AG530">
        <v>2</v>
      </c>
      <c r="AH530">
        <v>6</v>
      </c>
      <c r="AI530">
        <v>7</v>
      </c>
    </row>
    <row r="531" spans="1:35" x14ac:dyDescent="0.3">
      <c r="A531">
        <v>37</v>
      </c>
      <c r="B531" t="s">
        <v>40</v>
      </c>
      <c r="C531" t="s">
        <v>33</v>
      </c>
      <c r="D531">
        <v>1017</v>
      </c>
      <c r="E531" t="s">
        <v>42</v>
      </c>
      <c r="F531">
        <v>1</v>
      </c>
      <c r="G531">
        <v>2</v>
      </c>
      <c r="H531" t="s">
        <v>48</v>
      </c>
      <c r="I531">
        <v>1</v>
      </c>
      <c r="J531">
        <v>340</v>
      </c>
      <c r="K531">
        <v>3</v>
      </c>
      <c r="L531" s="17" t="s">
        <v>36</v>
      </c>
      <c r="M531">
        <v>83</v>
      </c>
      <c r="N531">
        <v>2</v>
      </c>
      <c r="O531">
        <v>1</v>
      </c>
      <c r="P531" t="s">
        <v>44</v>
      </c>
      <c r="Q531">
        <v>1</v>
      </c>
      <c r="R531" t="s">
        <v>45</v>
      </c>
      <c r="S531" s="6">
        <v>3920</v>
      </c>
      <c r="T531">
        <v>18697</v>
      </c>
      <c r="U531">
        <v>2</v>
      </c>
      <c r="V531" t="s">
        <v>39</v>
      </c>
      <c r="W531" t="s">
        <v>40</v>
      </c>
      <c r="X531">
        <v>14</v>
      </c>
      <c r="Y531">
        <v>3</v>
      </c>
      <c r="Z531">
        <v>1</v>
      </c>
      <c r="AA531">
        <v>80</v>
      </c>
      <c r="AB531">
        <v>1</v>
      </c>
      <c r="AC531">
        <v>17</v>
      </c>
      <c r="AD531">
        <v>2</v>
      </c>
      <c r="AE531">
        <v>2</v>
      </c>
      <c r="AF531">
        <v>3</v>
      </c>
      <c r="AG531">
        <v>1</v>
      </c>
      <c r="AH531">
        <v>0</v>
      </c>
      <c r="AI531">
        <v>2</v>
      </c>
    </row>
    <row r="532" spans="1:35" x14ac:dyDescent="0.3">
      <c r="A532">
        <v>31</v>
      </c>
      <c r="B532" t="s">
        <v>40</v>
      </c>
      <c r="C532" t="s">
        <v>33</v>
      </c>
      <c r="D532">
        <v>140</v>
      </c>
      <c r="E532" t="s">
        <v>42</v>
      </c>
      <c r="F532">
        <v>12</v>
      </c>
      <c r="G532">
        <v>1</v>
      </c>
      <c r="H532" t="s">
        <v>48</v>
      </c>
      <c r="I532">
        <v>1</v>
      </c>
      <c r="J532">
        <v>246</v>
      </c>
      <c r="K532">
        <v>3</v>
      </c>
      <c r="L532" s="17" t="s">
        <v>36</v>
      </c>
      <c r="M532">
        <v>95</v>
      </c>
      <c r="N532">
        <v>3</v>
      </c>
      <c r="O532">
        <v>1</v>
      </c>
      <c r="P532" t="s">
        <v>44</v>
      </c>
      <c r="Q532">
        <v>4</v>
      </c>
      <c r="R532" t="s">
        <v>45</v>
      </c>
      <c r="S532" s="6">
        <v>3929</v>
      </c>
      <c r="T532">
        <v>6984</v>
      </c>
      <c r="U532">
        <v>8</v>
      </c>
      <c r="V532" t="s">
        <v>39</v>
      </c>
      <c r="W532" t="s">
        <v>32</v>
      </c>
      <c r="X532">
        <v>23</v>
      </c>
      <c r="Y532">
        <v>4</v>
      </c>
      <c r="Z532">
        <v>3</v>
      </c>
      <c r="AA532">
        <v>80</v>
      </c>
      <c r="AB532">
        <v>1</v>
      </c>
      <c r="AC532">
        <v>7</v>
      </c>
      <c r="AD532">
        <v>0</v>
      </c>
      <c r="AE532">
        <v>3</v>
      </c>
      <c r="AF532">
        <v>4</v>
      </c>
      <c r="AG532">
        <v>2</v>
      </c>
      <c r="AH532">
        <v>0</v>
      </c>
      <c r="AI532">
        <v>2</v>
      </c>
    </row>
    <row r="533" spans="1:35" x14ac:dyDescent="0.3">
      <c r="A533">
        <v>32</v>
      </c>
      <c r="B533" t="s">
        <v>40</v>
      </c>
      <c r="C533" t="s">
        <v>33</v>
      </c>
      <c r="D533">
        <v>1401</v>
      </c>
      <c r="E533" t="s">
        <v>34</v>
      </c>
      <c r="F533">
        <v>4</v>
      </c>
      <c r="G533">
        <v>2</v>
      </c>
      <c r="H533" t="s">
        <v>35</v>
      </c>
      <c r="I533">
        <v>1</v>
      </c>
      <c r="J533">
        <v>330</v>
      </c>
      <c r="K533">
        <v>3</v>
      </c>
      <c r="L533" s="17" t="s">
        <v>36</v>
      </c>
      <c r="M533">
        <v>56</v>
      </c>
      <c r="N533">
        <v>3</v>
      </c>
      <c r="O533">
        <v>1</v>
      </c>
      <c r="P533" t="s">
        <v>54</v>
      </c>
      <c r="Q533">
        <v>2</v>
      </c>
      <c r="R533" t="s">
        <v>45</v>
      </c>
      <c r="S533" s="6">
        <v>3931</v>
      </c>
      <c r="T533">
        <v>20990</v>
      </c>
      <c r="U533">
        <v>2</v>
      </c>
      <c r="V533" t="s">
        <v>39</v>
      </c>
      <c r="W533" t="s">
        <v>40</v>
      </c>
      <c r="X533">
        <v>11</v>
      </c>
      <c r="Y533">
        <v>3</v>
      </c>
      <c r="Z533">
        <v>1</v>
      </c>
      <c r="AA533">
        <v>80</v>
      </c>
      <c r="AB533">
        <v>1</v>
      </c>
      <c r="AC533">
        <v>6</v>
      </c>
      <c r="AD533">
        <v>5</v>
      </c>
      <c r="AE533">
        <v>3</v>
      </c>
      <c r="AF533">
        <v>4</v>
      </c>
      <c r="AG533">
        <v>3</v>
      </c>
      <c r="AH533">
        <v>1</v>
      </c>
      <c r="AI533">
        <v>2</v>
      </c>
    </row>
    <row r="534" spans="1:35" x14ac:dyDescent="0.3">
      <c r="A534">
        <v>37</v>
      </c>
      <c r="B534" t="s">
        <v>40</v>
      </c>
      <c r="C534" t="s">
        <v>33</v>
      </c>
      <c r="D534">
        <v>1470</v>
      </c>
      <c r="E534" t="s">
        <v>42</v>
      </c>
      <c r="F534">
        <v>10</v>
      </c>
      <c r="G534">
        <v>3</v>
      </c>
      <c r="H534" t="s">
        <v>48</v>
      </c>
      <c r="I534">
        <v>1</v>
      </c>
      <c r="J534">
        <v>1640</v>
      </c>
      <c r="K534">
        <v>2</v>
      </c>
      <c r="L534" s="17" t="s">
        <v>36</v>
      </c>
      <c r="M534">
        <v>71</v>
      </c>
      <c r="N534">
        <v>3</v>
      </c>
      <c r="O534">
        <v>1</v>
      </c>
      <c r="P534" t="s">
        <v>44</v>
      </c>
      <c r="Q534">
        <v>2</v>
      </c>
      <c r="R534" t="s">
        <v>45</v>
      </c>
      <c r="S534" s="6">
        <v>3936</v>
      </c>
      <c r="T534">
        <v>9953</v>
      </c>
      <c r="U534">
        <v>1</v>
      </c>
      <c r="V534" t="s">
        <v>39</v>
      </c>
      <c r="W534" t="s">
        <v>40</v>
      </c>
      <c r="X534">
        <v>11</v>
      </c>
      <c r="Y534">
        <v>3</v>
      </c>
      <c r="Z534">
        <v>1</v>
      </c>
      <c r="AA534">
        <v>80</v>
      </c>
      <c r="AB534">
        <v>1</v>
      </c>
      <c r="AC534">
        <v>8</v>
      </c>
      <c r="AD534">
        <v>2</v>
      </c>
      <c r="AE534">
        <v>1</v>
      </c>
      <c r="AF534">
        <v>8</v>
      </c>
      <c r="AG534">
        <v>4</v>
      </c>
      <c r="AH534">
        <v>7</v>
      </c>
      <c r="AI534">
        <v>7</v>
      </c>
    </row>
    <row r="535" spans="1:35" x14ac:dyDescent="0.3">
      <c r="A535">
        <v>38</v>
      </c>
      <c r="B535" t="s">
        <v>40</v>
      </c>
      <c r="C535" t="s">
        <v>33</v>
      </c>
      <c r="D535">
        <v>371</v>
      </c>
      <c r="E535" t="s">
        <v>42</v>
      </c>
      <c r="F535">
        <v>2</v>
      </c>
      <c r="G535">
        <v>3</v>
      </c>
      <c r="H535" t="s">
        <v>35</v>
      </c>
      <c r="I535">
        <v>1</v>
      </c>
      <c r="J535">
        <v>24</v>
      </c>
      <c r="K535">
        <v>4</v>
      </c>
      <c r="L535" s="17" t="s">
        <v>43</v>
      </c>
      <c r="M535">
        <v>45</v>
      </c>
      <c r="N535">
        <v>3</v>
      </c>
      <c r="O535">
        <v>1</v>
      </c>
      <c r="P535" t="s">
        <v>44</v>
      </c>
      <c r="Q535">
        <v>4</v>
      </c>
      <c r="R535" t="s">
        <v>38</v>
      </c>
      <c r="S535" s="6">
        <v>3944</v>
      </c>
      <c r="T535">
        <v>4306</v>
      </c>
      <c r="U535">
        <v>5</v>
      </c>
      <c r="V535" t="s">
        <v>39</v>
      </c>
      <c r="W535" t="s">
        <v>32</v>
      </c>
      <c r="X535">
        <v>11</v>
      </c>
      <c r="Y535">
        <v>3</v>
      </c>
      <c r="Z535">
        <v>3</v>
      </c>
      <c r="AA535">
        <v>80</v>
      </c>
      <c r="AB535">
        <v>0</v>
      </c>
      <c r="AC535">
        <v>6</v>
      </c>
      <c r="AD535">
        <v>3</v>
      </c>
      <c r="AE535">
        <v>3</v>
      </c>
      <c r="AF535">
        <v>3</v>
      </c>
      <c r="AG535">
        <v>2</v>
      </c>
      <c r="AH535">
        <v>1</v>
      </c>
      <c r="AI535">
        <v>2</v>
      </c>
    </row>
    <row r="536" spans="1:35" x14ac:dyDescent="0.3">
      <c r="A536">
        <v>26</v>
      </c>
      <c r="B536" t="s">
        <v>40</v>
      </c>
      <c r="C536" t="s">
        <v>33</v>
      </c>
      <c r="D536">
        <v>192</v>
      </c>
      <c r="E536" t="s">
        <v>42</v>
      </c>
      <c r="F536">
        <v>1</v>
      </c>
      <c r="G536">
        <v>2</v>
      </c>
      <c r="H536" t="s">
        <v>48</v>
      </c>
      <c r="I536">
        <v>1</v>
      </c>
      <c r="J536">
        <v>1083</v>
      </c>
      <c r="K536">
        <v>1</v>
      </c>
      <c r="L536" s="17" t="s">
        <v>43</v>
      </c>
      <c r="M536">
        <v>59</v>
      </c>
      <c r="N536">
        <v>2</v>
      </c>
      <c r="O536">
        <v>1</v>
      </c>
      <c r="P536" t="s">
        <v>47</v>
      </c>
      <c r="Q536">
        <v>1</v>
      </c>
      <c r="R536" t="s">
        <v>45</v>
      </c>
      <c r="S536" s="6">
        <v>3955</v>
      </c>
      <c r="T536">
        <v>11141</v>
      </c>
      <c r="U536">
        <v>1</v>
      </c>
      <c r="V536" t="s">
        <v>39</v>
      </c>
      <c r="W536" t="s">
        <v>40</v>
      </c>
      <c r="X536">
        <v>16</v>
      </c>
      <c r="Y536">
        <v>3</v>
      </c>
      <c r="Z536">
        <v>1</v>
      </c>
      <c r="AA536">
        <v>80</v>
      </c>
      <c r="AB536">
        <v>2</v>
      </c>
      <c r="AC536">
        <v>6</v>
      </c>
      <c r="AD536">
        <v>2</v>
      </c>
      <c r="AE536">
        <v>3</v>
      </c>
      <c r="AF536">
        <v>5</v>
      </c>
      <c r="AG536">
        <v>3</v>
      </c>
      <c r="AH536">
        <v>1</v>
      </c>
      <c r="AI536">
        <v>3</v>
      </c>
    </row>
    <row r="537" spans="1:35" x14ac:dyDescent="0.3">
      <c r="A537">
        <v>42</v>
      </c>
      <c r="B537" t="s">
        <v>40</v>
      </c>
      <c r="C537" t="s">
        <v>33</v>
      </c>
      <c r="D537">
        <v>1142</v>
      </c>
      <c r="E537" t="s">
        <v>42</v>
      </c>
      <c r="F537">
        <v>8</v>
      </c>
      <c r="G537">
        <v>3</v>
      </c>
      <c r="H537" t="s">
        <v>35</v>
      </c>
      <c r="I537">
        <v>1</v>
      </c>
      <c r="J537">
        <v>1860</v>
      </c>
      <c r="K537">
        <v>4</v>
      </c>
      <c r="L537" s="17" t="s">
        <v>43</v>
      </c>
      <c r="M537">
        <v>81</v>
      </c>
      <c r="N537">
        <v>3</v>
      </c>
      <c r="O537">
        <v>1</v>
      </c>
      <c r="P537" t="s">
        <v>47</v>
      </c>
      <c r="Q537">
        <v>3</v>
      </c>
      <c r="R537" t="s">
        <v>38</v>
      </c>
      <c r="S537" s="6">
        <v>3968</v>
      </c>
      <c r="T537">
        <v>13624</v>
      </c>
      <c r="U537">
        <v>4</v>
      </c>
      <c r="V537" t="s">
        <v>39</v>
      </c>
      <c r="W537" t="s">
        <v>40</v>
      </c>
      <c r="X537">
        <v>13</v>
      </c>
      <c r="Y537">
        <v>3</v>
      </c>
      <c r="Z537">
        <v>4</v>
      </c>
      <c r="AA537">
        <v>80</v>
      </c>
      <c r="AB537">
        <v>0</v>
      </c>
      <c r="AC537">
        <v>8</v>
      </c>
      <c r="AD537">
        <v>3</v>
      </c>
      <c r="AE537">
        <v>3</v>
      </c>
      <c r="AF537">
        <v>0</v>
      </c>
      <c r="AG537">
        <v>0</v>
      </c>
      <c r="AH537">
        <v>0</v>
      </c>
      <c r="AI537">
        <v>0</v>
      </c>
    </row>
    <row r="538" spans="1:35" x14ac:dyDescent="0.3">
      <c r="A538">
        <v>40</v>
      </c>
      <c r="B538" t="s">
        <v>40</v>
      </c>
      <c r="C538" t="s">
        <v>52</v>
      </c>
      <c r="D538">
        <v>663</v>
      </c>
      <c r="E538" t="s">
        <v>42</v>
      </c>
      <c r="F538">
        <v>9</v>
      </c>
      <c r="G538">
        <v>4</v>
      </c>
      <c r="H538" t="s">
        <v>46</v>
      </c>
      <c r="I538">
        <v>1</v>
      </c>
      <c r="J538">
        <v>1449</v>
      </c>
      <c r="K538">
        <v>3</v>
      </c>
      <c r="L538" s="17" t="s">
        <v>43</v>
      </c>
      <c r="M538">
        <v>81</v>
      </c>
      <c r="N538">
        <v>3</v>
      </c>
      <c r="O538">
        <v>2</v>
      </c>
      <c r="P538" t="s">
        <v>47</v>
      </c>
      <c r="Q538">
        <v>3</v>
      </c>
      <c r="R538" t="s">
        <v>49</v>
      </c>
      <c r="S538" s="6">
        <v>3975</v>
      </c>
      <c r="T538">
        <v>23099</v>
      </c>
      <c r="U538">
        <v>3</v>
      </c>
      <c r="V538" t="s">
        <v>39</v>
      </c>
      <c r="W538" t="s">
        <v>40</v>
      </c>
      <c r="X538">
        <v>11</v>
      </c>
      <c r="Y538">
        <v>3</v>
      </c>
      <c r="Z538">
        <v>3</v>
      </c>
      <c r="AA538">
        <v>80</v>
      </c>
      <c r="AB538">
        <v>2</v>
      </c>
      <c r="AC538">
        <v>11</v>
      </c>
      <c r="AD538">
        <v>2</v>
      </c>
      <c r="AE538">
        <v>4</v>
      </c>
      <c r="AF538">
        <v>8</v>
      </c>
      <c r="AG538">
        <v>7</v>
      </c>
      <c r="AH538">
        <v>0</v>
      </c>
      <c r="AI538">
        <v>7</v>
      </c>
    </row>
    <row r="539" spans="1:35" x14ac:dyDescent="0.3">
      <c r="A539">
        <v>25</v>
      </c>
      <c r="B539" t="s">
        <v>40</v>
      </c>
      <c r="C539" t="s">
        <v>33</v>
      </c>
      <c r="D539">
        <v>977</v>
      </c>
      <c r="E539" t="s">
        <v>42</v>
      </c>
      <c r="F539">
        <v>2</v>
      </c>
      <c r="G539">
        <v>1</v>
      </c>
      <c r="H539" t="s">
        <v>46</v>
      </c>
      <c r="I539">
        <v>1</v>
      </c>
      <c r="J539">
        <v>1992</v>
      </c>
      <c r="K539">
        <v>4</v>
      </c>
      <c r="L539" s="17" t="s">
        <v>43</v>
      </c>
      <c r="M539">
        <v>57</v>
      </c>
      <c r="N539">
        <v>3</v>
      </c>
      <c r="O539">
        <v>1</v>
      </c>
      <c r="P539" t="s">
        <v>47</v>
      </c>
      <c r="Q539">
        <v>3</v>
      </c>
      <c r="R539" t="s">
        <v>49</v>
      </c>
      <c r="S539" s="6">
        <v>3977</v>
      </c>
      <c r="T539">
        <v>7298</v>
      </c>
      <c r="U539">
        <v>6</v>
      </c>
      <c r="V539" t="s">
        <v>39</v>
      </c>
      <c r="W539" t="s">
        <v>32</v>
      </c>
      <c r="X539">
        <v>19</v>
      </c>
      <c r="Y539">
        <v>3</v>
      </c>
      <c r="Z539">
        <v>3</v>
      </c>
      <c r="AA539">
        <v>80</v>
      </c>
      <c r="AB539">
        <v>1</v>
      </c>
      <c r="AC539">
        <v>7</v>
      </c>
      <c r="AD539">
        <v>2</v>
      </c>
      <c r="AE539">
        <v>2</v>
      </c>
      <c r="AF539">
        <v>2</v>
      </c>
      <c r="AG539">
        <v>2</v>
      </c>
      <c r="AH539">
        <v>0</v>
      </c>
      <c r="AI539">
        <v>2</v>
      </c>
    </row>
    <row r="540" spans="1:35" x14ac:dyDescent="0.3">
      <c r="A540">
        <v>31</v>
      </c>
      <c r="B540" t="s">
        <v>40</v>
      </c>
      <c r="C540" t="s">
        <v>33</v>
      </c>
      <c r="D540">
        <v>471</v>
      </c>
      <c r="E540" t="s">
        <v>42</v>
      </c>
      <c r="F540">
        <v>4</v>
      </c>
      <c r="G540">
        <v>3</v>
      </c>
      <c r="H540" t="s">
        <v>48</v>
      </c>
      <c r="I540">
        <v>1</v>
      </c>
      <c r="J540">
        <v>1916</v>
      </c>
      <c r="K540">
        <v>1</v>
      </c>
      <c r="L540" s="17" t="s">
        <v>36</v>
      </c>
      <c r="M540">
        <v>62</v>
      </c>
      <c r="N540">
        <v>4</v>
      </c>
      <c r="O540">
        <v>1</v>
      </c>
      <c r="P540" t="s">
        <v>47</v>
      </c>
      <c r="Q540">
        <v>3</v>
      </c>
      <c r="R540" t="s">
        <v>49</v>
      </c>
      <c r="S540" s="6">
        <v>3978</v>
      </c>
      <c r="T540">
        <v>16031</v>
      </c>
      <c r="U540">
        <v>8</v>
      </c>
      <c r="V540" t="s">
        <v>39</v>
      </c>
      <c r="W540" t="s">
        <v>40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4</v>
      </c>
      <c r="AD540">
        <v>0</v>
      </c>
      <c r="AE540">
        <v>2</v>
      </c>
      <c r="AF540">
        <v>2</v>
      </c>
      <c r="AG540">
        <v>2</v>
      </c>
      <c r="AH540">
        <v>2</v>
      </c>
      <c r="AI540">
        <v>2</v>
      </c>
    </row>
    <row r="541" spans="1:35" x14ac:dyDescent="0.3">
      <c r="A541">
        <v>29</v>
      </c>
      <c r="B541" t="s">
        <v>40</v>
      </c>
      <c r="C541" t="s">
        <v>33</v>
      </c>
      <c r="D541">
        <v>738</v>
      </c>
      <c r="E541" t="s">
        <v>42</v>
      </c>
      <c r="F541">
        <v>9</v>
      </c>
      <c r="G541">
        <v>5</v>
      </c>
      <c r="H541" t="s">
        <v>46</v>
      </c>
      <c r="I541">
        <v>1</v>
      </c>
      <c r="J541">
        <v>455</v>
      </c>
      <c r="K541">
        <v>2</v>
      </c>
      <c r="L541" s="17" t="s">
        <v>43</v>
      </c>
      <c r="M541">
        <v>30</v>
      </c>
      <c r="N541">
        <v>2</v>
      </c>
      <c r="O541">
        <v>1</v>
      </c>
      <c r="P541" t="s">
        <v>47</v>
      </c>
      <c r="Q541">
        <v>4</v>
      </c>
      <c r="R541" t="s">
        <v>38</v>
      </c>
      <c r="S541" s="6">
        <v>3983</v>
      </c>
      <c r="T541">
        <v>7621</v>
      </c>
      <c r="U541">
        <v>0</v>
      </c>
      <c r="V541" t="s">
        <v>39</v>
      </c>
      <c r="W541" t="s">
        <v>40</v>
      </c>
      <c r="X541">
        <v>17</v>
      </c>
      <c r="Y541">
        <v>3</v>
      </c>
      <c r="Z541">
        <v>3</v>
      </c>
      <c r="AA541">
        <v>80</v>
      </c>
      <c r="AB541">
        <v>0</v>
      </c>
      <c r="AC541">
        <v>4</v>
      </c>
      <c r="AD541">
        <v>2</v>
      </c>
      <c r="AE541">
        <v>3</v>
      </c>
      <c r="AF541">
        <v>3</v>
      </c>
      <c r="AG541">
        <v>2</v>
      </c>
      <c r="AH541">
        <v>2</v>
      </c>
      <c r="AI541">
        <v>2</v>
      </c>
    </row>
    <row r="542" spans="1:35" x14ac:dyDescent="0.3">
      <c r="A542">
        <v>34</v>
      </c>
      <c r="B542" t="s">
        <v>40</v>
      </c>
      <c r="C542" t="s">
        <v>33</v>
      </c>
      <c r="D542">
        <v>1157</v>
      </c>
      <c r="E542" t="s">
        <v>42</v>
      </c>
      <c r="F542">
        <v>5</v>
      </c>
      <c r="G542">
        <v>2</v>
      </c>
      <c r="H542" t="s">
        <v>48</v>
      </c>
      <c r="I542">
        <v>1</v>
      </c>
      <c r="J542">
        <v>1696</v>
      </c>
      <c r="K542">
        <v>2</v>
      </c>
      <c r="L542" s="17" t="s">
        <v>43</v>
      </c>
      <c r="M542">
        <v>57</v>
      </c>
      <c r="N542">
        <v>2</v>
      </c>
      <c r="O542">
        <v>2</v>
      </c>
      <c r="P542" t="s">
        <v>47</v>
      </c>
      <c r="Q542">
        <v>4</v>
      </c>
      <c r="R542" t="s">
        <v>45</v>
      </c>
      <c r="S542" s="6">
        <v>3986</v>
      </c>
      <c r="T542">
        <v>11912</v>
      </c>
      <c r="U542">
        <v>1</v>
      </c>
      <c r="V542" t="s">
        <v>39</v>
      </c>
      <c r="W542" t="s">
        <v>40</v>
      </c>
      <c r="X542">
        <v>14</v>
      </c>
      <c r="Y542">
        <v>3</v>
      </c>
      <c r="Z542">
        <v>3</v>
      </c>
      <c r="AA542">
        <v>80</v>
      </c>
      <c r="AB542">
        <v>1</v>
      </c>
      <c r="AC542">
        <v>15</v>
      </c>
      <c r="AD542">
        <v>3</v>
      </c>
      <c r="AE542">
        <v>4</v>
      </c>
      <c r="AF542">
        <v>15</v>
      </c>
      <c r="AG542">
        <v>10</v>
      </c>
      <c r="AH542">
        <v>4</v>
      </c>
      <c r="AI542">
        <v>13</v>
      </c>
    </row>
    <row r="543" spans="1:35" x14ac:dyDescent="0.3">
      <c r="A543">
        <v>23</v>
      </c>
      <c r="B543" t="s">
        <v>32</v>
      </c>
      <c r="C543" t="s">
        <v>33</v>
      </c>
      <c r="D543">
        <v>1320</v>
      </c>
      <c r="E543" t="s">
        <v>42</v>
      </c>
      <c r="F543">
        <v>8</v>
      </c>
      <c r="G543">
        <v>1</v>
      </c>
      <c r="H543" t="s">
        <v>48</v>
      </c>
      <c r="I543">
        <v>1</v>
      </c>
      <c r="J543">
        <v>1684</v>
      </c>
      <c r="K543">
        <v>4</v>
      </c>
      <c r="L543" s="17" t="s">
        <v>43</v>
      </c>
      <c r="M543">
        <v>93</v>
      </c>
      <c r="N543">
        <v>2</v>
      </c>
      <c r="O543">
        <v>1</v>
      </c>
      <c r="P543" t="s">
        <v>47</v>
      </c>
      <c r="Q543">
        <v>3</v>
      </c>
      <c r="R543" t="s">
        <v>38</v>
      </c>
      <c r="S543" s="6">
        <v>3989</v>
      </c>
      <c r="T543">
        <v>20586</v>
      </c>
      <c r="U543">
        <v>1</v>
      </c>
      <c r="V543" t="s">
        <v>39</v>
      </c>
      <c r="W543" t="s">
        <v>32</v>
      </c>
      <c r="X543">
        <v>11</v>
      </c>
      <c r="Y543">
        <v>3</v>
      </c>
      <c r="Z543">
        <v>1</v>
      </c>
      <c r="AA543">
        <v>80</v>
      </c>
      <c r="AB543">
        <v>0</v>
      </c>
      <c r="AC543">
        <v>5</v>
      </c>
      <c r="AD543">
        <v>2</v>
      </c>
      <c r="AE543">
        <v>3</v>
      </c>
      <c r="AF543">
        <v>5</v>
      </c>
      <c r="AG543">
        <v>4</v>
      </c>
      <c r="AH543">
        <v>1</v>
      </c>
      <c r="AI543">
        <v>2</v>
      </c>
    </row>
    <row r="544" spans="1:35" x14ac:dyDescent="0.3">
      <c r="A544">
        <v>25</v>
      </c>
      <c r="B544" t="s">
        <v>40</v>
      </c>
      <c r="C544" t="s">
        <v>52</v>
      </c>
      <c r="D544">
        <v>675</v>
      </c>
      <c r="E544" t="s">
        <v>42</v>
      </c>
      <c r="F544">
        <v>5</v>
      </c>
      <c r="G544">
        <v>2</v>
      </c>
      <c r="H544" t="s">
        <v>35</v>
      </c>
      <c r="I544">
        <v>1</v>
      </c>
      <c r="J544">
        <v>369</v>
      </c>
      <c r="K544">
        <v>2</v>
      </c>
      <c r="L544" s="17" t="s">
        <v>43</v>
      </c>
      <c r="M544">
        <v>85</v>
      </c>
      <c r="N544">
        <v>4</v>
      </c>
      <c r="O544">
        <v>2</v>
      </c>
      <c r="P544" t="s">
        <v>51</v>
      </c>
      <c r="Q544">
        <v>1</v>
      </c>
      <c r="R544" t="s">
        <v>49</v>
      </c>
      <c r="S544" s="6">
        <v>4000</v>
      </c>
      <c r="T544">
        <v>18384</v>
      </c>
      <c r="U544">
        <v>1</v>
      </c>
      <c r="V544" t="s">
        <v>39</v>
      </c>
      <c r="W544" t="s">
        <v>40</v>
      </c>
      <c r="X544">
        <v>12</v>
      </c>
      <c r="Y544">
        <v>3</v>
      </c>
      <c r="Z544">
        <v>4</v>
      </c>
      <c r="AA544">
        <v>80</v>
      </c>
      <c r="AB544">
        <v>2</v>
      </c>
      <c r="AC544">
        <v>6</v>
      </c>
      <c r="AD544">
        <v>2</v>
      </c>
      <c r="AE544">
        <v>3</v>
      </c>
      <c r="AF544">
        <v>6</v>
      </c>
      <c r="AG544">
        <v>3</v>
      </c>
      <c r="AH544">
        <v>1</v>
      </c>
      <c r="AI544">
        <v>5</v>
      </c>
    </row>
    <row r="545" spans="1:35" x14ac:dyDescent="0.3">
      <c r="A545">
        <v>34</v>
      </c>
      <c r="B545" t="s">
        <v>40</v>
      </c>
      <c r="C545" t="s">
        <v>52</v>
      </c>
      <c r="D545">
        <v>1375</v>
      </c>
      <c r="E545" t="s">
        <v>34</v>
      </c>
      <c r="F545">
        <v>10</v>
      </c>
      <c r="G545">
        <v>3</v>
      </c>
      <c r="H545" t="s">
        <v>35</v>
      </c>
      <c r="I545">
        <v>1</v>
      </c>
      <c r="J545">
        <v>1774</v>
      </c>
      <c r="K545">
        <v>4</v>
      </c>
      <c r="L545" s="17" t="s">
        <v>43</v>
      </c>
      <c r="M545">
        <v>87</v>
      </c>
      <c r="N545">
        <v>3</v>
      </c>
      <c r="O545">
        <v>2</v>
      </c>
      <c r="P545" t="s">
        <v>37</v>
      </c>
      <c r="Q545">
        <v>3</v>
      </c>
      <c r="R545" t="s">
        <v>49</v>
      </c>
      <c r="S545" s="6">
        <v>4001</v>
      </c>
      <c r="T545">
        <v>12313</v>
      </c>
      <c r="U545">
        <v>1</v>
      </c>
      <c r="V545" t="s">
        <v>39</v>
      </c>
      <c r="W545" t="s">
        <v>32</v>
      </c>
      <c r="X545">
        <v>14</v>
      </c>
      <c r="Y545">
        <v>3</v>
      </c>
      <c r="Z545">
        <v>3</v>
      </c>
      <c r="AA545">
        <v>80</v>
      </c>
      <c r="AB545">
        <v>1</v>
      </c>
      <c r="AC545">
        <v>15</v>
      </c>
      <c r="AD545">
        <v>3</v>
      </c>
      <c r="AE545">
        <v>3</v>
      </c>
      <c r="AF545">
        <v>15</v>
      </c>
      <c r="AG545">
        <v>14</v>
      </c>
      <c r="AH545">
        <v>0</v>
      </c>
      <c r="AI545">
        <v>7</v>
      </c>
    </row>
    <row r="546" spans="1:35" x14ac:dyDescent="0.3">
      <c r="A546">
        <v>24</v>
      </c>
      <c r="B546" t="s">
        <v>40</v>
      </c>
      <c r="C546" t="s">
        <v>52</v>
      </c>
      <c r="D546">
        <v>673</v>
      </c>
      <c r="E546" t="s">
        <v>42</v>
      </c>
      <c r="F546">
        <v>11</v>
      </c>
      <c r="G546">
        <v>2</v>
      </c>
      <c r="H546" t="s">
        <v>46</v>
      </c>
      <c r="I546">
        <v>1</v>
      </c>
      <c r="J546">
        <v>26</v>
      </c>
      <c r="K546">
        <v>1</v>
      </c>
      <c r="L546" s="17" t="s">
        <v>36</v>
      </c>
      <c r="M546">
        <v>96</v>
      </c>
      <c r="N546">
        <v>4</v>
      </c>
      <c r="O546">
        <v>2</v>
      </c>
      <c r="P546" t="s">
        <v>50</v>
      </c>
      <c r="Q546">
        <v>3</v>
      </c>
      <c r="R546" t="s">
        <v>49</v>
      </c>
      <c r="S546" s="6">
        <v>4011</v>
      </c>
      <c r="T546">
        <v>8232</v>
      </c>
      <c r="U546">
        <v>0</v>
      </c>
      <c r="V546" t="s">
        <v>39</v>
      </c>
      <c r="W546" t="s">
        <v>40</v>
      </c>
      <c r="X546">
        <v>18</v>
      </c>
      <c r="Y546">
        <v>3</v>
      </c>
      <c r="Z546">
        <v>4</v>
      </c>
      <c r="AA546">
        <v>80</v>
      </c>
      <c r="AB546">
        <v>1</v>
      </c>
      <c r="AC546">
        <v>5</v>
      </c>
      <c r="AD546">
        <v>5</v>
      </c>
      <c r="AE546">
        <v>2</v>
      </c>
      <c r="AF546">
        <v>4</v>
      </c>
      <c r="AG546">
        <v>2</v>
      </c>
      <c r="AH546">
        <v>1</v>
      </c>
      <c r="AI546">
        <v>3</v>
      </c>
    </row>
    <row r="547" spans="1:35" x14ac:dyDescent="0.3">
      <c r="A547">
        <v>30</v>
      </c>
      <c r="B547" t="s">
        <v>40</v>
      </c>
      <c r="C547" t="s">
        <v>41</v>
      </c>
      <c r="D547">
        <v>721</v>
      </c>
      <c r="E547" t="s">
        <v>42</v>
      </c>
      <c r="F547">
        <v>1</v>
      </c>
      <c r="G547">
        <v>2</v>
      </c>
      <c r="H547" t="s">
        <v>48</v>
      </c>
      <c r="I547">
        <v>1</v>
      </c>
      <c r="J547">
        <v>57</v>
      </c>
      <c r="K547">
        <v>3</v>
      </c>
      <c r="L547" s="17" t="s">
        <v>36</v>
      </c>
      <c r="M547">
        <v>58</v>
      </c>
      <c r="N547">
        <v>3</v>
      </c>
      <c r="O547">
        <v>2</v>
      </c>
      <c r="P547" t="s">
        <v>47</v>
      </c>
      <c r="Q547">
        <v>4</v>
      </c>
      <c r="R547" t="s">
        <v>38</v>
      </c>
      <c r="S547" s="6">
        <v>4011</v>
      </c>
      <c r="T547">
        <v>10781</v>
      </c>
      <c r="U547">
        <v>1</v>
      </c>
      <c r="V547" t="s">
        <v>39</v>
      </c>
      <c r="W547" t="s">
        <v>40</v>
      </c>
      <c r="X547">
        <v>23</v>
      </c>
      <c r="Y547">
        <v>4</v>
      </c>
      <c r="Z547">
        <v>4</v>
      </c>
      <c r="AA547">
        <v>80</v>
      </c>
      <c r="AB547">
        <v>0</v>
      </c>
      <c r="AC547">
        <v>12</v>
      </c>
      <c r="AD547">
        <v>2</v>
      </c>
      <c r="AE547">
        <v>3</v>
      </c>
      <c r="AF547">
        <v>12</v>
      </c>
      <c r="AG547">
        <v>8</v>
      </c>
      <c r="AH547">
        <v>3</v>
      </c>
      <c r="AI547">
        <v>7</v>
      </c>
    </row>
    <row r="548" spans="1:35" x14ac:dyDescent="0.3">
      <c r="A548">
        <v>35</v>
      </c>
      <c r="B548" t="s">
        <v>40</v>
      </c>
      <c r="C548" t="s">
        <v>33</v>
      </c>
      <c r="D548">
        <v>1142</v>
      </c>
      <c r="E548" t="s">
        <v>42</v>
      </c>
      <c r="F548">
        <v>23</v>
      </c>
      <c r="G548">
        <v>4</v>
      </c>
      <c r="H548" t="s">
        <v>48</v>
      </c>
      <c r="I548">
        <v>1</v>
      </c>
      <c r="J548">
        <v>75</v>
      </c>
      <c r="K548">
        <v>3</v>
      </c>
      <c r="L548" s="17" t="s">
        <v>36</v>
      </c>
      <c r="M548">
        <v>30</v>
      </c>
      <c r="N548">
        <v>3</v>
      </c>
      <c r="O548">
        <v>1</v>
      </c>
      <c r="P548" t="s">
        <v>47</v>
      </c>
      <c r="Q548">
        <v>1</v>
      </c>
      <c r="R548" t="s">
        <v>45</v>
      </c>
      <c r="S548" s="6">
        <v>4014</v>
      </c>
      <c r="T548">
        <v>16002</v>
      </c>
      <c r="U548">
        <v>3</v>
      </c>
      <c r="V548" t="s">
        <v>39</v>
      </c>
      <c r="W548" t="s">
        <v>32</v>
      </c>
      <c r="X548">
        <v>15</v>
      </c>
      <c r="Y548">
        <v>3</v>
      </c>
      <c r="Z548">
        <v>3</v>
      </c>
      <c r="AA548">
        <v>80</v>
      </c>
      <c r="AB548">
        <v>1</v>
      </c>
      <c r="AC548">
        <v>4</v>
      </c>
      <c r="AD548">
        <v>3</v>
      </c>
      <c r="AE548">
        <v>3</v>
      </c>
      <c r="AF548">
        <v>2</v>
      </c>
      <c r="AG548">
        <v>2</v>
      </c>
      <c r="AH548">
        <v>2</v>
      </c>
      <c r="AI548">
        <v>2</v>
      </c>
    </row>
    <row r="549" spans="1:35" x14ac:dyDescent="0.3">
      <c r="A549">
        <v>35</v>
      </c>
      <c r="B549" t="s">
        <v>40</v>
      </c>
      <c r="C549" t="s">
        <v>33</v>
      </c>
      <c r="D549">
        <v>1137</v>
      </c>
      <c r="E549" t="s">
        <v>42</v>
      </c>
      <c r="F549">
        <v>21</v>
      </c>
      <c r="G549">
        <v>1</v>
      </c>
      <c r="H549" t="s">
        <v>35</v>
      </c>
      <c r="I549">
        <v>1</v>
      </c>
      <c r="J549">
        <v>942</v>
      </c>
      <c r="K549">
        <v>4</v>
      </c>
      <c r="L549" s="17" t="s">
        <v>36</v>
      </c>
      <c r="M549">
        <v>51</v>
      </c>
      <c r="N549">
        <v>3</v>
      </c>
      <c r="O549">
        <v>2</v>
      </c>
      <c r="P549" t="s">
        <v>51</v>
      </c>
      <c r="Q549">
        <v>4</v>
      </c>
      <c r="R549" t="s">
        <v>45</v>
      </c>
      <c r="S549" s="6">
        <v>4014</v>
      </c>
      <c r="T549">
        <v>19170</v>
      </c>
      <c r="U549">
        <v>1</v>
      </c>
      <c r="V549" t="s">
        <v>39</v>
      </c>
      <c r="W549" t="s">
        <v>32</v>
      </c>
      <c r="X549">
        <v>25</v>
      </c>
      <c r="Y549">
        <v>4</v>
      </c>
      <c r="Z549">
        <v>4</v>
      </c>
      <c r="AA549">
        <v>80</v>
      </c>
      <c r="AB549">
        <v>1</v>
      </c>
      <c r="AC549">
        <v>10</v>
      </c>
      <c r="AD549">
        <v>2</v>
      </c>
      <c r="AE549">
        <v>1</v>
      </c>
      <c r="AF549">
        <v>10</v>
      </c>
      <c r="AG549">
        <v>6</v>
      </c>
      <c r="AH549">
        <v>0</v>
      </c>
      <c r="AI549">
        <v>7</v>
      </c>
    </row>
    <row r="550" spans="1:35" x14ac:dyDescent="0.3">
      <c r="A550">
        <v>32</v>
      </c>
      <c r="B550" t="s">
        <v>40</v>
      </c>
      <c r="C550" t="s">
        <v>52</v>
      </c>
      <c r="D550">
        <v>1109</v>
      </c>
      <c r="E550" t="s">
        <v>42</v>
      </c>
      <c r="F550">
        <v>29</v>
      </c>
      <c r="G550">
        <v>4</v>
      </c>
      <c r="H550" t="s">
        <v>48</v>
      </c>
      <c r="I550">
        <v>1</v>
      </c>
      <c r="J550">
        <v>1046</v>
      </c>
      <c r="K550">
        <v>4</v>
      </c>
      <c r="L550" s="17" t="s">
        <v>36</v>
      </c>
      <c r="M550">
        <v>69</v>
      </c>
      <c r="N550">
        <v>3</v>
      </c>
      <c r="O550">
        <v>1</v>
      </c>
      <c r="P550" t="s">
        <v>47</v>
      </c>
      <c r="Q550">
        <v>3</v>
      </c>
      <c r="R550" t="s">
        <v>38</v>
      </c>
      <c r="S550" s="6">
        <v>4025</v>
      </c>
      <c r="T550">
        <v>11135</v>
      </c>
      <c r="U550">
        <v>9</v>
      </c>
      <c r="V550" t="s">
        <v>39</v>
      </c>
      <c r="W550" t="s">
        <v>40</v>
      </c>
      <c r="X550">
        <v>12</v>
      </c>
      <c r="Y550">
        <v>3</v>
      </c>
      <c r="Z550">
        <v>2</v>
      </c>
      <c r="AA550">
        <v>80</v>
      </c>
      <c r="AB550">
        <v>0</v>
      </c>
      <c r="AC550">
        <v>10</v>
      </c>
      <c r="AD550">
        <v>2</v>
      </c>
      <c r="AE550">
        <v>3</v>
      </c>
      <c r="AF550">
        <v>8</v>
      </c>
      <c r="AG550">
        <v>7</v>
      </c>
      <c r="AH550">
        <v>7</v>
      </c>
      <c r="AI550">
        <v>7</v>
      </c>
    </row>
    <row r="551" spans="1:35" x14ac:dyDescent="0.3">
      <c r="A551">
        <v>29</v>
      </c>
      <c r="B551" t="s">
        <v>40</v>
      </c>
      <c r="C551" t="s">
        <v>33</v>
      </c>
      <c r="D551">
        <v>1378</v>
      </c>
      <c r="E551" t="s">
        <v>42</v>
      </c>
      <c r="F551">
        <v>13</v>
      </c>
      <c r="G551">
        <v>2</v>
      </c>
      <c r="H551" t="s">
        <v>46</v>
      </c>
      <c r="I551">
        <v>1</v>
      </c>
      <c r="J551">
        <v>2053</v>
      </c>
      <c r="K551">
        <v>4</v>
      </c>
      <c r="L551" s="17" t="s">
        <v>43</v>
      </c>
      <c r="M551">
        <v>46</v>
      </c>
      <c r="N551">
        <v>2</v>
      </c>
      <c r="O551">
        <v>2</v>
      </c>
      <c r="P551" t="s">
        <v>47</v>
      </c>
      <c r="Q551">
        <v>2</v>
      </c>
      <c r="R551" t="s">
        <v>45</v>
      </c>
      <c r="S551" s="6">
        <v>4025</v>
      </c>
      <c r="T551">
        <v>23679</v>
      </c>
      <c r="U551">
        <v>4</v>
      </c>
      <c r="V551" t="s">
        <v>39</v>
      </c>
      <c r="W551" t="s">
        <v>32</v>
      </c>
      <c r="X551">
        <v>13</v>
      </c>
      <c r="Y551">
        <v>3</v>
      </c>
      <c r="Z551">
        <v>1</v>
      </c>
      <c r="AA551">
        <v>80</v>
      </c>
      <c r="AB551">
        <v>1</v>
      </c>
      <c r="AC551">
        <v>10</v>
      </c>
      <c r="AD551">
        <v>2</v>
      </c>
      <c r="AE551">
        <v>3</v>
      </c>
      <c r="AF551">
        <v>4</v>
      </c>
      <c r="AG551">
        <v>3</v>
      </c>
      <c r="AH551">
        <v>0</v>
      </c>
      <c r="AI551">
        <v>3</v>
      </c>
    </row>
    <row r="552" spans="1:35" x14ac:dyDescent="0.3">
      <c r="A552">
        <v>38</v>
      </c>
      <c r="B552" t="s">
        <v>40</v>
      </c>
      <c r="C552" t="s">
        <v>33</v>
      </c>
      <c r="D552">
        <v>243</v>
      </c>
      <c r="E552" t="s">
        <v>34</v>
      </c>
      <c r="F552">
        <v>7</v>
      </c>
      <c r="G552">
        <v>4</v>
      </c>
      <c r="H552" t="s">
        <v>56</v>
      </c>
      <c r="I552">
        <v>1</v>
      </c>
      <c r="J552">
        <v>709</v>
      </c>
      <c r="K552">
        <v>4</v>
      </c>
      <c r="L552" s="17" t="s">
        <v>36</v>
      </c>
      <c r="M552">
        <v>46</v>
      </c>
      <c r="N552">
        <v>2</v>
      </c>
      <c r="O552">
        <v>2</v>
      </c>
      <c r="P552" t="s">
        <v>37</v>
      </c>
      <c r="Q552">
        <v>4</v>
      </c>
      <c r="R552" t="s">
        <v>38</v>
      </c>
      <c r="S552" s="6">
        <v>4028</v>
      </c>
      <c r="T552">
        <v>7791</v>
      </c>
      <c r="U552">
        <v>0</v>
      </c>
      <c r="V552" t="s">
        <v>39</v>
      </c>
      <c r="W552" t="s">
        <v>40</v>
      </c>
      <c r="X552">
        <v>20</v>
      </c>
      <c r="Y552">
        <v>4</v>
      </c>
      <c r="Z552">
        <v>1</v>
      </c>
      <c r="AA552">
        <v>80</v>
      </c>
      <c r="AB552">
        <v>0</v>
      </c>
      <c r="AC552">
        <v>8</v>
      </c>
      <c r="AD552">
        <v>2</v>
      </c>
      <c r="AE552">
        <v>3</v>
      </c>
      <c r="AF552">
        <v>7</v>
      </c>
      <c r="AG552">
        <v>7</v>
      </c>
      <c r="AH552">
        <v>0</v>
      </c>
      <c r="AI552">
        <v>5</v>
      </c>
    </row>
    <row r="553" spans="1:35" x14ac:dyDescent="0.3">
      <c r="A553">
        <v>25</v>
      </c>
      <c r="B553" t="s">
        <v>32</v>
      </c>
      <c r="C553" t="s">
        <v>33</v>
      </c>
      <c r="D553">
        <v>688</v>
      </c>
      <c r="E553" t="s">
        <v>42</v>
      </c>
      <c r="F553">
        <v>3</v>
      </c>
      <c r="G553">
        <v>3</v>
      </c>
      <c r="H553" t="s">
        <v>48</v>
      </c>
      <c r="I553">
        <v>1</v>
      </c>
      <c r="J553">
        <v>538</v>
      </c>
      <c r="K553">
        <v>1</v>
      </c>
      <c r="L553" s="17" t="s">
        <v>43</v>
      </c>
      <c r="M553">
        <v>91</v>
      </c>
      <c r="N553">
        <v>3</v>
      </c>
      <c r="O553">
        <v>1</v>
      </c>
      <c r="P553" t="s">
        <v>47</v>
      </c>
      <c r="Q553">
        <v>1</v>
      </c>
      <c r="R553" t="s">
        <v>45</v>
      </c>
      <c r="S553" s="6">
        <v>4031</v>
      </c>
      <c r="T553">
        <v>9396</v>
      </c>
      <c r="U553">
        <v>5</v>
      </c>
      <c r="V553" t="s">
        <v>39</v>
      </c>
      <c r="W553" t="s">
        <v>40</v>
      </c>
      <c r="X553">
        <v>13</v>
      </c>
      <c r="Y553">
        <v>3</v>
      </c>
      <c r="Z553">
        <v>3</v>
      </c>
      <c r="AA553">
        <v>80</v>
      </c>
      <c r="AB553">
        <v>1</v>
      </c>
      <c r="AC553">
        <v>6</v>
      </c>
      <c r="AD553">
        <v>5</v>
      </c>
      <c r="AE553">
        <v>3</v>
      </c>
      <c r="AF553">
        <v>2</v>
      </c>
      <c r="AG553">
        <v>2</v>
      </c>
      <c r="AH553">
        <v>0</v>
      </c>
      <c r="AI553">
        <v>2</v>
      </c>
    </row>
    <row r="554" spans="1:35" x14ac:dyDescent="0.3">
      <c r="A554">
        <v>34</v>
      </c>
      <c r="B554" t="s">
        <v>40</v>
      </c>
      <c r="C554" t="s">
        <v>41</v>
      </c>
      <c r="D554">
        <v>1003</v>
      </c>
      <c r="E554" t="s">
        <v>42</v>
      </c>
      <c r="F554">
        <v>2</v>
      </c>
      <c r="G554">
        <v>2</v>
      </c>
      <c r="H554" t="s">
        <v>35</v>
      </c>
      <c r="I554">
        <v>1</v>
      </c>
      <c r="J554">
        <v>1140</v>
      </c>
      <c r="K554">
        <v>4</v>
      </c>
      <c r="L554" s="17" t="s">
        <v>43</v>
      </c>
      <c r="M554">
        <v>95</v>
      </c>
      <c r="N554">
        <v>3</v>
      </c>
      <c r="O554">
        <v>2</v>
      </c>
      <c r="P554" t="s">
        <v>50</v>
      </c>
      <c r="Q554">
        <v>3</v>
      </c>
      <c r="R554" t="s">
        <v>38</v>
      </c>
      <c r="S554" s="6">
        <v>4033</v>
      </c>
      <c r="T554">
        <v>15834</v>
      </c>
      <c r="U554">
        <v>2</v>
      </c>
      <c r="V554" t="s">
        <v>39</v>
      </c>
      <c r="W554" t="s">
        <v>40</v>
      </c>
      <c r="X554">
        <v>11</v>
      </c>
      <c r="Y554">
        <v>3</v>
      </c>
      <c r="Z554">
        <v>4</v>
      </c>
      <c r="AA554">
        <v>80</v>
      </c>
      <c r="AB554">
        <v>0</v>
      </c>
      <c r="AC554">
        <v>5</v>
      </c>
      <c r="AD554">
        <v>3</v>
      </c>
      <c r="AE554">
        <v>2</v>
      </c>
      <c r="AF554">
        <v>3</v>
      </c>
      <c r="AG554">
        <v>2</v>
      </c>
      <c r="AH554">
        <v>0</v>
      </c>
      <c r="AI554">
        <v>2</v>
      </c>
    </row>
    <row r="555" spans="1:35" x14ac:dyDescent="0.3">
      <c r="A555">
        <v>55</v>
      </c>
      <c r="B555" t="s">
        <v>40</v>
      </c>
      <c r="C555" t="s">
        <v>33</v>
      </c>
      <c r="D555">
        <v>1229</v>
      </c>
      <c r="E555" t="s">
        <v>42</v>
      </c>
      <c r="F555">
        <v>4</v>
      </c>
      <c r="G555">
        <v>4</v>
      </c>
      <c r="H555" t="s">
        <v>35</v>
      </c>
      <c r="I555">
        <v>1</v>
      </c>
      <c r="J555">
        <v>1501</v>
      </c>
      <c r="K555">
        <v>4</v>
      </c>
      <c r="L555" s="17" t="s">
        <v>43</v>
      </c>
      <c r="M555">
        <v>30</v>
      </c>
      <c r="N555">
        <v>3</v>
      </c>
      <c r="O555">
        <v>2</v>
      </c>
      <c r="P555" t="s">
        <v>51</v>
      </c>
      <c r="Q555">
        <v>3</v>
      </c>
      <c r="R555" t="s">
        <v>45</v>
      </c>
      <c r="S555" s="6">
        <v>4035</v>
      </c>
      <c r="T555">
        <v>16143</v>
      </c>
      <c r="U555">
        <v>0</v>
      </c>
      <c r="V555" t="s">
        <v>39</v>
      </c>
      <c r="W555" t="s">
        <v>32</v>
      </c>
      <c r="X555">
        <v>16</v>
      </c>
      <c r="Y555">
        <v>3</v>
      </c>
      <c r="Z555">
        <v>2</v>
      </c>
      <c r="AA555">
        <v>80</v>
      </c>
      <c r="AB555">
        <v>0</v>
      </c>
      <c r="AC555">
        <v>4</v>
      </c>
      <c r="AD555">
        <v>2</v>
      </c>
      <c r="AE555">
        <v>3</v>
      </c>
      <c r="AF555">
        <v>3</v>
      </c>
      <c r="AG555">
        <v>2</v>
      </c>
      <c r="AH555">
        <v>1</v>
      </c>
      <c r="AI555">
        <v>2</v>
      </c>
    </row>
    <row r="556" spans="1:35" x14ac:dyDescent="0.3">
      <c r="A556">
        <v>33</v>
      </c>
      <c r="B556" t="s">
        <v>40</v>
      </c>
      <c r="C556" t="s">
        <v>33</v>
      </c>
      <c r="D556">
        <v>586</v>
      </c>
      <c r="E556" t="s">
        <v>34</v>
      </c>
      <c r="F556">
        <v>1</v>
      </c>
      <c r="G556">
        <v>3</v>
      </c>
      <c r="H556" t="s">
        <v>48</v>
      </c>
      <c r="I556">
        <v>1</v>
      </c>
      <c r="J556">
        <v>855</v>
      </c>
      <c r="K556">
        <v>1</v>
      </c>
      <c r="L556" s="17" t="s">
        <v>43</v>
      </c>
      <c r="M556">
        <v>48</v>
      </c>
      <c r="N556">
        <v>4</v>
      </c>
      <c r="O556">
        <v>2</v>
      </c>
      <c r="P556" t="s">
        <v>37</v>
      </c>
      <c r="Q556">
        <v>1</v>
      </c>
      <c r="R556" t="s">
        <v>49</v>
      </c>
      <c r="S556" s="6">
        <v>4037</v>
      </c>
      <c r="T556">
        <v>21816</v>
      </c>
      <c r="U556">
        <v>1</v>
      </c>
      <c r="V556" t="s">
        <v>39</v>
      </c>
      <c r="W556" t="s">
        <v>40</v>
      </c>
      <c r="X556">
        <v>22</v>
      </c>
      <c r="Y556">
        <v>4</v>
      </c>
      <c r="Z556">
        <v>1</v>
      </c>
      <c r="AA556">
        <v>80</v>
      </c>
      <c r="AB556">
        <v>1</v>
      </c>
      <c r="AC556">
        <v>9</v>
      </c>
      <c r="AD556">
        <v>5</v>
      </c>
      <c r="AE556">
        <v>3</v>
      </c>
      <c r="AF556">
        <v>9</v>
      </c>
      <c r="AG556">
        <v>8</v>
      </c>
      <c r="AH556">
        <v>0</v>
      </c>
      <c r="AI556">
        <v>8</v>
      </c>
    </row>
    <row r="557" spans="1:35" x14ac:dyDescent="0.3">
      <c r="A557">
        <v>48</v>
      </c>
      <c r="B557" t="s">
        <v>40</v>
      </c>
      <c r="C557" t="s">
        <v>33</v>
      </c>
      <c r="D557">
        <v>163</v>
      </c>
      <c r="E557" t="s">
        <v>34</v>
      </c>
      <c r="F557">
        <v>2</v>
      </c>
      <c r="G557">
        <v>5</v>
      </c>
      <c r="H557" t="s">
        <v>56</v>
      </c>
      <c r="I557">
        <v>1</v>
      </c>
      <c r="J557">
        <v>595</v>
      </c>
      <c r="K557">
        <v>2</v>
      </c>
      <c r="L557" s="17" t="s">
        <v>36</v>
      </c>
      <c r="M557">
        <v>37</v>
      </c>
      <c r="N557">
        <v>3</v>
      </c>
      <c r="O557">
        <v>2</v>
      </c>
      <c r="P557" t="s">
        <v>37</v>
      </c>
      <c r="Q557">
        <v>4</v>
      </c>
      <c r="R557" t="s">
        <v>45</v>
      </c>
      <c r="S557" s="6">
        <v>4051</v>
      </c>
      <c r="T557">
        <v>19658</v>
      </c>
      <c r="U557">
        <v>2</v>
      </c>
      <c r="V557" t="s">
        <v>39</v>
      </c>
      <c r="W557" t="s">
        <v>40</v>
      </c>
      <c r="X557">
        <v>14</v>
      </c>
      <c r="Y557">
        <v>3</v>
      </c>
      <c r="Z557">
        <v>1</v>
      </c>
      <c r="AA557">
        <v>80</v>
      </c>
      <c r="AB557">
        <v>1</v>
      </c>
      <c r="AC557">
        <v>14</v>
      </c>
      <c r="AD557">
        <v>2</v>
      </c>
      <c r="AE557">
        <v>3</v>
      </c>
      <c r="AF557">
        <v>9</v>
      </c>
      <c r="AG557">
        <v>7</v>
      </c>
      <c r="AH557">
        <v>6</v>
      </c>
      <c r="AI557">
        <v>7</v>
      </c>
    </row>
    <row r="558" spans="1:35" x14ac:dyDescent="0.3">
      <c r="A558">
        <v>27</v>
      </c>
      <c r="B558" t="s">
        <v>40</v>
      </c>
      <c r="C558" t="s">
        <v>33</v>
      </c>
      <c r="D558">
        <v>1302</v>
      </c>
      <c r="E558" t="s">
        <v>42</v>
      </c>
      <c r="F558">
        <v>19</v>
      </c>
      <c r="G558">
        <v>3</v>
      </c>
      <c r="H558" t="s">
        <v>46</v>
      </c>
      <c r="I558">
        <v>1</v>
      </c>
      <c r="J558">
        <v>1619</v>
      </c>
      <c r="K558">
        <v>4</v>
      </c>
      <c r="L558" s="17" t="s">
        <v>43</v>
      </c>
      <c r="M558">
        <v>67</v>
      </c>
      <c r="N558">
        <v>2</v>
      </c>
      <c r="O558">
        <v>1</v>
      </c>
      <c r="P558" t="s">
        <v>47</v>
      </c>
      <c r="Q558">
        <v>1</v>
      </c>
      <c r="R558" t="s">
        <v>49</v>
      </c>
      <c r="S558" s="6">
        <v>4066</v>
      </c>
      <c r="T558">
        <v>16290</v>
      </c>
      <c r="U558">
        <v>1</v>
      </c>
      <c r="V558" t="s">
        <v>39</v>
      </c>
      <c r="W558" t="s">
        <v>40</v>
      </c>
      <c r="X558">
        <v>11</v>
      </c>
      <c r="Y558">
        <v>3</v>
      </c>
      <c r="Z558">
        <v>1</v>
      </c>
      <c r="AA558">
        <v>80</v>
      </c>
      <c r="AB558">
        <v>2</v>
      </c>
      <c r="AC558">
        <v>7</v>
      </c>
      <c r="AD558">
        <v>3</v>
      </c>
      <c r="AE558">
        <v>3</v>
      </c>
      <c r="AF558">
        <v>7</v>
      </c>
      <c r="AG558">
        <v>7</v>
      </c>
      <c r="AH558">
        <v>0</v>
      </c>
      <c r="AI558">
        <v>7</v>
      </c>
    </row>
    <row r="559" spans="1:35" x14ac:dyDescent="0.3">
      <c r="A559">
        <v>40</v>
      </c>
      <c r="B559" t="s">
        <v>40</v>
      </c>
      <c r="C559" t="s">
        <v>52</v>
      </c>
      <c r="D559">
        <v>1142</v>
      </c>
      <c r="E559" t="s">
        <v>42</v>
      </c>
      <c r="F559">
        <v>8</v>
      </c>
      <c r="G559">
        <v>2</v>
      </c>
      <c r="H559" t="s">
        <v>35</v>
      </c>
      <c r="I559">
        <v>1</v>
      </c>
      <c r="J559">
        <v>1552</v>
      </c>
      <c r="K559">
        <v>4</v>
      </c>
      <c r="L559" s="17" t="s">
        <v>43</v>
      </c>
      <c r="M559">
        <v>72</v>
      </c>
      <c r="N559">
        <v>3</v>
      </c>
      <c r="O559">
        <v>2</v>
      </c>
      <c r="P559" t="s">
        <v>51</v>
      </c>
      <c r="Q559">
        <v>4</v>
      </c>
      <c r="R559" t="s">
        <v>49</v>
      </c>
      <c r="S559" s="6">
        <v>4069</v>
      </c>
      <c r="T559">
        <v>8841</v>
      </c>
      <c r="U559">
        <v>3</v>
      </c>
      <c r="V559" t="s">
        <v>39</v>
      </c>
      <c r="W559" t="s">
        <v>32</v>
      </c>
      <c r="X559">
        <v>18</v>
      </c>
      <c r="Y559">
        <v>3</v>
      </c>
      <c r="Z559">
        <v>3</v>
      </c>
      <c r="AA559">
        <v>80</v>
      </c>
      <c r="AB559">
        <v>0</v>
      </c>
      <c r="AC559">
        <v>8</v>
      </c>
      <c r="AD559">
        <v>2</v>
      </c>
      <c r="AE559">
        <v>3</v>
      </c>
      <c r="AF559">
        <v>2</v>
      </c>
      <c r="AG559">
        <v>2</v>
      </c>
      <c r="AH559">
        <v>2</v>
      </c>
      <c r="AI559">
        <v>2</v>
      </c>
    </row>
    <row r="560" spans="1:35" x14ac:dyDescent="0.3">
      <c r="A560">
        <v>37</v>
      </c>
      <c r="B560" t="s">
        <v>40</v>
      </c>
      <c r="C560" t="s">
        <v>33</v>
      </c>
      <c r="D560">
        <v>1239</v>
      </c>
      <c r="E560" t="s">
        <v>58</v>
      </c>
      <c r="F560">
        <v>8</v>
      </c>
      <c r="G560">
        <v>2</v>
      </c>
      <c r="H560" t="s">
        <v>46</v>
      </c>
      <c r="I560">
        <v>1</v>
      </c>
      <c r="J560">
        <v>1794</v>
      </c>
      <c r="K560">
        <v>3</v>
      </c>
      <c r="L560" s="17" t="s">
        <v>43</v>
      </c>
      <c r="M560">
        <v>89</v>
      </c>
      <c r="N560">
        <v>3</v>
      </c>
      <c r="O560">
        <v>2</v>
      </c>
      <c r="P560" t="s">
        <v>58</v>
      </c>
      <c r="Q560">
        <v>2</v>
      </c>
      <c r="R560" t="s">
        <v>49</v>
      </c>
      <c r="S560" s="6">
        <v>4071</v>
      </c>
      <c r="T560">
        <v>12832</v>
      </c>
      <c r="U560">
        <v>2</v>
      </c>
      <c r="V560" t="s">
        <v>39</v>
      </c>
      <c r="W560" t="s">
        <v>40</v>
      </c>
      <c r="X560">
        <v>13</v>
      </c>
      <c r="Y560">
        <v>3</v>
      </c>
      <c r="Z560">
        <v>3</v>
      </c>
      <c r="AA560">
        <v>80</v>
      </c>
      <c r="AB560">
        <v>0</v>
      </c>
      <c r="AC560">
        <v>19</v>
      </c>
      <c r="AD560">
        <v>4</v>
      </c>
      <c r="AE560">
        <v>2</v>
      </c>
      <c r="AF560">
        <v>10</v>
      </c>
      <c r="AG560">
        <v>0</v>
      </c>
      <c r="AH560">
        <v>4</v>
      </c>
      <c r="AI560">
        <v>7</v>
      </c>
    </row>
    <row r="561" spans="1:35" x14ac:dyDescent="0.3">
      <c r="A561">
        <v>32</v>
      </c>
      <c r="B561" t="s">
        <v>40</v>
      </c>
      <c r="C561" t="s">
        <v>33</v>
      </c>
      <c r="D561">
        <v>499</v>
      </c>
      <c r="E561" t="s">
        <v>34</v>
      </c>
      <c r="F561">
        <v>2</v>
      </c>
      <c r="G561">
        <v>1</v>
      </c>
      <c r="H561" t="s">
        <v>56</v>
      </c>
      <c r="I561">
        <v>1</v>
      </c>
      <c r="J561">
        <v>1396</v>
      </c>
      <c r="K561">
        <v>3</v>
      </c>
      <c r="L561" s="17" t="s">
        <v>43</v>
      </c>
      <c r="M561">
        <v>36</v>
      </c>
      <c r="N561">
        <v>3</v>
      </c>
      <c r="O561">
        <v>2</v>
      </c>
      <c r="P561" t="s">
        <v>37</v>
      </c>
      <c r="Q561">
        <v>2</v>
      </c>
      <c r="R561" t="s">
        <v>45</v>
      </c>
      <c r="S561" s="6">
        <v>4078</v>
      </c>
      <c r="T561">
        <v>20497</v>
      </c>
      <c r="U561">
        <v>0</v>
      </c>
      <c r="V561" t="s">
        <v>39</v>
      </c>
      <c r="W561" t="s">
        <v>32</v>
      </c>
      <c r="X561">
        <v>13</v>
      </c>
      <c r="Y561">
        <v>3</v>
      </c>
      <c r="Z561">
        <v>1</v>
      </c>
      <c r="AA561">
        <v>80</v>
      </c>
      <c r="AB561">
        <v>3</v>
      </c>
      <c r="AC561">
        <v>4</v>
      </c>
      <c r="AD561">
        <v>3</v>
      </c>
      <c r="AE561">
        <v>2</v>
      </c>
      <c r="AF561">
        <v>3</v>
      </c>
      <c r="AG561">
        <v>2</v>
      </c>
      <c r="AH561">
        <v>1</v>
      </c>
      <c r="AI561">
        <v>2</v>
      </c>
    </row>
    <row r="562" spans="1:35" x14ac:dyDescent="0.3">
      <c r="A562">
        <v>43</v>
      </c>
      <c r="B562" t="s">
        <v>40</v>
      </c>
      <c r="C562" t="s">
        <v>33</v>
      </c>
      <c r="D562">
        <v>930</v>
      </c>
      <c r="E562" t="s">
        <v>42</v>
      </c>
      <c r="F562">
        <v>6</v>
      </c>
      <c r="G562">
        <v>3</v>
      </c>
      <c r="H562" t="s">
        <v>48</v>
      </c>
      <c r="I562">
        <v>1</v>
      </c>
      <c r="J562">
        <v>1402</v>
      </c>
      <c r="K562">
        <v>1</v>
      </c>
      <c r="L562" s="17" t="s">
        <v>36</v>
      </c>
      <c r="M562">
        <v>73</v>
      </c>
      <c r="N562">
        <v>2</v>
      </c>
      <c r="O562">
        <v>2</v>
      </c>
      <c r="P562" t="s">
        <v>44</v>
      </c>
      <c r="Q562">
        <v>3</v>
      </c>
      <c r="R562" t="s">
        <v>38</v>
      </c>
      <c r="S562" s="6">
        <v>4081</v>
      </c>
      <c r="T562">
        <v>20003</v>
      </c>
      <c r="U562">
        <v>1</v>
      </c>
      <c r="V562" t="s">
        <v>39</v>
      </c>
      <c r="W562" t="s">
        <v>32</v>
      </c>
      <c r="X562">
        <v>14</v>
      </c>
      <c r="Y562">
        <v>3</v>
      </c>
      <c r="Z562">
        <v>1</v>
      </c>
      <c r="AA562">
        <v>80</v>
      </c>
      <c r="AB562">
        <v>0</v>
      </c>
      <c r="AC562">
        <v>20</v>
      </c>
      <c r="AD562">
        <v>3</v>
      </c>
      <c r="AE562">
        <v>1</v>
      </c>
      <c r="AF562">
        <v>20</v>
      </c>
      <c r="AG562">
        <v>7</v>
      </c>
      <c r="AH562">
        <v>1</v>
      </c>
      <c r="AI562">
        <v>8</v>
      </c>
    </row>
    <row r="563" spans="1:35" x14ac:dyDescent="0.3">
      <c r="A563">
        <v>31</v>
      </c>
      <c r="B563" t="s">
        <v>32</v>
      </c>
      <c r="C563" t="s">
        <v>41</v>
      </c>
      <c r="D563">
        <v>561</v>
      </c>
      <c r="E563" t="s">
        <v>42</v>
      </c>
      <c r="F563">
        <v>3</v>
      </c>
      <c r="G563">
        <v>3</v>
      </c>
      <c r="H563" t="s">
        <v>35</v>
      </c>
      <c r="I563">
        <v>1</v>
      </c>
      <c r="J563">
        <v>1537</v>
      </c>
      <c r="K563">
        <v>4</v>
      </c>
      <c r="L563" s="17" t="s">
        <v>36</v>
      </c>
      <c r="M563">
        <v>33</v>
      </c>
      <c r="N563">
        <v>3</v>
      </c>
      <c r="O563">
        <v>1</v>
      </c>
      <c r="P563" t="s">
        <v>44</v>
      </c>
      <c r="Q563">
        <v>3</v>
      </c>
      <c r="R563" t="s">
        <v>38</v>
      </c>
      <c r="S563" s="6">
        <v>4084</v>
      </c>
      <c r="T563">
        <v>4156</v>
      </c>
      <c r="U563">
        <v>1</v>
      </c>
      <c r="V563" t="s">
        <v>39</v>
      </c>
      <c r="W563" t="s">
        <v>40</v>
      </c>
      <c r="X563">
        <v>12</v>
      </c>
      <c r="Y563">
        <v>3</v>
      </c>
      <c r="Z563">
        <v>1</v>
      </c>
      <c r="AA563">
        <v>80</v>
      </c>
      <c r="AB563">
        <v>0</v>
      </c>
      <c r="AC563">
        <v>7</v>
      </c>
      <c r="AD563">
        <v>2</v>
      </c>
      <c r="AE563">
        <v>1</v>
      </c>
      <c r="AF563">
        <v>7</v>
      </c>
      <c r="AG563">
        <v>2</v>
      </c>
      <c r="AH563">
        <v>7</v>
      </c>
      <c r="AI563">
        <v>7</v>
      </c>
    </row>
    <row r="564" spans="1:35" x14ac:dyDescent="0.3">
      <c r="A564">
        <v>32</v>
      </c>
      <c r="B564" t="s">
        <v>40</v>
      </c>
      <c r="C564" t="s">
        <v>52</v>
      </c>
      <c r="D564">
        <v>1200</v>
      </c>
      <c r="E564" t="s">
        <v>42</v>
      </c>
      <c r="F564">
        <v>1</v>
      </c>
      <c r="G564">
        <v>4</v>
      </c>
      <c r="H564" t="s">
        <v>57</v>
      </c>
      <c r="I564">
        <v>1</v>
      </c>
      <c r="J564">
        <v>1574</v>
      </c>
      <c r="K564">
        <v>4</v>
      </c>
      <c r="L564" s="17" t="s">
        <v>43</v>
      </c>
      <c r="M564">
        <v>62</v>
      </c>
      <c r="N564">
        <v>3</v>
      </c>
      <c r="O564">
        <v>2</v>
      </c>
      <c r="P564" t="s">
        <v>44</v>
      </c>
      <c r="Q564">
        <v>1</v>
      </c>
      <c r="R564" t="s">
        <v>45</v>
      </c>
      <c r="S564" s="6">
        <v>4087</v>
      </c>
      <c r="T564">
        <v>25174</v>
      </c>
      <c r="U564">
        <v>4</v>
      </c>
      <c r="V564" t="s">
        <v>39</v>
      </c>
      <c r="W564" t="s">
        <v>40</v>
      </c>
      <c r="X564">
        <v>14</v>
      </c>
      <c r="Y564">
        <v>3</v>
      </c>
      <c r="Z564">
        <v>2</v>
      </c>
      <c r="AA564">
        <v>80</v>
      </c>
      <c r="AB564">
        <v>1</v>
      </c>
      <c r="AC564">
        <v>9</v>
      </c>
      <c r="AD564">
        <v>3</v>
      </c>
      <c r="AE564">
        <v>2</v>
      </c>
      <c r="AF564">
        <v>6</v>
      </c>
      <c r="AG564">
        <v>5</v>
      </c>
      <c r="AH564">
        <v>1</v>
      </c>
      <c r="AI564">
        <v>2</v>
      </c>
    </row>
    <row r="565" spans="1:35" x14ac:dyDescent="0.3">
      <c r="A565">
        <v>42</v>
      </c>
      <c r="B565" t="s">
        <v>40</v>
      </c>
      <c r="C565" t="s">
        <v>33</v>
      </c>
      <c r="D565">
        <v>622</v>
      </c>
      <c r="E565" t="s">
        <v>42</v>
      </c>
      <c r="F565">
        <v>2</v>
      </c>
      <c r="G565">
        <v>4</v>
      </c>
      <c r="H565" t="s">
        <v>35</v>
      </c>
      <c r="I565">
        <v>1</v>
      </c>
      <c r="J565">
        <v>659</v>
      </c>
      <c r="K565">
        <v>3</v>
      </c>
      <c r="L565" s="17" t="s">
        <v>36</v>
      </c>
      <c r="M565">
        <v>81</v>
      </c>
      <c r="N565">
        <v>3</v>
      </c>
      <c r="O565">
        <v>2</v>
      </c>
      <c r="P565" t="s">
        <v>51</v>
      </c>
      <c r="Q565">
        <v>4</v>
      </c>
      <c r="R565" t="s">
        <v>45</v>
      </c>
      <c r="S565" s="6">
        <v>4089</v>
      </c>
      <c r="T565">
        <v>5718</v>
      </c>
      <c r="U565">
        <v>1</v>
      </c>
      <c r="V565" t="s">
        <v>39</v>
      </c>
      <c r="W565" t="s">
        <v>40</v>
      </c>
      <c r="X565">
        <v>13</v>
      </c>
      <c r="Y565">
        <v>3</v>
      </c>
      <c r="Z565">
        <v>2</v>
      </c>
      <c r="AA565">
        <v>80</v>
      </c>
      <c r="AB565">
        <v>2</v>
      </c>
      <c r="AC565">
        <v>10</v>
      </c>
      <c r="AD565">
        <v>4</v>
      </c>
      <c r="AE565">
        <v>3</v>
      </c>
      <c r="AF565">
        <v>10</v>
      </c>
      <c r="AG565">
        <v>2</v>
      </c>
      <c r="AH565">
        <v>2</v>
      </c>
      <c r="AI565">
        <v>2</v>
      </c>
    </row>
    <row r="566" spans="1:35" x14ac:dyDescent="0.3">
      <c r="A566">
        <v>41</v>
      </c>
      <c r="B566" t="s">
        <v>40</v>
      </c>
      <c r="C566" t="s">
        <v>41</v>
      </c>
      <c r="D566">
        <v>1018</v>
      </c>
      <c r="E566" t="s">
        <v>34</v>
      </c>
      <c r="F566">
        <v>1</v>
      </c>
      <c r="G566">
        <v>3</v>
      </c>
      <c r="H566" t="s">
        <v>56</v>
      </c>
      <c r="I566">
        <v>1</v>
      </c>
      <c r="J566">
        <v>1349</v>
      </c>
      <c r="K566">
        <v>3</v>
      </c>
      <c r="L566" s="17" t="s">
        <v>36</v>
      </c>
      <c r="M566">
        <v>66</v>
      </c>
      <c r="N566">
        <v>3</v>
      </c>
      <c r="O566">
        <v>2</v>
      </c>
      <c r="P566" t="s">
        <v>37</v>
      </c>
      <c r="Q566">
        <v>1</v>
      </c>
      <c r="R566" t="s">
        <v>49</v>
      </c>
      <c r="S566" s="6">
        <v>4103</v>
      </c>
      <c r="T566">
        <v>4297</v>
      </c>
      <c r="U566">
        <v>0</v>
      </c>
      <c r="V566" t="s">
        <v>39</v>
      </c>
      <c r="W566" t="s">
        <v>40</v>
      </c>
      <c r="X566">
        <v>17</v>
      </c>
      <c r="Y566">
        <v>3</v>
      </c>
      <c r="Z566">
        <v>4</v>
      </c>
      <c r="AA566">
        <v>80</v>
      </c>
      <c r="AB566">
        <v>1</v>
      </c>
      <c r="AC566">
        <v>10</v>
      </c>
      <c r="AD566">
        <v>2</v>
      </c>
      <c r="AE566">
        <v>3</v>
      </c>
      <c r="AF566">
        <v>9</v>
      </c>
      <c r="AG566">
        <v>3</v>
      </c>
      <c r="AH566">
        <v>1</v>
      </c>
      <c r="AI566">
        <v>7</v>
      </c>
    </row>
    <row r="567" spans="1:35" x14ac:dyDescent="0.3">
      <c r="A567">
        <v>27</v>
      </c>
      <c r="B567" t="s">
        <v>40</v>
      </c>
      <c r="C567" t="s">
        <v>33</v>
      </c>
      <c r="D567">
        <v>954</v>
      </c>
      <c r="E567" t="s">
        <v>34</v>
      </c>
      <c r="F567">
        <v>9</v>
      </c>
      <c r="G567">
        <v>3</v>
      </c>
      <c r="H567" t="s">
        <v>56</v>
      </c>
      <c r="I567">
        <v>1</v>
      </c>
      <c r="J567">
        <v>1965</v>
      </c>
      <c r="K567">
        <v>4</v>
      </c>
      <c r="L567" s="17" t="s">
        <v>43</v>
      </c>
      <c r="M567">
        <v>44</v>
      </c>
      <c r="N567">
        <v>3</v>
      </c>
      <c r="O567">
        <v>2</v>
      </c>
      <c r="P567" t="s">
        <v>37</v>
      </c>
      <c r="Q567">
        <v>4</v>
      </c>
      <c r="R567" t="s">
        <v>38</v>
      </c>
      <c r="S567" s="6">
        <v>4105</v>
      </c>
      <c r="T567">
        <v>5099</v>
      </c>
      <c r="U567">
        <v>1</v>
      </c>
      <c r="V567" t="s">
        <v>39</v>
      </c>
      <c r="W567" t="s">
        <v>40</v>
      </c>
      <c r="X567">
        <v>14</v>
      </c>
      <c r="Y567">
        <v>3</v>
      </c>
      <c r="Z567">
        <v>1</v>
      </c>
      <c r="AA567">
        <v>80</v>
      </c>
      <c r="AB567">
        <v>0</v>
      </c>
      <c r="AC567">
        <v>7</v>
      </c>
      <c r="AD567">
        <v>5</v>
      </c>
      <c r="AE567">
        <v>3</v>
      </c>
      <c r="AF567">
        <v>7</v>
      </c>
      <c r="AG567">
        <v>7</v>
      </c>
      <c r="AH567">
        <v>0</v>
      </c>
      <c r="AI567">
        <v>7</v>
      </c>
    </row>
    <row r="568" spans="1:35" x14ac:dyDescent="0.3">
      <c r="A568">
        <v>37</v>
      </c>
      <c r="B568" t="s">
        <v>40</v>
      </c>
      <c r="C568" t="s">
        <v>33</v>
      </c>
      <c r="D568">
        <v>124</v>
      </c>
      <c r="E568" t="s">
        <v>42</v>
      </c>
      <c r="F568">
        <v>3</v>
      </c>
      <c r="G568">
        <v>3</v>
      </c>
      <c r="H568" t="s">
        <v>46</v>
      </c>
      <c r="I568">
        <v>1</v>
      </c>
      <c r="J568">
        <v>1062</v>
      </c>
      <c r="K568">
        <v>4</v>
      </c>
      <c r="L568" s="17" t="s">
        <v>36</v>
      </c>
      <c r="M568">
        <v>35</v>
      </c>
      <c r="N568">
        <v>3</v>
      </c>
      <c r="O568">
        <v>2</v>
      </c>
      <c r="P568" t="s">
        <v>51</v>
      </c>
      <c r="Q568">
        <v>2</v>
      </c>
      <c r="R568" t="s">
        <v>38</v>
      </c>
      <c r="S568" s="6">
        <v>4107</v>
      </c>
      <c r="T568">
        <v>13848</v>
      </c>
      <c r="U568">
        <v>3</v>
      </c>
      <c r="V568" t="s">
        <v>39</v>
      </c>
      <c r="W568" t="s">
        <v>40</v>
      </c>
      <c r="X568">
        <v>15</v>
      </c>
      <c r="Y568">
        <v>3</v>
      </c>
      <c r="Z568">
        <v>1</v>
      </c>
      <c r="AA568">
        <v>80</v>
      </c>
      <c r="AB568">
        <v>0</v>
      </c>
      <c r="AC568">
        <v>8</v>
      </c>
      <c r="AD568">
        <v>3</v>
      </c>
      <c r="AE568">
        <v>2</v>
      </c>
      <c r="AF568">
        <v>4</v>
      </c>
      <c r="AG568">
        <v>3</v>
      </c>
      <c r="AH568">
        <v>0</v>
      </c>
      <c r="AI568">
        <v>1</v>
      </c>
    </row>
    <row r="569" spans="1:35" x14ac:dyDescent="0.3">
      <c r="A569">
        <v>39</v>
      </c>
      <c r="B569" t="s">
        <v>40</v>
      </c>
      <c r="C569" t="s">
        <v>33</v>
      </c>
      <c r="D569">
        <v>116</v>
      </c>
      <c r="E569" t="s">
        <v>42</v>
      </c>
      <c r="F569">
        <v>24</v>
      </c>
      <c r="G569">
        <v>1</v>
      </c>
      <c r="H569" t="s">
        <v>35</v>
      </c>
      <c r="I569">
        <v>1</v>
      </c>
      <c r="J569">
        <v>2014</v>
      </c>
      <c r="K569">
        <v>1</v>
      </c>
      <c r="L569" s="17" t="s">
        <v>43</v>
      </c>
      <c r="M569">
        <v>52</v>
      </c>
      <c r="N569">
        <v>3</v>
      </c>
      <c r="O569">
        <v>2</v>
      </c>
      <c r="P569" t="s">
        <v>44</v>
      </c>
      <c r="Q569">
        <v>4</v>
      </c>
      <c r="R569" t="s">
        <v>38</v>
      </c>
      <c r="S569" s="6">
        <v>4108</v>
      </c>
      <c r="T569">
        <v>5340</v>
      </c>
      <c r="U569">
        <v>7</v>
      </c>
      <c r="V569" t="s">
        <v>39</v>
      </c>
      <c r="W569" t="s">
        <v>40</v>
      </c>
      <c r="X569">
        <v>13</v>
      </c>
      <c r="Y569">
        <v>3</v>
      </c>
      <c r="Z569">
        <v>1</v>
      </c>
      <c r="AA569">
        <v>80</v>
      </c>
      <c r="AB569">
        <v>0</v>
      </c>
      <c r="AC569">
        <v>18</v>
      </c>
      <c r="AD569">
        <v>2</v>
      </c>
      <c r="AE569">
        <v>3</v>
      </c>
      <c r="AF569">
        <v>7</v>
      </c>
      <c r="AG569">
        <v>7</v>
      </c>
      <c r="AH569">
        <v>1</v>
      </c>
      <c r="AI569">
        <v>7</v>
      </c>
    </row>
    <row r="570" spans="1:35" x14ac:dyDescent="0.3">
      <c r="A570">
        <v>30</v>
      </c>
      <c r="B570" t="s">
        <v>40</v>
      </c>
      <c r="C570" t="s">
        <v>33</v>
      </c>
      <c r="D570">
        <v>1329</v>
      </c>
      <c r="E570" t="s">
        <v>34</v>
      </c>
      <c r="F570">
        <v>29</v>
      </c>
      <c r="G570">
        <v>4</v>
      </c>
      <c r="H570" t="s">
        <v>35</v>
      </c>
      <c r="I570">
        <v>1</v>
      </c>
      <c r="J570">
        <v>1211</v>
      </c>
      <c r="K570">
        <v>3</v>
      </c>
      <c r="L570" s="17" t="s">
        <v>43</v>
      </c>
      <c r="M570">
        <v>61</v>
      </c>
      <c r="N570">
        <v>3</v>
      </c>
      <c r="O570">
        <v>2</v>
      </c>
      <c r="P570" t="s">
        <v>37</v>
      </c>
      <c r="Q570">
        <v>1</v>
      </c>
      <c r="R570" t="s">
        <v>49</v>
      </c>
      <c r="S570" s="6">
        <v>4115</v>
      </c>
      <c r="T570">
        <v>13192</v>
      </c>
      <c r="U570">
        <v>8</v>
      </c>
      <c r="V570" t="s">
        <v>39</v>
      </c>
      <c r="W570" t="s">
        <v>40</v>
      </c>
      <c r="X570">
        <v>19</v>
      </c>
      <c r="Y570">
        <v>3</v>
      </c>
      <c r="Z570">
        <v>3</v>
      </c>
      <c r="AA570">
        <v>80</v>
      </c>
      <c r="AB570">
        <v>3</v>
      </c>
      <c r="AC570">
        <v>8</v>
      </c>
      <c r="AD570">
        <v>3</v>
      </c>
      <c r="AE570">
        <v>3</v>
      </c>
      <c r="AF570">
        <v>4</v>
      </c>
      <c r="AG570">
        <v>3</v>
      </c>
      <c r="AH570">
        <v>0</v>
      </c>
      <c r="AI570">
        <v>3</v>
      </c>
    </row>
    <row r="571" spans="1:35" x14ac:dyDescent="0.3">
      <c r="A571">
        <v>39</v>
      </c>
      <c r="B571" t="s">
        <v>40</v>
      </c>
      <c r="C571" t="s">
        <v>41</v>
      </c>
      <c r="D571">
        <v>766</v>
      </c>
      <c r="E571" t="s">
        <v>34</v>
      </c>
      <c r="F571">
        <v>20</v>
      </c>
      <c r="G571">
        <v>3</v>
      </c>
      <c r="H571" t="s">
        <v>35</v>
      </c>
      <c r="I571">
        <v>1</v>
      </c>
      <c r="J571">
        <v>1812</v>
      </c>
      <c r="K571">
        <v>3</v>
      </c>
      <c r="L571" s="17" t="s">
        <v>43</v>
      </c>
      <c r="M571">
        <v>83</v>
      </c>
      <c r="N571">
        <v>3</v>
      </c>
      <c r="O571">
        <v>2</v>
      </c>
      <c r="P571" t="s">
        <v>37</v>
      </c>
      <c r="Q571">
        <v>4</v>
      </c>
      <c r="R571" t="s">
        <v>49</v>
      </c>
      <c r="S571" s="6">
        <v>4127</v>
      </c>
      <c r="T571">
        <v>19188</v>
      </c>
      <c r="U571">
        <v>2</v>
      </c>
      <c r="V571" t="s">
        <v>39</v>
      </c>
      <c r="W571" t="s">
        <v>40</v>
      </c>
      <c r="X571">
        <v>18</v>
      </c>
      <c r="Y571">
        <v>3</v>
      </c>
      <c r="Z571">
        <v>4</v>
      </c>
      <c r="AA571">
        <v>80</v>
      </c>
      <c r="AB571">
        <v>1</v>
      </c>
      <c r="AC571">
        <v>7</v>
      </c>
      <c r="AD571">
        <v>6</v>
      </c>
      <c r="AE571">
        <v>3</v>
      </c>
      <c r="AF571">
        <v>2</v>
      </c>
      <c r="AG571">
        <v>1</v>
      </c>
      <c r="AH571">
        <v>2</v>
      </c>
      <c r="AI571">
        <v>2</v>
      </c>
    </row>
    <row r="572" spans="1:35" x14ac:dyDescent="0.3">
      <c r="A572">
        <v>31</v>
      </c>
      <c r="B572" t="s">
        <v>40</v>
      </c>
      <c r="C572" t="s">
        <v>41</v>
      </c>
      <c r="D572">
        <v>853</v>
      </c>
      <c r="E572" t="s">
        <v>42</v>
      </c>
      <c r="F572">
        <v>1</v>
      </c>
      <c r="G572">
        <v>1</v>
      </c>
      <c r="H572" t="s">
        <v>35</v>
      </c>
      <c r="I572">
        <v>1</v>
      </c>
      <c r="J572">
        <v>1011</v>
      </c>
      <c r="K572">
        <v>3</v>
      </c>
      <c r="L572" s="17" t="s">
        <v>36</v>
      </c>
      <c r="M572">
        <v>96</v>
      </c>
      <c r="N572">
        <v>3</v>
      </c>
      <c r="O572">
        <v>2</v>
      </c>
      <c r="P572" t="s">
        <v>50</v>
      </c>
      <c r="Q572">
        <v>1</v>
      </c>
      <c r="R572" t="s">
        <v>45</v>
      </c>
      <c r="S572" s="6">
        <v>4148</v>
      </c>
      <c r="T572">
        <v>11275</v>
      </c>
      <c r="U572">
        <v>1</v>
      </c>
      <c r="V572" t="s">
        <v>39</v>
      </c>
      <c r="W572" t="s">
        <v>40</v>
      </c>
      <c r="X572">
        <v>12</v>
      </c>
      <c r="Y572">
        <v>3</v>
      </c>
      <c r="Z572">
        <v>3</v>
      </c>
      <c r="AA572">
        <v>80</v>
      </c>
      <c r="AB572">
        <v>1</v>
      </c>
      <c r="AC572">
        <v>4</v>
      </c>
      <c r="AD572">
        <v>1</v>
      </c>
      <c r="AE572">
        <v>3</v>
      </c>
      <c r="AF572">
        <v>4</v>
      </c>
      <c r="AG572">
        <v>3</v>
      </c>
      <c r="AH572">
        <v>0</v>
      </c>
      <c r="AI572">
        <v>3</v>
      </c>
    </row>
    <row r="573" spans="1:35" x14ac:dyDescent="0.3">
      <c r="A573">
        <v>35</v>
      </c>
      <c r="B573" t="s">
        <v>40</v>
      </c>
      <c r="C573" t="s">
        <v>52</v>
      </c>
      <c r="D573">
        <v>208</v>
      </c>
      <c r="E573" t="s">
        <v>42</v>
      </c>
      <c r="F573">
        <v>8</v>
      </c>
      <c r="G573">
        <v>4</v>
      </c>
      <c r="H573" t="s">
        <v>35</v>
      </c>
      <c r="I573">
        <v>1</v>
      </c>
      <c r="J573">
        <v>1630</v>
      </c>
      <c r="K573">
        <v>3</v>
      </c>
      <c r="L573" s="17" t="s">
        <v>36</v>
      </c>
      <c r="M573">
        <v>52</v>
      </c>
      <c r="N573">
        <v>3</v>
      </c>
      <c r="O573">
        <v>2</v>
      </c>
      <c r="P573" t="s">
        <v>51</v>
      </c>
      <c r="Q573">
        <v>3</v>
      </c>
      <c r="R573" t="s">
        <v>45</v>
      </c>
      <c r="S573" s="6">
        <v>4148</v>
      </c>
      <c r="T573">
        <v>12250</v>
      </c>
      <c r="U573">
        <v>1</v>
      </c>
      <c r="V573" t="s">
        <v>39</v>
      </c>
      <c r="W573" t="s">
        <v>40</v>
      </c>
      <c r="X573">
        <v>12</v>
      </c>
      <c r="Y573">
        <v>3</v>
      </c>
      <c r="Z573">
        <v>4</v>
      </c>
      <c r="AA573">
        <v>80</v>
      </c>
      <c r="AB573">
        <v>1</v>
      </c>
      <c r="AC573">
        <v>15</v>
      </c>
      <c r="AD573">
        <v>5</v>
      </c>
      <c r="AE573">
        <v>3</v>
      </c>
      <c r="AF573">
        <v>14</v>
      </c>
      <c r="AG573">
        <v>11</v>
      </c>
      <c r="AH573">
        <v>2</v>
      </c>
      <c r="AI573">
        <v>9</v>
      </c>
    </row>
    <row r="574" spans="1:35" x14ac:dyDescent="0.3">
      <c r="A574">
        <v>30</v>
      </c>
      <c r="B574" t="s">
        <v>40</v>
      </c>
      <c r="C574" t="s">
        <v>33</v>
      </c>
      <c r="D574">
        <v>288</v>
      </c>
      <c r="E574" t="s">
        <v>42</v>
      </c>
      <c r="F574">
        <v>2</v>
      </c>
      <c r="G574">
        <v>3</v>
      </c>
      <c r="H574" t="s">
        <v>35</v>
      </c>
      <c r="I574">
        <v>1</v>
      </c>
      <c r="J574">
        <v>117</v>
      </c>
      <c r="K574">
        <v>3</v>
      </c>
      <c r="L574" s="17" t="s">
        <v>43</v>
      </c>
      <c r="M574">
        <v>99</v>
      </c>
      <c r="N574">
        <v>2</v>
      </c>
      <c r="O574">
        <v>2</v>
      </c>
      <c r="P574" t="s">
        <v>51</v>
      </c>
      <c r="Q574">
        <v>4</v>
      </c>
      <c r="R574" t="s">
        <v>45</v>
      </c>
      <c r="S574" s="6">
        <v>4152</v>
      </c>
      <c r="T574">
        <v>15830</v>
      </c>
      <c r="U574">
        <v>1</v>
      </c>
      <c r="V574" t="s">
        <v>39</v>
      </c>
      <c r="W574" t="s">
        <v>40</v>
      </c>
      <c r="X574">
        <v>19</v>
      </c>
      <c r="Y574">
        <v>3</v>
      </c>
      <c r="Z574">
        <v>1</v>
      </c>
      <c r="AA574">
        <v>80</v>
      </c>
      <c r="AB574">
        <v>3</v>
      </c>
      <c r="AC574">
        <v>11</v>
      </c>
      <c r="AD574">
        <v>3</v>
      </c>
      <c r="AE574">
        <v>3</v>
      </c>
      <c r="AF574">
        <v>11</v>
      </c>
      <c r="AG574">
        <v>10</v>
      </c>
      <c r="AH574">
        <v>10</v>
      </c>
      <c r="AI574">
        <v>8</v>
      </c>
    </row>
    <row r="575" spans="1:35" x14ac:dyDescent="0.3">
      <c r="A575">
        <v>26</v>
      </c>
      <c r="B575" t="s">
        <v>40</v>
      </c>
      <c r="C575" t="s">
        <v>33</v>
      </c>
      <c r="D575">
        <v>1443</v>
      </c>
      <c r="E575" t="s">
        <v>34</v>
      </c>
      <c r="F575">
        <v>23</v>
      </c>
      <c r="G575">
        <v>3</v>
      </c>
      <c r="H575" t="s">
        <v>56</v>
      </c>
      <c r="I575">
        <v>1</v>
      </c>
      <c r="J575">
        <v>72</v>
      </c>
      <c r="K575">
        <v>3</v>
      </c>
      <c r="L575" s="17" t="s">
        <v>36</v>
      </c>
      <c r="M575">
        <v>47</v>
      </c>
      <c r="N575">
        <v>2</v>
      </c>
      <c r="O575">
        <v>2</v>
      </c>
      <c r="P575" t="s">
        <v>37</v>
      </c>
      <c r="Q575">
        <v>4</v>
      </c>
      <c r="R575" t="s">
        <v>45</v>
      </c>
      <c r="S575" s="6">
        <v>4157</v>
      </c>
      <c r="T575">
        <v>21436</v>
      </c>
      <c r="U575">
        <v>7</v>
      </c>
      <c r="V575" t="s">
        <v>39</v>
      </c>
      <c r="W575" t="s">
        <v>32</v>
      </c>
      <c r="X575">
        <v>19</v>
      </c>
      <c r="Y575">
        <v>3</v>
      </c>
      <c r="Z575">
        <v>3</v>
      </c>
      <c r="AA575">
        <v>80</v>
      </c>
      <c r="AB575">
        <v>1</v>
      </c>
      <c r="AC575">
        <v>5</v>
      </c>
      <c r="AD575">
        <v>2</v>
      </c>
      <c r="AE575">
        <v>2</v>
      </c>
      <c r="AF575">
        <v>2</v>
      </c>
      <c r="AG575">
        <v>2</v>
      </c>
      <c r="AH575">
        <v>0</v>
      </c>
      <c r="AI575">
        <v>0</v>
      </c>
    </row>
    <row r="576" spans="1:35" x14ac:dyDescent="0.3">
      <c r="A576">
        <v>24</v>
      </c>
      <c r="B576" t="s">
        <v>40</v>
      </c>
      <c r="C576" t="s">
        <v>33</v>
      </c>
      <c r="D576">
        <v>1476</v>
      </c>
      <c r="E576" t="s">
        <v>34</v>
      </c>
      <c r="F576">
        <v>4</v>
      </c>
      <c r="G576">
        <v>1</v>
      </c>
      <c r="H576" t="s">
        <v>48</v>
      </c>
      <c r="I576">
        <v>1</v>
      </c>
      <c r="J576">
        <v>1445</v>
      </c>
      <c r="K576">
        <v>4</v>
      </c>
      <c r="L576" s="17" t="s">
        <v>36</v>
      </c>
      <c r="M576">
        <v>42</v>
      </c>
      <c r="N576">
        <v>3</v>
      </c>
      <c r="O576">
        <v>2</v>
      </c>
      <c r="P576" t="s">
        <v>37</v>
      </c>
      <c r="Q576">
        <v>3</v>
      </c>
      <c r="R576" t="s">
        <v>45</v>
      </c>
      <c r="S576" s="6">
        <v>4162</v>
      </c>
      <c r="T576">
        <v>15211</v>
      </c>
      <c r="U576">
        <v>1</v>
      </c>
      <c r="V576" t="s">
        <v>39</v>
      </c>
      <c r="W576" t="s">
        <v>32</v>
      </c>
      <c r="X576">
        <v>12</v>
      </c>
      <c r="Y576">
        <v>3</v>
      </c>
      <c r="Z576">
        <v>3</v>
      </c>
      <c r="AA576">
        <v>80</v>
      </c>
      <c r="AB576">
        <v>2</v>
      </c>
      <c r="AC576">
        <v>5</v>
      </c>
      <c r="AD576">
        <v>3</v>
      </c>
      <c r="AE576">
        <v>3</v>
      </c>
      <c r="AF576">
        <v>5</v>
      </c>
      <c r="AG576">
        <v>4</v>
      </c>
      <c r="AH576">
        <v>0</v>
      </c>
      <c r="AI576">
        <v>3</v>
      </c>
    </row>
    <row r="577" spans="1:35" x14ac:dyDescent="0.3">
      <c r="A577">
        <v>47</v>
      </c>
      <c r="B577" t="s">
        <v>40</v>
      </c>
      <c r="C577" t="s">
        <v>33</v>
      </c>
      <c r="D577">
        <v>955</v>
      </c>
      <c r="E577" t="s">
        <v>34</v>
      </c>
      <c r="F577">
        <v>4</v>
      </c>
      <c r="G577">
        <v>2</v>
      </c>
      <c r="H577" t="s">
        <v>35</v>
      </c>
      <c r="I577">
        <v>1</v>
      </c>
      <c r="J577">
        <v>1003</v>
      </c>
      <c r="K577">
        <v>4</v>
      </c>
      <c r="L577" s="17" t="s">
        <v>36</v>
      </c>
      <c r="M577">
        <v>83</v>
      </c>
      <c r="N577">
        <v>3</v>
      </c>
      <c r="O577">
        <v>2</v>
      </c>
      <c r="P577" t="s">
        <v>37</v>
      </c>
      <c r="Q577">
        <v>4</v>
      </c>
      <c r="R577" t="s">
        <v>38</v>
      </c>
      <c r="S577" s="6">
        <v>4163</v>
      </c>
      <c r="T577">
        <v>8571</v>
      </c>
      <c r="U577">
        <v>1</v>
      </c>
      <c r="V577" t="s">
        <v>39</v>
      </c>
      <c r="W577" t="s">
        <v>32</v>
      </c>
      <c r="X577">
        <v>17</v>
      </c>
      <c r="Y577">
        <v>3</v>
      </c>
      <c r="Z577">
        <v>3</v>
      </c>
      <c r="AA577">
        <v>80</v>
      </c>
      <c r="AB577">
        <v>0</v>
      </c>
      <c r="AC577">
        <v>9</v>
      </c>
      <c r="AD577">
        <v>0</v>
      </c>
      <c r="AE577">
        <v>3</v>
      </c>
      <c r="AF577">
        <v>9</v>
      </c>
      <c r="AG577">
        <v>0</v>
      </c>
      <c r="AH577">
        <v>0</v>
      </c>
      <c r="AI577">
        <v>7</v>
      </c>
    </row>
    <row r="578" spans="1:35" x14ac:dyDescent="0.3">
      <c r="A578">
        <v>22</v>
      </c>
      <c r="B578" t="s">
        <v>32</v>
      </c>
      <c r="C578" t="s">
        <v>33</v>
      </c>
      <c r="D578">
        <v>617</v>
      </c>
      <c r="E578" t="s">
        <v>42</v>
      </c>
      <c r="F578">
        <v>3</v>
      </c>
      <c r="G578">
        <v>1</v>
      </c>
      <c r="H578" t="s">
        <v>35</v>
      </c>
      <c r="I578">
        <v>1</v>
      </c>
      <c r="J578">
        <v>926</v>
      </c>
      <c r="K578">
        <v>2</v>
      </c>
      <c r="L578" s="17" t="s">
        <v>36</v>
      </c>
      <c r="M578">
        <v>34</v>
      </c>
      <c r="N578">
        <v>3</v>
      </c>
      <c r="O578">
        <v>2</v>
      </c>
      <c r="P578" t="s">
        <v>50</v>
      </c>
      <c r="Q578">
        <v>3</v>
      </c>
      <c r="R578" t="s">
        <v>45</v>
      </c>
      <c r="S578" s="6">
        <v>4171</v>
      </c>
      <c r="T578">
        <v>10022</v>
      </c>
      <c r="U578">
        <v>0</v>
      </c>
      <c r="V578" t="s">
        <v>39</v>
      </c>
      <c r="W578" t="s">
        <v>32</v>
      </c>
      <c r="X578">
        <v>19</v>
      </c>
      <c r="Y578">
        <v>3</v>
      </c>
      <c r="Z578">
        <v>1</v>
      </c>
      <c r="AA578">
        <v>80</v>
      </c>
      <c r="AB578">
        <v>1</v>
      </c>
      <c r="AC578">
        <v>4</v>
      </c>
      <c r="AD578">
        <v>3</v>
      </c>
      <c r="AE578">
        <v>4</v>
      </c>
      <c r="AF578">
        <v>3</v>
      </c>
      <c r="AG578">
        <v>2</v>
      </c>
      <c r="AH578">
        <v>0</v>
      </c>
      <c r="AI578">
        <v>2</v>
      </c>
    </row>
    <row r="579" spans="1:35" x14ac:dyDescent="0.3">
      <c r="A579">
        <v>29</v>
      </c>
      <c r="B579" t="s">
        <v>40</v>
      </c>
      <c r="C579" t="s">
        <v>33</v>
      </c>
      <c r="D579">
        <v>991</v>
      </c>
      <c r="E579" t="s">
        <v>34</v>
      </c>
      <c r="F579">
        <v>5</v>
      </c>
      <c r="G579">
        <v>3</v>
      </c>
      <c r="H579" t="s">
        <v>48</v>
      </c>
      <c r="I579">
        <v>1</v>
      </c>
      <c r="J579">
        <v>1669</v>
      </c>
      <c r="K579">
        <v>1</v>
      </c>
      <c r="L579" s="17" t="s">
        <v>43</v>
      </c>
      <c r="M579">
        <v>43</v>
      </c>
      <c r="N579">
        <v>2</v>
      </c>
      <c r="O579">
        <v>2</v>
      </c>
      <c r="P579" t="s">
        <v>37</v>
      </c>
      <c r="Q579">
        <v>2</v>
      </c>
      <c r="R579" t="s">
        <v>49</v>
      </c>
      <c r="S579" s="6">
        <v>4187</v>
      </c>
      <c r="T579">
        <v>3356</v>
      </c>
      <c r="U579">
        <v>1</v>
      </c>
      <c r="V579" t="s">
        <v>39</v>
      </c>
      <c r="W579" t="s">
        <v>32</v>
      </c>
      <c r="X579">
        <v>13</v>
      </c>
      <c r="Y579">
        <v>3</v>
      </c>
      <c r="Z579">
        <v>2</v>
      </c>
      <c r="AA579">
        <v>80</v>
      </c>
      <c r="AB579">
        <v>1</v>
      </c>
      <c r="AC579">
        <v>10</v>
      </c>
      <c r="AD579">
        <v>3</v>
      </c>
      <c r="AE579">
        <v>2</v>
      </c>
      <c r="AF579">
        <v>10</v>
      </c>
      <c r="AG579">
        <v>0</v>
      </c>
      <c r="AH579">
        <v>0</v>
      </c>
      <c r="AI579">
        <v>9</v>
      </c>
    </row>
    <row r="580" spans="1:35" x14ac:dyDescent="0.3">
      <c r="A580">
        <v>37</v>
      </c>
      <c r="B580" t="s">
        <v>40</v>
      </c>
      <c r="C580" t="s">
        <v>33</v>
      </c>
      <c r="D580">
        <v>589</v>
      </c>
      <c r="E580" t="s">
        <v>34</v>
      </c>
      <c r="F580">
        <v>9</v>
      </c>
      <c r="G580">
        <v>2</v>
      </c>
      <c r="H580" t="s">
        <v>56</v>
      </c>
      <c r="I580">
        <v>1</v>
      </c>
      <c r="J580">
        <v>1787</v>
      </c>
      <c r="K580">
        <v>2</v>
      </c>
      <c r="L580" s="17" t="s">
        <v>43</v>
      </c>
      <c r="M580">
        <v>46</v>
      </c>
      <c r="N580">
        <v>2</v>
      </c>
      <c r="O580">
        <v>2</v>
      </c>
      <c r="P580" t="s">
        <v>37</v>
      </c>
      <c r="Q580">
        <v>2</v>
      </c>
      <c r="R580" t="s">
        <v>45</v>
      </c>
      <c r="S580" s="6">
        <v>4189</v>
      </c>
      <c r="T580">
        <v>8800</v>
      </c>
      <c r="U580">
        <v>1</v>
      </c>
      <c r="V580" t="s">
        <v>39</v>
      </c>
      <c r="W580" t="s">
        <v>40</v>
      </c>
      <c r="X580">
        <v>14</v>
      </c>
      <c r="Y580">
        <v>3</v>
      </c>
      <c r="Z580">
        <v>1</v>
      </c>
      <c r="AA580">
        <v>80</v>
      </c>
      <c r="AB580">
        <v>2</v>
      </c>
      <c r="AC580">
        <v>5</v>
      </c>
      <c r="AD580">
        <v>2</v>
      </c>
      <c r="AE580">
        <v>3</v>
      </c>
      <c r="AF580">
        <v>5</v>
      </c>
      <c r="AG580">
        <v>2</v>
      </c>
      <c r="AH580">
        <v>0</v>
      </c>
      <c r="AI580">
        <v>3</v>
      </c>
    </row>
    <row r="581" spans="1:35" x14ac:dyDescent="0.3">
      <c r="A581">
        <v>29</v>
      </c>
      <c r="B581" t="s">
        <v>40</v>
      </c>
      <c r="C581" t="s">
        <v>33</v>
      </c>
      <c r="D581">
        <v>153</v>
      </c>
      <c r="E581" t="s">
        <v>42</v>
      </c>
      <c r="F581">
        <v>15</v>
      </c>
      <c r="G581">
        <v>2</v>
      </c>
      <c r="H581" t="s">
        <v>35</v>
      </c>
      <c r="I581">
        <v>1</v>
      </c>
      <c r="J581">
        <v>15</v>
      </c>
      <c r="K581">
        <v>4</v>
      </c>
      <c r="L581" s="17" t="s">
        <v>36</v>
      </c>
      <c r="M581">
        <v>49</v>
      </c>
      <c r="N581">
        <v>2</v>
      </c>
      <c r="O581">
        <v>2</v>
      </c>
      <c r="P581" t="s">
        <v>47</v>
      </c>
      <c r="Q581">
        <v>3</v>
      </c>
      <c r="R581" t="s">
        <v>38</v>
      </c>
      <c r="S581" s="6">
        <v>4193</v>
      </c>
      <c r="T581">
        <v>12682</v>
      </c>
      <c r="U581">
        <v>0</v>
      </c>
      <c r="V581" t="s">
        <v>39</v>
      </c>
      <c r="W581" t="s">
        <v>32</v>
      </c>
      <c r="X581">
        <v>12</v>
      </c>
      <c r="Y581">
        <v>3</v>
      </c>
      <c r="Z581">
        <v>4</v>
      </c>
      <c r="AA581">
        <v>80</v>
      </c>
      <c r="AB581">
        <v>0</v>
      </c>
      <c r="AC581">
        <v>10</v>
      </c>
      <c r="AD581">
        <v>3</v>
      </c>
      <c r="AE581">
        <v>3</v>
      </c>
      <c r="AF581">
        <v>9</v>
      </c>
      <c r="AG581">
        <v>5</v>
      </c>
      <c r="AH581">
        <v>0</v>
      </c>
      <c r="AI581">
        <v>8</v>
      </c>
    </row>
    <row r="582" spans="1:35" x14ac:dyDescent="0.3">
      <c r="A582">
        <v>25</v>
      </c>
      <c r="B582" t="s">
        <v>40</v>
      </c>
      <c r="C582" t="s">
        <v>33</v>
      </c>
      <c r="D582">
        <v>141</v>
      </c>
      <c r="E582" t="s">
        <v>34</v>
      </c>
      <c r="F582">
        <v>3</v>
      </c>
      <c r="G582">
        <v>1</v>
      </c>
      <c r="H582" t="s">
        <v>46</v>
      </c>
      <c r="I582">
        <v>1</v>
      </c>
      <c r="J582">
        <v>879</v>
      </c>
      <c r="K582">
        <v>3</v>
      </c>
      <c r="L582" s="17" t="s">
        <v>43</v>
      </c>
      <c r="M582">
        <v>98</v>
      </c>
      <c r="N582">
        <v>3</v>
      </c>
      <c r="O582">
        <v>2</v>
      </c>
      <c r="P582" t="s">
        <v>37</v>
      </c>
      <c r="Q582">
        <v>1</v>
      </c>
      <c r="R582" t="s">
        <v>45</v>
      </c>
      <c r="S582" s="6">
        <v>4194</v>
      </c>
      <c r="T582">
        <v>14363</v>
      </c>
      <c r="U582">
        <v>1</v>
      </c>
      <c r="V582" t="s">
        <v>39</v>
      </c>
      <c r="W582" t="s">
        <v>32</v>
      </c>
      <c r="X582">
        <v>18</v>
      </c>
      <c r="Y582">
        <v>3</v>
      </c>
      <c r="Z582">
        <v>4</v>
      </c>
      <c r="AA582">
        <v>80</v>
      </c>
      <c r="AB582">
        <v>0</v>
      </c>
      <c r="AC582">
        <v>5</v>
      </c>
      <c r="AD582">
        <v>3</v>
      </c>
      <c r="AE582">
        <v>3</v>
      </c>
      <c r="AF582">
        <v>5</v>
      </c>
      <c r="AG582">
        <v>3</v>
      </c>
      <c r="AH582">
        <v>0</v>
      </c>
      <c r="AI582">
        <v>3</v>
      </c>
    </row>
    <row r="583" spans="1:35" x14ac:dyDescent="0.3">
      <c r="A583">
        <v>37</v>
      </c>
      <c r="B583" t="s">
        <v>40</v>
      </c>
      <c r="C583" t="s">
        <v>33</v>
      </c>
      <c r="D583">
        <v>1305</v>
      </c>
      <c r="E583" t="s">
        <v>42</v>
      </c>
      <c r="F583">
        <v>10</v>
      </c>
      <c r="G583">
        <v>4</v>
      </c>
      <c r="H583" t="s">
        <v>35</v>
      </c>
      <c r="I583">
        <v>1</v>
      </c>
      <c r="J583">
        <v>518</v>
      </c>
      <c r="K583">
        <v>3</v>
      </c>
      <c r="L583" s="17" t="s">
        <v>43</v>
      </c>
      <c r="M583">
        <v>49</v>
      </c>
      <c r="N583">
        <v>3</v>
      </c>
      <c r="O583">
        <v>2</v>
      </c>
      <c r="P583" t="s">
        <v>50</v>
      </c>
      <c r="Q583">
        <v>2</v>
      </c>
      <c r="R583" t="s">
        <v>38</v>
      </c>
      <c r="S583" s="6">
        <v>4197</v>
      </c>
      <c r="T583">
        <v>21123</v>
      </c>
      <c r="U583">
        <v>2</v>
      </c>
      <c r="V583" t="s">
        <v>39</v>
      </c>
      <c r="W583" t="s">
        <v>32</v>
      </c>
      <c r="X583">
        <v>12</v>
      </c>
      <c r="Y583">
        <v>3</v>
      </c>
      <c r="Z583">
        <v>4</v>
      </c>
      <c r="AA583">
        <v>80</v>
      </c>
      <c r="AB583">
        <v>0</v>
      </c>
      <c r="AC583">
        <v>18</v>
      </c>
      <c r="AD583">
        <v>2</v>
      </c>
      <c r="AE583">
        <v>2</v>
      </c>
      <c r="AF583">
        <v>1</v>
      </c>
      <c r="AG583">
        <v>0</v>
      </c>
      <c r="AH583">
        <v>0</v>
      </c>
      <c r="AI583">
        <v>1</v>
      </c>
    </row>
    <row r="584" spans="1:35" x14ac:dyDescent="0.3">
      <c r="A584">
        <v>31</v>
      </c>
      <c r="B584" t="s">
        <v>40</v>
      </c>
      <c r="C584" t="s">
        <v>33</v>
      </c>
      <c r="D584">
        <v>311</v>
      </c>
      <c r="E584" t="s">
        <v>42</v>
      </c>
      <c r="F584">
        <v>20</v>
      </c>
      <c r="G584">
        <v>3</v>
      </c>
      <c r="H584" t="s">
        <v>35</v>
      </c>
      <c r="I584">
        <v>1</v>
      </c>
      <c r="J584">
        <v>1881</v>
      </c>
      <c r="K584">
        <v>2</v>
      </c>
      <c r="L584" s="17" t="s">
        <v>43</v>
      </c>
      <c r="M584">
        <v>89</v>
      </c>
      <c r="N584">
        <v>3</v>
      </c>
      <c r="O584">
        <v>2</v>
      </c>
      <c r="P584" t="s">
        <v>47</v>
      </c>
      <c r="Q584">
        <v>3</v>
      </c>
      <c r="R584" t="s">
        <v>49</v>
      </c>
      <c r="S584" s="6">
        <v>4197</v>
      </c>
      <c r="T584">
        <v>18624</v>
      </c>
      <c r="U584">
        <v>1</v>
      </c>
      <c r="V584" t="s">
        <v>39</v>
      </c>
      <c r="W584" t="s">
        <v>40</v>
      </c>
      <c r="X584">
        <v>11</v>
      </c>
      <c r="Y584">
        <v>3</v>
      </c>
      <c r="Z584">
        <v>1</v>
      </c>
      <c r="AA584">
        <v>80</v>
      </c>
      <c r="AB584">
        <v>1</v>
      </c>
      <c r="AC584">
        <v>10</v>
      </c>
      <c r="AD584">
        <v>2</v>
      </c>
      <c r="AE584">
        <v>3</v>
      </c>
      <c r="AF584">
        <v>10</v>
      </c>
      <c r="AG584">
        <v>8</v>
      </c>
      <c r="AH584">
        <v>0</v>
      </c>
      <c r="AI584">
        <v>2</v>
      </c>
    </row>
    <row r="585" spans="1:35" x14ac:dyDescent="0.3">
      <c r="A585">
        <v>38</v>
      </c>
      <c r="B585" t="s">
        <v>40</v>
      </c>
      <c r="C585" t="s">
        <v>33</v>
      </c>
      <c r="D585">
        <v>437</v>
      </c>
      <c r="E585" t="s">
        <v>34</v>
      </c>
      <c r="F585">
        <v>16</v>
      </c>
      <c r="G585">
        <v>3</v>
      </c>
      <c r="H585" t="s">
        <v>35</v>
      </c>
      <c r="I585">
        <v>1</v>
      </c>
      <c r="J585">
        <v>1583</v>
      </c>
      <c r="K585">
        <v>2</v>
      </c>
      <c r="L585" s="17" t="s">
        <v>36</v>
      </c>
      <c r="M585">
        <v>90</v>
      </c>
      <c r="N585">
        <v>3</v>
      </c>
      <c r="O585">
        <v>2</v>
      </c>
      <c r="P585" t="s">
        <v>37</v>
      </c>
      <c r="Q585">
        <v>2</v>
      </c>
      <c r="R585" t="s">
        <v>38</v>
      </c>
      <c r="S585" s="6">
        <v>4198</v>
      </c>
      <c r="T585">
        <v>16379</v>
      </c>
      <c r="U585">
        <v>2</v>
      </c>
      <c r="V585" t="s">
        <v>39</v>
      </c>
      <c r="W585" t="s">
        <v>40</v>
      </c>
      <c r="X585">
        <v>12</v>
      </c>
      <c r="Y585">
        <v>3</v>
      </c>
      <c r="Z585">
        <v>2</v>
      </c>
      <c r="AA585">
        <v>80</v>
      </c>
      <c r="AB585">
        <v>0</v>
      </c>
      <c r="AC585">
        <v>8</v>
      </c>
      <c r="AD585">
        <v>5</v>
      </c>
      <c r="AE585">
        <v>4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32</v>
      </c>
      <c r="B586" t="s">
        <v>32</v>
      </c>
      <c r="C586" t="s">
        <v>33</v>
      </c>
      <c r="D586">
        <v>1033</v>
      </c>
      <c r="E586" t="s">
        <v>42</v>
      </c>
      <c r="F586">
        <v>9</v>
      </c>
      <c r="G586">
        <v>3</v>
      </c>
      <c r="H586" t="s">
        <v>48</v>
      </c>
      <c r="I586">
        <v>1</v>
      </c>
      <c r="J586">
        <v>190</v>
      </c>
      <c r="K586">
        <v>1</v>
      </c>
      <c r="L586" s="17" t="s">
        <v>36</v>
      </c>
      <c r="M586">
        <v>41</v>
      </c>
      <c r="N586">
        <v>3</v>
      </c>
      <c r="O586">
        <v>1</v>
      </c>
      <c r="P586" t="s">
        <v>47</v>
      </c>
      <c r="Q586">
        <v>1</v>
      </c>
      <c r="R586" t="s">
        <v>38</v>
      </c>
      <c r="S586" s="6">
        <v>4200</v>
      </c>
      <c r="T586">
        <v>10224</v>
      </c>
      <c r="U586">
        <v>7</v>
      </c>
      <c r="V586" t="s">
        <v>39</v>
      </c>
      <c r="W586" t="s">
        <v>40</v>
      </c>
      <c r="X586">
        <v>22</v>
      </c>
      <c r="Y586">
        <v>4</v>
      </c>
      <c r="Z586">
        <v>1</v>
      </c>
      <c r="AA586">
        <v>80</v>
      </c>
      <c r="AB586">
        <v>0</v>
      </c>
      <c r="AC586">
        <v>10</v>
      </c>
      <c r="AD586">
        <v>2</v>
      </c>
      <c r="AE586">
        <v>4</v>
      </c>
      <c r="AF586">
        <v>5</v>
      </c>
      <c r="AG586">
        <v>4</v>
      </c>
      <c r="AH586">
        <v>0</v>
      </c>
      <c r="AI586">
        <v>4</v>
      </c>
    </row>
    <row r="587" spans="1:35" x14ac:dyDescent="0.3">
      <c r="A587">
        <v>37</v>
      </c>
      <c r="B587" t="s">
        <v>32</v>
      </c>
      <c r="C587" t="s">
        <v>33</v>
      </c>
      <c r="D587">
        <v>370</v>
      </c>
      <c r="E587" t="s">
        <v>42</v>
      </c>
      <c r="F587">
        <v>10</v>
      </c>
      <c r="G587">
        <v>4</v>
      </c>
      <c r="H587" t="s">
        <v>48</v>
      </c>
      <c r="I587">
        <v>1</v>
      </c>
      <c r="J587">
        <v>1809</v>
      </c>
      <c r="K587">
        <v>4</v>
      </c>
      <c r="L587" s="17" t="s">
        <v>43</v>
      </c>
      <c r="M587">
        <v>58</v>
      </c>
      <c r="N587">
        <v>3</v>
      </c>
      <c r="O587">
        <v>2</v>
      </c>
      <c r="P587" t="s">
        <v>50</v>
      </c>
      <c r="Q587">
        <v>1</v>
      </c>
      <c r="R587" t="s">
        <v>38</v>
      </c>
      <c r="S587" s="6">
        <v>4213</v>
      </c>
      <c r="T587">
        <v>4992</v>
      </c>
      <c r="U587">
        <v>1</v>
      </c>
      <c r="V587" t="s">
        <v>39</v>
      </c>
      <c r="W587" t="s">
        <v>40</v>
      </c>
      <c r="X587">
        <v>15</v>
      </c>
      <c r="Y587">
        <v>3</v>
      </c>
      <c r="Z587">
        <v>2</v>
      </c>
      <c r="AA587">
        <v>80</v>
      </c>
      <c r="AB587">
        <v>0</v>
      </c>
      <c r="AC587">
        <v>10</v>
      </c>
      <c r="AD587">
        <v>4</v>
      </c>
      <c r="AE587">
        <v>1</v>
      </c>
      <c r="AF587">
        <v>10</v>
      </c>
      <c r="AG587">
        <v>3</v>
      </c>
      <c r="AH587">
        <v>0</v>
      </c>
      <c r="AI587">
        <v>8</v>
      </c>
    </row>
    <row r="588" spans="1:35" x14ac:dyDescent="0.3">
      <c r="A588">
        <v>28</v>
      </c>
      <c r="B588" t="s">
        <v>40</v>
      </c>
      <c r="C588" t="s">
        <v>52</v>
      </c>
      <c r="D588">
        <v>120</v>
      </c>
      <c r="E588" t="s">
        <v>34</v>
      </c>
      <c r="F588">
        <v>4</v>
      </c>
      <c r="G588">
        <v>3</v>
      </c>
      <c r="H588" t="s">
        <v>48</v>
      </c>
      <c r="I588">
        <v>1</v>
      </c>
      <c r="J588">
        <v>129</v>
      </c>
      <c r="K588">
        <v>2</v>
      </c>
      <c r="L588" s="17" t="s">
        <v>43</v>
      </c>
      <c r="M588">
        <v>43</v>
      </c>
      <c r="N588">
        <v>3</v>
      </c>
      <c r="O588">
        <v>2</v>
      </c>
      <c r="P588" t="s">
        <v>37</v>
      </c>
      <c r="Q588">
        <v>3</v>
      </c>
      <c r="R588" t="s">
        <v>45</v>
      </c>
      <c r="S588" s="6">
        <v>4221</v>
      </c>
      <c r="T588">
        <v>8863</v>
      </c>
      <c r="U588">
        <v>1</v>
      </c>
      <c r="V588" t="s">
        <v>39</v>
      </c>
      <c r="W588" t="s">
        <v>40</v>
      </c>
      <c r="X588">
        <v>15</v>
      </c>
      <c r="Y588">
        <v>3</v>
      </c>
      <c r="Z588">
        <v>2</v>
      </c>
      <c r="AA588">
        <v>80</v>
      </c>
      <c r="AB588">
        <v>0</v>
      </c>
      <c r="AC588">
        <v>5</v>
      </c>
      <c r="AD588">
        <v>3</v>
      </c>
      <c r="AE588">
        <v>4</v>
      </c>
      <c r="AF588">
        <v>5</v>
      </c>
      <c r="AG588">
        <v>4</v>
      </c>
      <c r="AH588">
        <v>0</v>
      </c>
      <c r="AI588">
        <v>4</v>
      </c>
    </row>
    <row r="589" spans="1:35" x14ac:dyDescent="0.3">
      <c r="A589">
        <v>27</v>
      </c>
      <c r="B589" t="s">
        <v>40</v>
      </c>
      <c r="C589" t="s">
        <v>33</v>
      </c>
      <c r="D589">
        <v>1055</v>
      </c>
      <c r="E589" t="s">
        <v>42</v>
      </c>
      <c r="F589">
        <v>2</v>
      </c>
      <c r="G589">
        <v>4</v>
      </c>
      <c r="H589" t="s">
        <v>35</v>
      </c>
      <c r="I589">
        <v>1</v>
      </c>
      <c r="J589">
        <v>1027</v>
      </c>
      <c r="K589">
        <v>1</v>
      </c>
      <c r="L589" s="17" t="s">
        <v>36</v>
      </c>
      <c r="M589">
        <v>47</v>
      </c>
      <c r="N589">
        <v>3</v>
      </c>
      <c r="O589">
        <v>2</v>
      </c>
      <c r="P589" t="s">
        <v>50</v>
      </c>
      <c r="Q589">
        <v>4</v>
      </c>
      <c r="R589" t="s">
        <v>45</v>
      </c>
      <c r="S589" s="6">
        <v>4227</v>
      </c>
      <c r="T589">
        <v>4658</v>
      </c>
      <c r="U589">
        <v>0</v>
      </c>
      <c r="V589" t="s">
        <v>39</v>
      </c>
      <c r="W589" t="s">
        <v>40</v>
      </c>
      <c r="X589">
        <v>18</v>
      </c>
      <c r="Y589">
        <v>3</v>
      </c>
      <c r="Z589">
        <v>2</v>
      </c>
      <c r="AA589">
        <v>80</v>
      </c>
      <c r="AB589">
        <v>1</v>
      </c>
      <c r="AC589">
        <v>4</v>
      </c>
      <c r="AD589">
        <v>2</v>
      </c>
      <c r="AE589">
        <v>3</v>
      </c>
      <c r="AF589">
        <v>3</v>
      </c>
      <c r="AG589">
        <v>2</v>
      </c>
      <c r="AH589">
        <v>2</v>
      </c>
      <c r="AI589">
        <v>2</v>
      </c>
    </row>
    <row r="590" spans="1:35" x14ac:dyDescent="0.3">
      <c r="A590">
        <v>35</v>
      </c>
      <c r="B590" t="s">
        <v>40</v>
      </c>
      <c r="C590" t="s">
        <v>33</v>
      </c>
      <c r="D590">
        <v>144</v>
      </c>
      <c r="E590" t="s">
        <v>42</v>
      </c>
      <c r="F590">
        <v>22</v>
      </c>
      <c r="G590">
        <v>3</v>
      </c>
      <c r="H590" t="s">
        <v>35</v>
      </c>
      <c r="I590">
        <v>1</v>
      </c>
      <c r="J590">
        <v>577</v>
      </c>
      <c r="K590">
        <v>4</v>
      </c>
      <c r="L590" s="17" t="s">
        <v>43</v>
      </c>
      <c r="M590">
        <v>46</v>
      </c>
      <c r="N590">
        <v>1</v>
      </c>
      <c r="O590">
        <v>1</v>
      </c>
      <c r="P590" t="s">
        <v>47</v>
      </c>
      <c r="Q590">
        <v>3</v>
      </c>
      <c r="R590" t="s">
        <v>38</v>
      </c>
      <c r="S590" s="6">
        <v>4230</v>
      </c>
      <c r="T590">
        <v>19225</v>
      </c>
      <c r="U590">
        <v>0</v>
      </c>
      <c r="V590" t="s">
        <v>39</v>
      </c>
      <c r="W590" t="s">
        <v>40</v>
      </c>
      <c r="X590">
        <v>15</v>
      </c>
      <c r="Y590">
        <v>3</v>
      </c>
      <c r="Z590">
        <v>3</v>
      </c>
      <c r="AA590">
        <v>80</v>
      </c>
      <c r="AB590">
        <v>0</v>
      </c>
      <c r="AC590">
        <v>6</v>
      </c>
      <c r="AD590">
        <v>2</v>
      </c>
      <c r="AE590">
        <v>3</v>
      </c>
      <c r="AF590">
        <v>5</v>
      </c>
      <c r="AG590">
        <v>4</v>
      </c>
      <c r="AH590">
        <v>4</v>
      </c>
      <c r="AI590">
        <v>3</v>
      </c>
    </row>
    <row r="591" spans="1:35" x14ac:dyDescent="0.3">
      <c r="A591">
        <v>31</v>
      </c>
      <c r="B591" t="s">
        <v>32</v>
      </c>
      <c r="C591" t="s">
        <v>33</v>
      </c>
      <c r="D591">
        <v>1365</v>
      </c>
      <c r="E591" t="s">
        <v>34</v>
      </c>
      <c r="F591">
        <v>13</v>
      </c>
      <c r="G591">
        <v>4</v>
      </c>
      <c r="H591" t="s">
        <v>48</v>
      </c>
      <c r="I591">
        <v>1</v>
      </c>
      <c r="J591">
        <v>650</v>
      </c>
      <c r="K591">
        <v>2</v>
      </c>
      <c r="L591" s="17" t="s">
        <v>43</v>
      </c>
      <c r="M591">
        <v>46</v>
      </c>
      <c r="N591">
        <v>3</v>
      </c>
      <c r="O591">
        <v>2</v>
      </c>
      <c r="P591" t="s">
        <v>37</v>
      </c>
      <c r="Q591">
        <v>1</v>
      </c>
      <c r="R591" t="s">
        <v>49</v>
      </c>
      <c r="S591" s="6">
        <v>4233</v>
      </c>
      <c r="T591">
        <v>11512</v>
      </c>
      <c r="U591">
        <v>2</v>
      </c>
      <c r="V591" t="s">
        <v>39</v>
      </c>
      <c r="W591" t="s">
        <v>40</v>
      </c>
      <c r="X591">
        <v>17</v>
      </c>
      <c r="Y591">
        <v>3</v>
      </c>
      <c r="Z591">
        <v>3</v>
      </c>
      <c r="AA591">
        <v>80</v>
      </c>
      <c r="AB591">
        <v>0</v>
      </c>
      <c r="AC591">
        <v>9</v>
      </c>
      <c r="AD591">
        <v>2</v>
      </c>
      <c r="AE591">
        <v>1</v>
      </c>
      <c r="AF591">
        <v>3</v>
      </c>
      <c r="AG591">
        <v>1</v>
      </c>
      <c r="AH591">
        <v>1</v>
      </c>
      <c r="AI591">
        <v>2</v>
      </c>
    </row>
    <row r="592" spans="1:35" x14ac:dyDescent="0.3">
      <c r="A592">
        <v>48</v>
      </c>
      <c r="B592" t="s">
        <v>40</v>
      </c>
      <c r="C592" t="s">
        <v>33</v>
      </c>
      <c r="D592">
        <v>277</v>
      </c>
      <c r="E592" t="s">
        <v>42</v>
      </c>
      <c r="F592">
        <v>6</v>
      </c>
      <c r="G592">
        <v>3</v>
      </c>
      <c r="H592" t="s">
        <v>35</v>
      </c>
      <c r="I592">
        <v>1</v>
      </c>
      <c r="J592">
        <v>1022</v>
      </c>
      <c r="K592">
        <v>1</v>
      </c>
      <c r="L592" s="17" t="s">
        <v>43</v>
      </c>
      <c r="M592">
        <v>97</v>
      </c>
      <c r="N592">
        <v>2</v>
      </c>
      <c r="O592">
        <v>2</v>
      </c>
      <c r="P592" t="s">
        <v>51</v>
      </c>
      <c r="Q592">
        <v>3</v>
      </c>
      <c r="R592" t="s">
        <v>38</v>
      </c>
      <c r="S592" s="6">
        <v>4240</v>
      </c>
      <c r="T592">
        <v>13119</v>
      </c>
      <c r="U592">
        <v>2</v>
      </c>
      <c r="V592" t="s">
        <v>39</v>
      </c>
      <c r="W592" t="s">
        <v>40</v>
      </c>
      <c r="X592">
        <v>13</v>
      </c>
      <c r="Y592">
        <v>3</v>
      </c>
      <c r="Z592">
        <v>4</v>
      </c>
      <c r="AA592">
        <v>80</v>
      </c>
      <c r="AB592">
        <v>0</v>
      </c>
      <c r="AC592">
        <v>19</v>
      </c>
      <c r="AD592">
        <v>0</v>
      </c>
      <c r="AE592">
        <v>3</v>
      </c>
      <c r="AF592">
        <v>2</v>
      </c>
      <c r="AG592">
        <v>2</v>
      </c>
      <c r="AH592">
        <v>2</v>
      </c>
      <c r="AI592">
        <v>2</v>
      </c>
    </row>
    <row r="593" spans="1:35" x14ac:dyDescent="0.3">
      <c r="A593">
        <v>40</v>
      </c>
      <c r="B593" t="s">
        <v>40</v>
      </c>
      <c r="C593" t="s">
        <v>41</v>
      </c>
      <c r="D593">
        <v>791</v>
      </c>
      <c r="E593" t="s">
        <v>42</v>
      </c>
      <c r="F593">
        <v>2</v>
      </c>
      <c r="G593">
        <v>2</v>
      </c>
      <c r="H593" t="s">
        <v>48</v>
      </c>
      <c r="I593">
        <v>1</v>
      </c>
      <c r="J593">
        <v>807</v>
      </c>
      <c r="K593">
        <v>3</v>
      </c>
      <c r="L593" s="17" t="s">
        <v>36</v>
      </c>
      <c r="M593">
        <v>38</v>
      </c>
      <c r="N593">
        <v>4</v>
      </c>
      <c r="O593">
        <v>2</v>
      </c>
      <c r="P593" t="s">
        <v>51</v>
      </c>
      <c r="Q593">
        <v>2</v>
      </c>
      <c r="R593" t="s">
        <v>45</v>
      </c>
      <c r="S593" s="6">
        <v>4244</v>
      </c>
      <c r="T593">
        <v>9931</v>
      </c>
      <c r="U593">
        <v>1</v>
      </c>
      <c r="V593" t="s">
        <v>39</v>
      </c>
      <c r="W593" t="s">
        <v>40</v>
      </c>
      <c r="X593">
        <v>24</v>
      </c>
      <c r="Y593">
        <v>4</v>
      </c>
      <c r="Z593">
        <v>4</v>
      </c>
      <c r="AA593">
        <v>80</v>
      </c>
      <c r="AB593">
        <v>1</v>
      </c>
      <c r="AC593">
        <v>8</v>
      </c>
      <c r="AD593">
        <v>2</v>
      </c>
      <c r="AE593">
        <v>3</v>
      </c>
      <c r="AF593">
        <v>8</v>
      </c>
      <c r="AG593">
        <v>7</v>
      </c>
      <c r="AH593">
        <v>3</v>
      </c>
      <c r="AI593">
        <v>7</v>
      </c>
    </row>
    <row r="594" spans="1:35" x14ac:dyDescent="0.3">
      <c r="A594">
        <v>35</v>
      </c>
      <c r="B594" t="s">
        <v>40</v>
      </c>
      <c r="C594" t="s">
        <v>41</v>
      </c>
      <c r="D594">
        <v>482</v>
      </c>
      <c r="E594" t="s">
        <v>42</v>
      </c>
      <c r="F594">
        <v>4</v>
      </c>
      <c r="G594">
        <v>4</v>
      </c>
      <c r="H594" t="s">
        <v>35</v>
      </c>
      <c r="I594">
        <v>1</v>
      </c>
      <c r="J594">
        <v>1350</v>
      </c>
      <c r="K594">
        <v>3</v>
      </c>
      <c r="L594" s="17" t="s">
        <v>43</v>
      </c>
      <c r="M594">
        <v>87</v>
      </c>
      <c r="N594">
        <v>3</v>
      </c>
      <c r="O594">
        <v>2</v>
      </c>
      <c r="P594" t="s">
        <v>44</v>
      </c>
      <c r="Q594">
        <v>3</v>
      </c>
      <c r="R594" t="s">
        <v>38</v>
      </c>
      <c r="S594" s="6">
        <v>4249</v>
      </c>
      <c r="T594">
        <v>2690</v>
      </c>
      <c r="U594">
        <v>1</v>
      </c>
      <c r="V594" t="s">
        <v>39</v>
      </c>
      <c r="W594" t="s">
        <v>32</v>
      </c>
      <c r="X594">
        <v>11</v>
      </c>
      <c r="Y594">
        <v>3</v>
      </c>
      <c r="Z594">
        <v>2</v>
      </c>
      <c r="AA594">
        <v>80</v>
      </c>
      <c r="AB594">
        <v>0</v>
      </c>
      <c r="AC594">
        <v>9</v>
      </c>
      <c r="AD594">
        <v>3</v>
      </c>
      <c r="AE594">
        <v>3</v>
      </c>
      <c r="AF594">
        <v>9</v>
      </c>
      <c r="AG594">
        <v>6</v>
      </c>
      <c r="AH594">
        <v>1</v>
      </c>
      <c r="AI594">
        <v>1</v>
      </c>
    </row>
    <row r="595" spans="1:35" x14ac:dyDescent="0.3">
      <c r="A595">
        <v>25</v>
      </c>
      <c r="B595" t="s">
        <v>40</v>
      </c>
      <c r="C595" t="s">
        <v>33</v>
      </c>
      <c r="D595">
        <v>583</v>
      </c>
      <c r="E595" t="s">
        <v>34</v>
      </c>
      <c r="F595">
        <v>4</v>
      </c>
      <c r="G595">
        <v>1</v>
      </c>
      <c r="H595" t="s">
        <v>56</v>
      </c>
      <c r="I595">
        <v>1</v>
      </c>
      <c r="J595">
        <v>885</v>
      </c>
      <c r="K595">
        <v>3</v>
      </c>
      <c r="L595" s="17" t="s">
        <v>43</v>
      </c>
      <c r="M595">
        <v>87</v>
      </c>
      <c r="N595">
        <v>2</v>
      </c>
      <c r="O595">
        <v>2</v>
      </c>
      <c r="P595" t="s">
        <v>37</v>
      </c>
      <c r="Q595">
        <v>1</v>
      </c>
      <c r="R595" t="s">
        <v>45</v>
      </c>
      <c r="S595" s="6">
        <v>4256</v>
      </c>
      <c r="T595">
        <v>18154</v>
      </c>
      <c r="U595">
        <v>1</v>
      </c>
      <c r="V595" t="s">
        <v>39</v>
      </c>
      <c r="W595" t="s">
        <v>40</v>
      </c>
      <c r="X595">
        <v>12</v>
      </c>
      <c r="Y595">
        <v>3</v>
      </c>
      <c r="Z595">
        <v>1</v>
      </c>
      <c r="AA595">
        <v>80</v>
      </c>
      <c r="AB595">
        <v>0</v>
      </c>
      <c r="AC595">
        <v>5</v>
      </c>
      <c r="AD595">
        <v>1</v>
      </c>
      <c r="AE595">
        <v>4</v>
      </c>
      <c r="AF595">
        <v>5</v>
      </c>
      <c r="AG595">
        <v>2</v>
      </c>
      <c r="AH595">
        <v>0</v>
      </c>
      <c r="AI595">
        <v>3</v>
      </c>
    </row>
    <row r="596" spans="1:35" x14ac:dyDescent="0.3">
      <c r="A596">
        <v>56</v>
      </c>
      <c r="B596" t="s">
        <v>40</v>
      </c>
      <c r="C596" t="s">
        <v>33</v>
      </c>
      <c r="D596">
        <v>713</v>
      </c>
      <c r="E596" t="s">
        <v>42</v>
      </c>
      <c r="F596">
        <v>8</v>
      </c>
      <c r="G596">
        <v>3</v>
      </c>
      <c r="H596" t="s">
        <v>35</v>
      </c>
      <c r="I596">
        <v>1</v>
      </c>
      <c r="J596">
        <v>241</v>
      </c>
      <c r="K596">
        <v>3</v>
      </c>
      <c r="L596" s="17" t="s">
        <v>36</v>
      </c>
      <c r="M596">
        <v>67</v>
      </c>
      <c r="N596">
        <v>3</v>
      </c>
      <c r="O596">
        <v>1</v>
      </c>
      <c r="P596" t="s">
        <v>44</v>
      </c>
      <c r="Q596">
        <v>1</v>
      </c>
      <c r="R596" t="s">
        <v>49</v>
      </c>
      <c r="S596" s="6">
        <v>4257</v>
      </c>
      <c r="T596">
        <v>13939</v>
      </c>
      <c r="U596">
        <v>4</v>
      </c>
      <c r="V596" t="s">
        <v>39</v>
      </c>
      <c r="W596" t="s">
        <v>32</v>
      </c>
      <c r="X596">
        <v>18</v>
      </c>
      <c r="Y596">
        <v>3</v>
      </c>
      <c r="Z596">
        <v>3</v>
      </c>
      <c r="AA596">
        <v>80</v>
      </c>
      <c r="AB596">
        <v>1</v>
      </c>
      <c r="AC596">
        <v>19</v>
      </c>
      <c r="AD596">
        <v>3</v>
      </c>
      <c r="AE596">
        <v>3</v>
      </c>
      <c r="AF596">
        <v>2</v>
      </c>
      <c r="AG596">
        <v>2</v>
      </c>
      <c r="AH596">
        <v>2</v>
      </c>
      <c r="AI596">
        <v>2</v>
      </c>
    </row>
    <row r="597" spans="1:35" x14ac:dyDescent="0.3">
      <c r="A597">
        <v>52</v>
      </c>
      <c r="B597" t="s">
        <v>40</v>
      </c>
      <c r="C597" t="s">
        <v>52</v>
      </c>
      <c r="D597">
        <v>715</v>
      </c>
      <c r="E597" t="s">
        <v>42</v>
      </c>
      <c r="F597">
        <v>19</v>
      </c>
      <c r="G597">
        <v>4</v>
      </c>
      <c r="H597" t="s">
        <v>48</v>
      </c>
      <c r="I597">
        <v>1</v>
      </c>
      <c r="J597">
        <v>791</v>
      </c>
      <c r="K597">
        <v>4</v>
      </c>
      <c r="L597" s="17" t="s">
        <v>43</v>
      </c>
      <c r="M597">
        <v>41</v>
      </c>
      <c r="N597">
        <v>3</v>
      </c>
      <c r="O597">
        <v>1</v>
      </c>
      <c r="P597" t="s">
        <v>44</v>
      </c>
      <c r="Q597">
        <v>4</v>
      </c>
      <c r="R597" t="s">
        <v>45</v>
      </c>
      <c r="S597" s="6">
        <v>4258</v>
      </c>
      <c r="T597">
        <v>26589</v>
      </c>
      <c r="U597">
        <v>0</v>
      </c>
      <c r="V597" t="s">
        <v>39</v>
      </c>
      <c r="W597" t="s">
        <v>40</v>
      </c>
      <c r="X597">
        <v>18</v>
      </c>
      <c r="Y597">
        <v>3</v>
      </c>
      <c r="Z597">
        <v>1</v>
      </c>
      <c r="AA597">
        <v>80</v>
      </c>
      <c r="AB597">
        <v>1</v>
      </c>
      <c r="AC597">
        <v>5</v>
      </c>
      <c r="AD597">
        <v>3</v>
      </c>
      <c r="AE597">
        <v>3</v>
      </c>
      <c r="AF597">
        <v>4</v>
      </c>
      <c r="AG597">
        <v>3</v>
      </c>
      <c r="AH597">
        <v>1</v>
      </c>
      <c r="AI597">
        <v>2</v>
      </c>
    </row>
    <row r="598" spans="1:35" x14ac:dyDescent="0.3">
      <c r="A598">
        <v>24</v>
      </c>
      <c r="B598" t="s">
        <v>40</v>
      </c>
      <c r="C598" t="s">
        <v>33</v>
      </c>
      <c r="D598">
        <v>1371</v>
      </c>
      <c r="E598" t="s">
        <v>34</v>
      </c>
      <c r="F598">
        <v>10</v>
      </c>
      <c r="G598">
        <v>4</v>
      </c>
      <c r="H598" t="s">
        <v>56</v>
      </c>
      <c r="I598">
        <v>1</v>
      </c>
      <c r="J598">
        <v>507</v>
      </c>
      <c r="K598">
        <v>4</v>
      </c>
      <c r="L598" s="17" t="s">
        <v>36</v>
      </c>
      <c r="M598">
        <v>77</v>
      </c>
      <c r="N598">
        <v>3</v>
      </c>
      <c r="O598">
        <v>2</v>
      </c>
      <c r="P598" t="s">
        <v>37</v>
      </c>
      <c r="Q598">
        <v>3</v>
      </c>
      <c r="R598" t="s">
        <v>49</v>
      </c>
      <c r="S598" s="6">
        <v>4260</v>
      </c>
      <c r="T598">
        <v>5915</v>
      </c>
      <c r="U598">
        <v>1</v>
      </c>
      <c r="V598" t="s">
        <v>39</v>
      </c>
      <c r="W598" t="s">
        <v>32</v>
      </c>
      <c r="X598">
        <v>12</v>
      </c>
      <c r="Y598">
        <v>3</v>
      </c>
      <c r="Z598">
        <v>4</v>
      </c>
      <c r="AA598">
        <v>80</v>
      </c>
      <c r="AB598">
        <v>1</v>
      </c>
      <c r="AC598">
        <v>5</v>
      </c>
      <c r="AD598">
        <v>2</v>
      </c>
      <c r="AE598">
        <v>4</v>
      </c>
      <c r="AF598">
        <v>5</v>
      </c>
      <c r="AG598">
        <v>2</v>
      </c>
      <c r="AH598">
        <v>0</v>
      </c>
      <c r="AI598">
        <v>3</v>
      </c>
    </row>
    <row r="599" spans="1:35" x14ac:dyDescent="0.3">
      <c r="A599">
        <v>29</v>
      </c>
      <c r="B599" t="s">
        <v>40</v>
      </c>
      <c r="C599" t="s">
        <v>33</v>
      </c>
      <c r="D599">
        <v>232</v>
      </c>
      <c r="E599" t="s">
        <v>42</v>
      </c>
      <c r="F599">
        <v>19</v>
      </c>
      <c r="G599">
        <v>3</v>
      </c>
      <c r="H599" t="s">
        <v>57</v>
      </c>
      <c r="I599">
        <v>1</v>
      </c>
      <c r="J599">
        <v>611</v>
      </c>
      <c r="K599">
        <v>4</v>
      </c>
      <c r="L599" s="17" t="s">
        <v>43</v>
      </c>
      <c r="M599">
        <v>34</v>
      </c>
      <c r="N599">
        <v>3</v>
      </c>
      <c r="O599">
        <v>2</v>
      </c>
      <c r="P599" t="s">
        <v>50</v>
      </c>
      <c r="Q599">
        <v>4</v>
      </c>
      <c r="R599" t="s">
        <v>49</v>
      </c>
      <c r="S599" s="6">
        <v>4262</v>
      </c>
      <c r="T599">
        <v>22645</v>
      </c>
      <c r="U599">
        <v>4</v>
      </c>
      <c r="V599" t="s">
        <v>39</v>
      </c>
      <c r="W599" t="s">
        <v>40</v>
      </c>
      <c r="X599">
        <v>12</v>
      </c>
      <c r="Y599">
        <v>3</v>
      </c>
      <c r="Z599">
        <v>2</v>
      </c>
      <c r="AA599">
        <v>80</v>
      </c>
      <c r="AB599">
        <v>2</v>
      </c>
      <c r="AC599">
        <v>8</v>
      </c>
      <c r="AD599">
        <v>2</v>
      </c>
      <c r="AE599">
        <v>4</v>
      </c>
      <c r="AF599">
        <v>3</v>
      </c>
      <c r="AG599">
        <v>2</v>
      </c>
      <c r="AH599">
        <v>1</v>
      </c>
      <c r="AI599">
        <v>2</v>
      </c>
    </row>
    <row r="600" spans="1:35" x14ac:dyDescent="0.3">
      <c r="A600">
        <v>42</v>
      </c>
      <c r="B600" t="s">
        <v>40</v>
      </c>
      <c r="C600" t="s">
        <v>33</v>
      </c>
      <c r="D600">
        <v>188</v>
      </c>
      <c r="E600" t="s">
        <v>42</v>
      </c>
      <c r="F600">
        <v>29</v>
      </c>
      <c r="G600">
        <v>3</v>
      </c>
      <c r="H600" t="s">
        <v>48</v>
      </c>
      <c r="I600">
        <v>1</v>
      </c>
      <c r="J600">
        <v>1148</v>
      </c>
      <c r="K600">
        <v>2</v>
      </c>
      <c r="L600" s="17" t="s">
        <v>43</v>
      </c>
      <c r="M600">
        <v>56</v>
      </c>
      <c r="N600">
        <v>1</v>
      </c>
      <c r="O600">
        <v>2</v>
      </c>
      <c r="P600" t="s">
        <v>47</v>
      </c>
      <c r="Q600">
        <v>4</v>
      </c>
      <c r="R600" t="s">
        <v>38</v>
      </c>
      <c r="S600" s="6">
        <v>4272</v>
      </c>
      <c r="T600">
        <v>9558</v>
      </c>
      <c r="U600">
        <v>4</v>
      </c>
      <c r="V600" t="s">
        <v>39</v>
      </c>
      <c r="W600" t="s">
        <v>40</v>
      </c>
      <c r="X600">
        <v>19</v>
      </c>
      <c r="Y600">
        <v>3</v>
      </c>
      <c r="Z600">
        <v>1</v>
      </c>
      <c r="AA600">
        <v>80</v>
      </c>
      <c r="AB600">
        <v>0</v>
      </c>
      <c r="AC600">
        <v>16</v>
      </c>
      <c r="AD600">
        <v>3</v>
      </c>
      <c r="AE600">
        <v>3</v>
      </c>
      <c r="AF600">
        <v>1</v>
      </c>
      <c r="AG600">
        <v>0</v>
      </c>
      <c r="AH600">
        <v>0</v>
      </c>
      <c r="AI600">
        <v>0</v>
      </c>
    </row>
    <row r="601" spans="1:35" x14ac:dyDescent="0.3">
      <c r="A601">
        <v>49</v>
      </c>
      <c r="B601" t="s">
        <v>32</v>
      </c>
      <c r="C601" t="s">
        <v>41</v>
      </c>
      <c r="D601">
        <v>1475</v>
      </c>
      <c r="E601" t="s">
        <v>42</v>
      </c>
      <c r="F601">
        <v>28</v>
      </c>
      <c r="G601">
        <v>2</v>
      </c>
      <c r="H601" t="s">
        <v>35</v>
      </c>
      <c r="I601">
        <v>1</v>
      </c>
      <c r="J601">
        <v>1420</v>
      </c>
      <c r="K601">
        <v>1</v>
      </c>
      <c r="L601" s="17" t="s">
        <v>43</v>
      </c>
      <c r="M601">
        <v>97</v>
      </c>
      <c r="N601">
        <v>2</v>
      </c>
      <c r="O601">
        <v>2</v>
      </c>
      <c r="P601" t="s">
        <v>47</v>
      </c>
      <c r="Q601">
        <v>1</v>
      </c>
      <c r="R601" t="s">
        <v>38</v>
      </c>
      <c r="S601" s="6">
        <v>4284</v>
      </c>
      <c r="T601">
        <v>22710</v>
      </c>
      <c r="U601">
        <v>3</v>
      </c>
      <c r="V601" t="s">
        <v>39</v>
      </c>
      <c r="W601" t="s">
        <v>40</v>
      </c>
      <c r="X601">
        <v>20</v>
      </c>
      <c r="Y601">
        <v>4</v>
      </c>
      <c r="Z601">
        <v>1</v>
      </c>
      <c r="AA601">
        <v>80</v>
      </c>
      <c r="AB601">
        <v>0</v>
      </c>
      <c r="AC601">
        <v>20</v>
      </c>
      <c r="AD601">
        <v>2</v>
      </c>
      <c r="AE601">
        <v>3</v>
      </c>
      <c r="AF601">
        <v>4</v>
      </c>
      <c r="AG601">
        <v>3</v>
      </c>
      <c r="AH601">
        <v>1</v>
      </c>
      <c r="AI601">
        <v>3</v>
      </c>
    </row>
    <row r="602" spans="1:35" x14ac:dyDescent="0.3">
      <c r="A602">
        <v>37</v>
      </c>
      <c r="B602" t="s">
        <v>40</v>
      </c>
      <c r="C602" t="s">
        <v>33</v>
      </c>
      <c r="D602">
        <v>783</v>
      </c>
      <c r="E602" t="s">
        <v>42</v>
      </c>
      <c r="F602">
        <v>7</v>
      </c>
      <c r="G602">
        <v>4</v>
      </c>
      <c r="H602" t="s">
        <v>48</v>
      </c>
      <c r="I602">
        <v>1</v>
      </c>
      <c r="J602">
        <v>1885</v>
      </c>
      <c r="K602">
        <v>4</v>
      </c>
      <c r="L602" s="17" t="s">
        <v>43</v>
      </c>
      <c r="M602">
        <v>78</v>
      </c>
      <c r="N602">
        <v>3</v>
      </c>
      <c r="O602">
        <v>2</v>
      </c>
      <c r="P602" t="s">
        <v>44</v>
      </c>
      <c r="Q602">
        <v>1</v>
      </c>
      <c r="R602" t="s">
        <v>45</v>
      </c>
      <c r="S602" s="6">
        <v>4284</v>
      </c>
      <c r="T602">
        <v>13588</v>
      </c>
      <c r="U602">
        <v>5</v>
      </c>
      <c r="V602" t="s">
        <v>39</v>
      </c>
      <c r="W602" t="s">
        <v>32</v>
      </c>
      <c r="X602">
        <v>22</v>
      </c>
      <c r="Y602">
        <v>4</v>
      </c>
      <c r="Z602">
        <v>3</v>
      </c>
      <c r="AA602">
        <v>80</v>
      </c>
      <c r="AB602">
        <v>1</v>
      </c>
      <c r="AC602">
        <v>16</v>
      </c>
      <c r="AD602">
        <v>2</v>
      </c>
      <c r="AE602">
        <v>3</v>
      </c>
      <c r="AF602">
        <v>5</v>
      </c>
      <c r="AG602">
        <v>3</v>
      </c>
      <c r="AH602">
        <v>0</v>
      </c>
      <c r="AI602">
        <v>4</v>
      </c>
    </row>
    <row r="603" spans="1:35" x14ac:dyDescent="0.3">
      <c r="A603">
        <v>37</v>
      </c>
      <c r="B603" t="s">
        <v>40</v>
      </c>
      <c r="C603" t="s">
        <v>33</v>
      </c>
      <c r="D603">
        <v>674</v>
      </c>
      <c r="E603" t="s">
        <v>42</v>
      </c>
      <c r="F603">
        <v>13</v>
      </c>
      <c r="G603">
        <v>3</v>
      </c>
      <c r="H603" t="s">
        <v>48</v>
      </c>
      <c r="I603">
        <v>1</v>
      </c>
      <c r="J603">
        <v>1543</v>
      </c>
      <c r="K603">
        <v>1</v>
      </c>
      <c r="L603" s="17" t="s">
        <v>43</v>
      </c>
      <c r="M603">
        <v>47</v>
      </c>
      <c r="N603">
        <v>3</v>
      </c>
      <c r="O603">
        <v>2</v>
      </c>
      <c r="P603" t="s">
        <v>44</v>
      </c>
      <c r="Q603">
        <v>4</v>
      </c>
      <c r="R603" t="s">
        <v>45</v>
      </c>
      <c r="S603" s="6">
        <v>4285</v>
      </c>
      <c r="T603">
        <v>3031</v>
      </c>
      <c r="U603">
        <v>1</v>
      </c>
      <c r="V603" t="s">
        <v>39</v>
      </c>
      <c r="W603" t="s">
        <v>40</v>
      </c>
      <c r="X603">
        <v>17</v>
      </c>
      <c r="Y603">
        <v>3</v>
      </c>
      <c r="Z603">
        <v>1</v>
      </c>
      <c r="AA603">
        <v>80</v>
      </c>
      <c r="AB603">
        <v>0</v>
      </c>
      <c r="AC603">
        <v>10</v>
      </c>
      <c r="AD603">
        <v>2</v>
      </c>
      <c r="AE603">
        <v>3</v>
      </c>
      <c r="AF603">
        <v>10</v>
      </c>
      <c r="AG603">
        <v>8</v>
      </c>
      <c r="AH603">
        <v>3</v>
      </c>
      <c r="AI603">
        <v>7</v>
      </c>
    </row>
    <row r="604" spans="1:35" x14ac:dyDescent="0.3">
      <c r="A604">
        <v>45</v>
      </c>
      <c r="B604" t="s">
        <v>32</v>
      </c>
      <c r="C604" t="s">
        <v>41</v>
      </c>
      <c r="D604">
        <v>306</v>
      </c>
      <c r="E604" t="s">
        <v>34</v>
      </c>
      <c r="F604">
        <v>26</v>
      </c>
      <c r="G604">
        <v>4</v>
      </c>
      <c r="H604" t="s">
        <v>35</v>
      </c>
      <c r="I604">
        <v>1</v>
      </c>
      <c r="J604">
        <v>684</v>
      </c>
      <c r="K604">
        <v>1</v>
      </c>
      <c r="L604" s="17" t="s">
        <v>36</v>
      </c>
      <c r="M604">
        <v>100</v>
      </c>
      <c r="N604">
        <v>3</v>
      </c>
      <c r="O604">
        <v>2</v>
      </c>
      <c r="P604" t="s">
        <v>37</v>
      </c>
      <c r="Q604">
        <v>1</v>
      </c>
      <c r="R604" t="s">
        <v>45</v>
      </c>
      <c r="S604" s="6">
        <v>4286</v>
      </c>
      <c r="T604">
        <v>5630</v>
      </c>
      <c r="U604">
        <v>2</v>
      </c>
      <c r="V604" t="s">
        <v>39</v>
      </c>
      <c r="W604" t="s">
        <v>40</v>
      </c>
      <c r="X604">
        <v>14</v>
      </c>
      <c r="Y604">
        <v>3</v>
      </c>
      <c r="Z604">
        <v>4</v>
      </c>
      <c r="AA604">
        <v>80</v>
      </c>
      <c r="AB604">
        <v>2</v>
      </c>
      <c r="AC604">
        <v>5</v>
      </c>
      <c r="AD604">
        <v>4</v>
      </c>
      <c r="AE604">
        <v>3</v>
      </c>
      <c r="AF604">
        <v>1</v>
      </c>
      <c r="AG604">
        <v>1</v>
      </c>
      <c r="AH604">
        <v>0</v>
      </c>
      <c r="AI604">
        <v>0</v>
      </c>
    </row>
    <row r="605" spans="1:35" x14ac:dyDescent="0.3">
      <c r="A605">
        <v>26</v>
      </c>
      <c r="B605" t="s">
        <v>40</v>
      </c>
      <c r="C605" t="s">
        <v>41</v>
      </c>
      <c r="D605">
        <v>1283</v>
      </c>
      <c r="E605" t="s">
        <v>34</v>
      </c>
      <c r="F605">
        <v>1</v>
      </c>
      <c r="G605">
        <v>3</v>
      </c>
      <c r="H605" t="s">
        <v>48</v>
      </c>
      <c r="I605">
        <v>1</v>
      </c>
      <c r="J605">
        <v>956</v>
      </c>
      <c r="K605">
        <v>3</v>
      </c>
      <c r="L605" s="17" t="s">
        <v>43</v>
      </c>
      <c r="M605">
        <v>52</v>
      </c>
      <c r="N605">
        <v>2</v>
      </c>
      <c r="O605">
        <v>2</v>
      </c>
      <c r="P605" t="s">
        <v>37</v>
      </c>
      <c r="Q605">
        <v>1</v>
      </c>
      <c r="R605" t="s">
        <v>38</v>
      </c>
      <c r="S605" s="6">
        <v>4294</v>
      </c>
      <c r="T605">
        <v>11148</v>
      </c>
      <c r="U605">
        <v>1</v>
      </c>
      <c r="V605" t="s">
        <v>39</v>
      </c>
      <c r="W605" t="s">
        <v>40</v>
      </c>
      <c r="X605">
        <v>12</v>
      </c>
      <c r="Y605">
        <v>3</v>
      </c>
      <c r="Z605">
        <v>2</v>
      </c>
      <c r="AA605">
        <v>80</v>
      </c>
      <c r="AB605">
        <v>0</v>
      </c>
      <c r="AC605">
        <v>7</v>
      </c>
      <c r="AD605">
        <v>2</v>
      </c>
      <c r="AE605">
        <v>3</v>
      </c>
      <c r="AF605">
        <v>7</v>
      </c>
      <c r="AG605">
        <v>7</v>
      </c>
      <c r="AH605">
        <v>0</v>
      </c>
      <c r="AI605">
        <v>7</v>
      </c>
    </row>
    <row r="606" spans="1:35" x14ac:dyDescent="0.3">
      <c r="A606">
        <v>27</v>
      </c>
      <c r="B606" t="s">
        <v>40</v>
      </c>
      <c r="C606" t="s">
        <v>41</v>
      </c>
      <c r="D606">
        <v>472</v>
      </c>
      <c r="E606" t="s">
        <v>42</v>
      </c>
      <c r="F606">
        <v>1</v>
      </c>
      <c r="G606">
        <v>1</v>
      </c>
      <c r="H606" t="s">
        <v>57</v>
      </c>
      <c r="I606">
        <v>1</v>
      </c>
      <c r="J606">
        <v>274</v>
      </c>
      <c r="K606">
        <v>3</v>
      </c>
      <c r="L606" s="17" t="s">
        <v>43</v>
      </c>
      <c r="M606">
        <v>60</v>
      </c>
      <c r="N606">
        <v>2</v>
      </c>
      <c r="O606">
        <v>2</v>
      </c>
      <c r="P606" t="s">
        <v>50</v>
      </c>
      <c r="Q606">
        <v>1</v>
      </c>
      <c r="R606" t="s">
        <v>45</v>
      </c>
      <c r="S606" s="6">
        <v>4298</v>
      </c>
      <c r="T606">
        <v>9679</v>
      </c>
      <c r="U606">
        <v>5</v>
      </c>
      <c r="V606" t="s">
        <v>39</v>
      </c>
      <c r="W606" t="s">
        <v>40</v>
      </c>
      <c r="X606">
        <v>19</v>
      </c>
      <c r="Y606">
        <v>3</v>
      </c>
      <c r="Z606">
        <v>3</v>
      </c>
      <c r="AA606">
        <v>80</v>
      </c>
      <c r="AB606">
        <v>1</v>
      </c>
      <c r="AC606">
        <v>6</v>
      </c>
      <c r="AD606">
        <v>1</v>
      </c>
      <c r="AE606">
        <v>3</v>
      </c>
      <c r="AF606">
        <v>2</v>
      </c>
      <c r="AG606">
        <v>2</v>
      </c>
      <c r="AH606">
        <v>2</v>
      </c>
      <c r="AI606">
        <v>0</v>
      </c>
    </row>
    <row r="607" spans="1:35" x14ac:dyDescent="0.3">
      <c r="A607">
        <v>33</v>
      </c>
      <c r="B607" t="s">
        <v>40</v>
      </c>
      <c r="C607" t="s">
        <v>41</v>
      </c>
      <c r="D607">
        <v>970</v>
      </c>
      <c r="E607" t="s">
        <v>34</v>
      </c>
      <c r="F607">
        <v>7</v>
      </c>
      <c r="G607">
        <v>3</v>
      </c>
      <c r="H607" t="s">
        <v>35</v>
      </c>
      <c r="I607">
        <v>1</v>
      </c>
      <c r="J607">
        <v>1114</v>
      </c>
      <c r="K607">
        <v>4</v>
      </c>
      <c r="L607" s="17" t="s">
        <v>36</v>
      </c>
      <c r="M607">
        <v>30</v>
      </c>
      <c r="N607">
        <v>3</v>
      </c>
      <c r="O607">
        <v>2</v>
      </c>
      <c r="P607" t="s">
        <v>37</v>
      </c>
      <c r="Q607">
        <v>2</v>
      </c>
      <c r="R607" t="s">
        <v>45</v>
      </c>
      <c r="S607" s="6">
        <v>4302</v>
      </c>
      <c r="T607">
        <v>13401</v>
      </c>
      <c r="U607">
        <v>0</v>
      </c>
      <c r="V607" t="s">
        <v>39</v>
      </c>
      <c r="W607" t="s">
        <v>40</v>
      </c>
      <c r="X607">
        <v>17</v>
      </c>
      <c r="Y607">
        <v>3</v>
      </c>
      <c r="Z607">
        <v>3</v>
      </c>
      <c r="AA607">
        <v>80</v>
      </c>
      <c r="AB607">
        <v>1</v>
      </c>
      <c r="AC607">
        <v>4</v>
      </c>
      <c r="AD607">
        <v>3</v>
      </c>
      <c r="AE607">
        <v>3</v>
      </c>
      <c r="AF607">
        <v>3</v>
      </c>
      <c r="AG607">
        <v>2</v>
      </c>
      <c r="AH607">
        <v>0</v>
      </c>
      <c r="AI607">
        <v>2</v>
      </c>
    </row>
    <row r="608" spans="1:35" x14ac:dyDescent="0.3">
      <c r="A608">
        <v>31</v>
      </c>
      <c r="B608" t="s">
        <v>40</v>
      </c>
      <c r="C608" t="s">
        <v>33</v>
      </c>
      <c r="D608">
        <v>480</v>
      </c>
      <c r="E608" t="s">
        <v>42</v>
      </c>
      <c r="F608">
        <v>7</v>
      </c>
      <c r="G608">
        <v>2</v>
      </c>
      <c r="H608" t="s">
        <v>48</v>
      </c>
      <c r="I608">
        <v>1</v>
      </c>
      <c r="J608">
        <v>524</v>
      </c>
      <c r="K608">
        <v>2</v>
      </c>
      <c r="L608" s="17" t="s">
        <v>36</v>
      </c>
      <c r="M608">
        <v>31</v>
      </c>
      <c r="N608">
        <v>3</v>
      </c>
      <c r="O608">
        <v>2</v>
      </c>
      <c r="P608" t="s">
        <v>50</v>
      </c>
      <c r="Q608">
        <v>1</v>
      </c>
      <c r="R608" t="s">
        <v>45</v>
      </c>
      <c r="S608" s="6">
        <v>4306</v>
      </c>
      <c r="T608">
        <v>4156</v>
      </c>
      <c r="U608">
        <v>1</v>
      </c>
      <c r="V608" t="s">
        <v>39</v>
      </c>
      <c r="W608" t="s">
        <v>40</v>
      </c>
      <c r="X608">
        <v>12</v>
      </c>
      <c r="Y608">
        <v>3</v>
      </c>
      <c r="Z608">
        <v>2</v>
      </c>
      <c r="AA608">
        <v>80</v>
      </c>
      <c r="AB608">
        <v>1</v>
      </c>
      <c r="AC608">
        <v>13</v>
      </c>
      <c r="AD608">
        <v>5</v>
      </c>
      <c r="AE608">
        <v>1</v>
      </c>
      <c r="AF608">
        <v>13</v>
      </c>
      <c r="AG608">
        <v>10</v>
      </c>
      <c r="AH608">
        <v>3</v>
      </c>
      <c r="AI608">
        <v>12</v>
      </c>
    </row>
    <row r="609" spans="1:35" x14ac:dyDescent="0.3">
      <c r="A609">
        <v>26</v>
      </c>
      <c r="B609" t="s">
        <v>40</v>
      </c>
      <c r="C609" t="s">
        <v>33</v>
      </c>
      <c r="D609">
        <v>775</v>
      </c>
      <c r="E609" t="s">
        <v>34</v>
      </c>
      <c r="F609">
        <v>29</v>
      </c>
      <c r="G609">
        <v>2</v>
      </c>
      <c r="H609" t="s">
        <v>48</v>
      </c>
      <c r="I609">
        <v>1</v>
      </c>
      <c r="J609">
        <v>618</v>
      </c>
      <c r="K609">
        <v>1</v>
      </c>
      <c r="L609" s="17" t="s">
        <v>43</v>
      </c>
      <c r="M609">
        <v>45</v>
      </c>
      <c r="N609">
        <v>3</v>
      </c>
      <c r="O609">
        <v>2</v>
      </c>
      <c r="P609" t="s">
        <v>37</v>
      </c>
      <c r="Q609">
        <v>3</v>
      </c>
      <c r="R609" t="s">
        <v>49</v>
      </c>
      <c r="S609" s="6">
        <v>4306</v>
      </c>
      <c r="T609">
        <v>4267</v>
      </c>
      <c r="U609">
        <v>5</v>
      </c>
      <c r="V609" t="s">
        <v>39</v>
      </c>
      <c r="W609" t="s">
        <v>40</v>
      </c>
      <c r="X609">
        <v>12</v>
      </c>
      <c r="Y609">
        <v>3</v>
      </c>
      <c r="Z609">
        <v>1</v>
      </c>
      <c r="AA609">
        <v>80</v>
      </c>
      <c r="AB609">
        <v>2</v>
      </c>
      <c r="AC609">
        <v>8</v>
      </c>
      <c r="AD609">
        <v>5</v>
      </c>
      <c r="AE609">
        <v>3</v>
      </c>
      <c r="AF609">
        <v>0</v>
      </c>
      <c r="AG609">
        <v>0</v>
      </c>
      <c r="AH609">
        <v>0</v>
      </c>
      <c r="AI609">
        <v>0</v>
      </c>
    </row>
    <row r="610" spans="1:35" x14ac:dyDescent="0.3">
      <c r="A610">
        <v>35</v>
      </c>
      <c r="B610" t="s">
        <v>40</v>
      </c>
      <c r="C610" t="s">
        <v>33</v>
      </c>
      <c r="D610">
        <v>776</v>
      </c>
      <c r="E610" t="s">
        <v>34</v>
      </c>
      <c r="F610">
        <v>1</v>
      </c>
      <c r="G610">
        <v>4</v>
      </c>
      <c r="H610" t="s">
        <v>56</v>
      </c>
      <c r="I610">
        <v>1</v>
      </c>
      <c r="J610">
        <v>100</v>
      </c>
      <c r="K610">
        <v>3</v>
      </c>
      <c r="L610" s="17" t="s">
        <v>43</v>
      </c>
      <c r="M610">
        <v>32</v>
      </c>
      <c r="N610">
        <v>2</v>
      </c>
      <c r="O610">
        <v>2</v>
      </c>
      <c r="P610" t="s">
        <v>37</v>
      </c>
      <c r="Q610">
        <v>1</v>
      </c>
      <c r="R610" t="s">
        <v>38</v>
      </c>
      <c r="S610" s="6">
        <v>4312</v>
      </c>
      <c r="T610">
        <v>23016</v>
      </c>
      <c r="U610">
        <v>0</v>
      </c>
      <c r="V610" t="s">
        <v>39</v>
      </c>
      <c r="W610" t="s">
        <v>40</v>
      </c>
      <c r="X610">
        <v>14</v>
      </c>
      <c r="Y610">
        <v>3</v>
      </c>
      <c r="Z610">
        <v>2</v>
      </c>
      <c r="AA610">
        <v>80</v>
      </c>
      <c r="AB610">
        <v>0</v>
      </c>
      <c r="AC610">
        <v>16</v>
      </c>
      <c r="AD610">
        <v>2</v>
      </c>
      <c r="AE610">
        <v>3</v>
      </c>
      <c r="AF610">
        <v>15</v>
      </c>
      <c r="AG610">
        <v>13</v>
      </c>
      <c r="AH610">
        <v>2</v>
      </c>
      <c r="AI610">
        <v>8</v>
      </c>
    </row>
    <row r="611" spans="1:35" x14ac:dyDescent="0.3">
      <c r="A611">
        <v>38</v>
      </c>
      <c r="B611" t="s">
        <v>40</v>
      </c>
      <c r="C611" t="s">
        <v>33</v>
      </c>
      <c r="D611">
        <v>364</v>
      </c>
      <c r="E611" t="s">
        <v>42</v>
      </c>
      <c r="F611">
        <v>3</v>
      </c>
      <c r="G611">
        <v>5</v>
      </c>
      <c r="H611" t="s">
        <v>57</v>
      </c>
      <c r="I611">
        <v>1</v>
      </c>
      <c r="J611">
        <v>193</v>
      </c>
      <c r="K611">
        <v>4</v>
      </c>
      <c r="L611" s="17" t="s">
        <v>36</v>
      </c>
      <c r="M611">
        <v>32</v>
      </c>
      <c r="N611">
        <v>3</v>
      </c>
      <c r="O611">
        <v>2</v>
      </c>
      <c r="P611" t="s">
        <v>44</v>
      </c>
      <c r="Q611">
        <v>3</v>
      </c>
      <c r="R611" t="s">
        <v>38</v>
      </c>
      <c r="S611" s="6">
        <v>4317</v>
      </c>
      <c r="T611">
        <v>2302</v>
      </c>
      <c r="U611">
        <v>3</v>
      </c>
      <c r="V611" t="s">
        <v>39</v>
      </c>
      <c r="W611" t="s">
        <v>32</v>
      </c>
      <c r="X611">
        <v>20</v>
      </c>
      <c r="Y611">
        <v>4</v>
      </c>
      <c r="Z611">
        <v>2</v>
      </c>
      <c r="AA611">
        <v>80</v>
      </c>
      <c r="AB611">
        <v>0</v>
      </c>
      <c r="AC611">
        <v>19</v>
      </c>
      <c r="AD611">
        <v>2</v>
      </c>
      <c r="AE611">
        <v>3</v>
      </c>
      <c r="AF611">
        <v>3</v>
      </c>
      <c r="AG611">
        <v>2</v>
      </c>
      <c r="AH611">
        <v>2</v>
      </c>
      <c r="AI611">
        <v>2</v>
      </c>
    </row>
    <row r="612" spans="1:35" x14ac:dyDescent="0.3">
      <c r="A612">
        <v>29</v>
      </c>
      <c r="B612" t="s">
        <v>40</v>
      </c>
      <c r="C612" t="s">
        <v>52</v>
      </c>
      <c r="D612">
        <v>1496</v>
      </c>
      <c r="E612" t="s">
        <v>42</v>
      </c>
      <c r="F612">
        <v>1</v>
      </c>
      <c r="G612">
        <v>1</v>
      </c>
      <c r="H612" t="s">
        <v>57</v>
      </c>
      <c r="I612">
        <v>1</v>
      </c>
      <c r="J612">
        <v>208</v>
      </c>
      <c r="K612">
        <v>4</v>
      </c>
      <c r="L612" s="17" t="s">
        <v>43</v>
      </c>
      <c r="M612">
        <v>41</v>
      </c>
      <c r="N612">
        <v>3</v>
      </c>
      <c r="O612">
        <v>2</v>
      </c>
      <c r="P612" t="s">
        <v>50</v>
      </c>
      <c r="Q612">
        <v>3</v>
      </c>
      <c r="R612" t="s">
        <v>45</v>
      </c>
      <c r="S612" s="6">
        <v>4319</v>
      </c>
      <c r="T612">
        <v>26283</v>
      </c>
      <c r="U612">
        <v>1</v>
      </c>
      <c r="V612" t="s">
        <v>39</v>
      </c>
      <c r="W612" t="s">
        <v>40</v>
      </c>
      <c r="X612">
        <v>13</v>
      </c>
      <c r="Y612">
        <v>3</v>
      </c>
      <c r="Z612">
        <v>1</v>
      </c>
      <c r="AA612">
        <v>80</v>
      </c>
      <c r="AB612">
        <v>1</v>
      </c>
      <c r="AC612">
        <v>10</v>
      </c>
      <c r="AD612">
        <v>1</v>
      </c>
      <c r="AE612">
        <v>3</v>
      </c>
      <c r="AF612">
        <v>10</v>
      </c>
      <c r="AG612">
        <v>7</v>
      </c>
      <c r="AH612">
        <v>0</v>
      </c>
      <c r="AI612">
        <v>9</v>
      </c>
    </row>
    <row r="613" spans="1:35" x14ac:dyDescent="0.3">
      <c r="A613">
        <v>33</v>
      </c>
      <c r="B613" t="s">
        <v>40</v>
      </c>
      <c r="C613" t="s">
        <v>33</v>
      </c>
      <c r="D613">
        <v>575</v>
      </c>
      <c r="E613" t="s">
        <v>42</v>
      </c>
      <c r="F613">
        <v>25</v>
      </c>
      <c r="G613">
        <v>3</v>
      </c>
      <c r="H613" t="s">
        <v>35</v>
      </c>
      <c r="I613">
        <v>1</v>
      </c>
      <c r="J613">
        <v>1545</v>
      </c>
      <c r="K613">
        <v>4</v>
      </c>
      <c r="L613" s="17" t="s">
        <v>43</v>
      </c>
      <c r="M613">
        <v>44</v>
      </c>
      <c r="N613">
        <v>2</v>
      </c>
      <c r="O613">
        <v>2</v>
      </c>
      <c r="P613" t="s">
        <v>50</v>
      </c>
      <c r="Q613">
        <v>2</v>
      </c>
      <c r="R613" t="s">
        <v>38</v>
      </c>
      <c r="S613" s="6">
        <v>4320</v>
      </c>
      <c r="T613">
        <v>24152</v>
      </c>
      <c r="U613">
        <v>1</v>
      </c>
      <c r="V613" t="s">
        <v>39</v>
      </c>
      <c r="W613" t="s">
        <v>40</v>
      </c>
      <c r="X613">
        <v>13</v>
      </c>
      <c r="Y613">
        <v>3</v>
      </c>
      <c r="Z613">
        <v>4</v>
      </c>
      <c r="AA613">
        <v>80</v>
      </c>
      <c r="AB613">
        <v>0</v>
      </c>
      <c r="AC613">
        <v>5</v>
      </c>
      <c r="AD613">
        <v>2</v>
      </c>
      <c r="AE613">
        <v>3</v>
      </c>
      <c r="AF613">
        <v>5</v>
      </c>
      <c r="AG613">
        <v>3</v>
      </c>
      <c r="AH613">
        <v>0</v>
      </c>
      <c r="AI613">
        <v>2</v>
      </c>
    </row>
    <row r="614" spans="1:35" x14ac:dyDescent="0.3">
      <c r="A614">
        <v>35</v>
      </c>
      <c r="B614" t="s">
        <v>40</v>
      </c>
      <c r="C614" t="s">
        <v>33</v>
      </c>
      <c r="D614">
        <v>528</v>
      </c>
      <c r="E614" t="s">
        <v>58</v>
      </c>
      <c r="F614">
        <v>8</v>
      </c>
      <c r="G614">
        <v>4</v>
      </c>
      <c r="H614" t="s">
        <v>57</v>
      </c>
      <c r="I614">
        <v>1</v>
      </c>
      <c r="J614">
        <v>1164</v>
      </c>
      <c r="K614">
        <v>3</v>
      </c>
      <c r="L614" s="17" t="s">
        <v>43</v>
      </c>
      <c r="M614">
        <v>100</v>
      </c>
      <c r="N614">
        <v>3</v>
      </c>
      <c r="O614">
        <v>1</v>
      </c>
      <c r="P614" t="s">
        <v>58</v>
      </c>
      <c r="Q614">
        <v>3</v>
      </c>
      <c r="R614" t="s">
        <v>38</v>
      </c>
      <c r="S614" s="6">
        <v>4323</v>
      </c>
      <c r="T614">
        <v>7108</v>
      </c>
      <c r="U614">
        <v>1</v>
      </c>
      <c r="V614" t="s">
        <v>39</v>
      </c>
      <c r="W614" t="s">
        <v>40</v>
      </c>
      <c r="X614">
        <v>17</v>
      </c>
      <c r="Y614">
        <v>3</v>
      </c>
      <c r="Z614">
        <v>2</v>
      </c>
      <c r="AA614">
        <v>80</v>
      </c>
      <c r="AB614">
        <v>0</v>
      </c>
      <c r="AC614">
        <v>6</v>
      </c>
      <c r="AD614">
        <v>2</v>
      </c>
      <c r="AE614">
        <v>1</v>
      </c>
      <c r="AF614">
        <v>5</v>
      </c>
      <c r="AG614">
        <v>4</v>
      </c>
      <c r="AH614">
        <v>1</v>
      </c>
      <c r="AI614">
        <v>4</v>
      </c>
    </row>
    <row r="615" spans="1:35" x14ac:dyDescent="0.3">
      <c r="A615">
        <v>34</v>
      </c>
      <c r="B615" t="s">
        <v>40</v>
      </c>
      <c r="C615" t="s">
        <v>33</v>
      </c>
      <c r="D615">
        <v>1153</v>
      </c>
      <c r="E615" t="s">
        <v>42</v>
      </c>
      <c r="F615">
        <v>1</v>
      </c>
      <c r="G615">
        <v>2</v>
      </c>
      <c r="H615" t="s">
        <v>48</v>
      </c>
      <c r="I615">
        <v>1</v>
      </c>
      <c r="J615">
        <v>110</v>
      </c>
      <c r="K615">
        <v>1</v>
      </c>
      <c r="L615" s="17" t="s">
        <v>43</v>
      </c>
      <c r="M615">
        <v>94</v>
      </c>
      <c r="N615">
        <v>3</v>
      </c>
      <c r="O615">
        <v>2</v>
      </c>
      <c r="P615" t="s">
        <v>50</v>
      </c>
      <c r="Q615">
        <v>2</v>
      </c>
      <c r="R615" t="s">
        <v>45</v>
      </c>
      <c r="S615" s="6">
        <v>4325</v>
      </c>
      <c r="T615">
        <v>17736</v>
      </c>
      <c r="U615">
        <v>1</v>
      </c>
      <c r="V615" t="s">
        <v>39</v>
      </c>
      <c r="W615" t="s">
        <v>40</v>
      </c>
      <c r="X615">
        <v>15</v>
      </c>
      <c r="Y615">
        <v>3</v>
      </c>
      <c r="Z615">
        <v>3</v>
      </c>
      <c r="AA615">
        <v>80</v>
      </c>
      <c r="AB615">
        <v>0</v>
      </c>
      <c r="AC615">
        <v>5</v>
      </c>
      <c r="AD615">
        <v>2</v>
      </c>
      <c r="AE615">
        <v>3</v>
      </c>
      <c r="AF615">
        <v>5</v>
      </c>
      <c r="AG615">
        <v>2</v>
      </c>
      <c r="AH615">
        <v>1</v>
      </c>
      <c r="AI615">
        <v>3</v>
      </c>
    </row>
    <row r="616" spans="1:35" x14ac:dyDescent="0.3">
      <c r="A616">
        <v>40</v>
      </c>
      <c r="B616" t="s">
        <v>40</v>
      </c>
      <c r="C616" t="s">
        <v>41</v>
      </c>
      <c r="D616">
        <v>1184</v>
      </c>
      <c r="E616" t="s">
        <v>34</v>
      </c>
      <c r="F616">
        <v>2</v>
      </c>
      <c r="G616">
        <v>4</v>
      </c>
      <c r="H616" t="s">
        <v>48</v>
      </c>
      <c r="I616">
        <v>1</v>
      </c>
      <c r="J616">
        <v>1212</v>
      </c>
      <c r="K616">
        <v>2</v>
      </c>
      <c r="L616" s="17" t="s">
        <v>43</v>
      </c>
      <c r="M616">
        <v>62</v>
      </c>
      <c r="N616">
        <v>3</v>
      </c>
      <c r="O616">
        <v>2</v>
      </c>
      <c r="P616" t="s">
        <v>37</v>
      </c>
      <c r="Q616">
        <v>2</v>
      </c>
      <c r="R616" t="s">
        <v>45</v>
      </c>
      <c r="S616" s="6">
        <v>4327</v>
      </c>
      <c r="T616">
        <v>25440</v>
      </c>
      <c r="U616">
        <v>5</v>
      </c>
      <c r="V616" t="s">
        <v>39</v>
      </c>
      <c r="W616" t="s">
        <v>40</v>
      </c>
      <c r="X616">
        <v>12</v>
      </c>
      <c r="Y616">
        <v>3</v>
      </c>
      <c r="Z616">
        <v>4</v>
      </c>
      <c r="AA616">
        <v>80</v>
      </c>
      <c r="AB616">
        <v>3</v>
      </c>
      <c r="AC616">
        <v>5</v>
      </c>
      <c r="AD616">
        <v>2</v>
      </c>
      <c r="AE616">
        <v>3</v>
      </c>
      <c r="AF616">
        <v>0</v>
      </c>
      <c r="AG616">
        <v>0</v>
      </c>
      <c r="AH616">
        <v>0</v>
      </c>
      <c r="AI616">
        <v>0</v>
      </c>
    </row>
    <row r="617" spans="1:35" x14ac:dyDescent="0.3">
      <c r="A617">
        <v>42</v>
      </c>
      <c r="B617" t="s">
        <v>40</v>
      </c>
      <c r="C617" t="s">
        <v>52</v>
      </c>
      <c r="D617">
        <v>335</v>
      </c>
      <c r="E617" t="s">
        <v>42</v>
      </c>
      <c r="F617">
        <v>23</v>
      </c>
      <c r="G617">
        <v>2</v>
      </c>
      <c r="H617" t="s">
        <v>35</v>
      </c>
      <c r="I617">
        <v>1</v>
      </c>
      <c r="J617">
        <v>1976</v>
      </c>
      <c r="K617">
        <v>4</v>
      </c>
      <c r="L617" s="17" t="s">
        <v>43</v>
      </c>
      <c r="M617">
        <v>37</v>
      </c>
      <c r="N617">
        <v>2</v>
      </c>
      <c r="O617">
        <v>2</v>
      </c>
      <c r="P617" t="s">
        <v>44</v>
      </c>
      <c r="Q617">
        <v>3</v>
      </c>
      <c r="R617" t="s">
        <v>38</v>
      </c>
      <c r="S617" s="6">
        <v>4332</v>
      </c>
      <c r="T617">
        <v>14811</v>
      </c>
      <c r="U617">
        <v>1</v>
      </c>
      <c r="V617" t="s">
        <v>39</v>
      </c>
      <c r="W617" t="s">
        <v>40</v>
      </c>
      <c r="X617">
        <v>12</v>
      </c>
      <c r="Y617">
        <v>3</v>
      </c>
      <c r="Z617">
        <v>4</v>
      </c>
      <c r="AA617">
        <v>80</v>
      </c>
      <c r="AB617">
        <v>0</v>
      </c>
      <c r="AC617">
        <v>20</v>
      </c>
      <c r="AD617">
        <v>2</v>
      </c>
      <c r="AE617">
        <v>3</v>
      </c>
      <c r="AF617">
        <v>20</v>
      </c>
      <c r="AG617">
        <v>9</v>
      </c>
      <c r="AH617">
        <v>3</v>
      </c>
      <c r="AI617">
        <v>7</v>
      </c>
    </row>
    <row r="618" spans="1:35" x14ac:dyDescent="0.3">
      <c r="A618">
        <v>29</v>
      </c>
      <c r="B618" t="s">
        <v>40</v>
      </c>
      <c r="C618" t="s">
        <v>33</v>
      </c>
      <c r="D618">
        <v>657</v>
      </c>
      <c r="E618" t="s">
        <v>42</v>
      </c>
      <c r="F618">
        <v>27</v>
      </c>
      <c r="G618">
        <v>3</v>
      </c>
      <c r="H618" t="s">
        <v>48</v>
      </c>
      <c r="I618">
        <v>1</v>
      </c>
      <c r="J618">
        <v>793</v>
      </c>
      <c r="K618">
        <v>2</v>
      </c>
      <c r="L618" s="17" t="s">
        <v>36</v>
      </c>
      <c r="M618">
        <v>66</v>
      </c>
      <c r="N618">
        <v>3</v>
      </c>
      <c r="O618">
        <v>2</v>
      </c>
      <c r="P618" t="s">
        <v>51</v>
      </c>
      <c r="Q618">
        <v>3</v>
      </c>
      <c r="R618" t="s">
        <v>45</v>
      </c>
      <c r="S618" s="6">
        <v>4335</v>
      </c>
      <c r="T618">
        <v>25549</v>
      </c>
      <c r="U618">
        <v>4</v>
      </c>
      <c r="V618" t="s">
        <v>39</v>
      </c>
      <c r="W618" t="s">
        <v>40</v>
      </c>
      <c r="X618">
        <v>12</v>
      </c>
      <c r="Y618">
        <v>3</v>
      </c>
      <c r="Z618">
        <v>1</v>
      </c>
      <c r="AA618">
        <v>80</v>
      </c>
      <c r="AB618">
        <v>1</v>
      </c>
      <c r="AC618">
        <v>11</v>
      </c>
      <c r="AD618">
        <v>3</v>
      </c>
      <c r="AE618">
        <v>2</v>
      </c>
      <c r="AF618">
        <v>8</v>
      </c>
      <c r="AG618">
        <v>7</v>
      </c>
      <c r="AH618">
        <v>1</v>
      </c>
      <c r="AI618">
        <v>1</v>
      </c>
    </row>
    <row r="619" spans="1:35" x14ac:dyDescent="0.3">
      <c r="A619">
        <v>27</v>
      </c>
      <c r="B619" t="s">
        <v>40</v>
      </c>
      <c r="C619" t="s">
        <v>41</v>
      </c>
      <c r="D619">
        <v>829</v>
      </c>
      <c r="E619" t="s">
        <v>34</v>
      </c>
      <c r="F619">
        <v>8</v>
      </c>
      <c r="G619">
        <v>1</v>
      </c>
      <c r="H619" t="s">
        <v>56</v>
      </c>
      <c r="I619">
        <v>1</v>
      </c>
      <c r="J619">
        <v>800</v>
      </c>
      <c r="K619">
        <v>3</v>
      </c>
      <c r="L619" s="17" t="s">
        <v>43</v>
      </c>
      <c r="M619">
        <v>84</v>
      </c>
      <c r="N619">
        <v>3</v>
      </c>
      <c r="O619">
        <v>2</v>
      </c>
      <c r="P619" t="s">
        <v>37</v>
      </c>
      <c r="Q619">
        <v>4</v>
      </c>
      <c r="R619" t="s">
        <v>45</v>
      </c>
      <c r="S619" s="6">
        <v>4342</v>
      </c>
      <c r="T619">
        <v>24008</v>
      </c>
      <c r="U619">
        <v>0</v>
      </c>
      <c r="V619" t="s">
        <v>39</v>
      </c>
      <c r="W619" t="s">
        <v>40</v>
      </c>
      <c r="X619">
        <v>19</v>
      </c>
      <c r="Y619">
        <v>3</v>
      </c>
      <c r="Z619">
        <v>2</v>
      </c>
      <c r="AA619">
        <v>80</v>
      </c>
      <c r="AB619">
        <v>1</v>
      </c>
      <c r="AC619">
        <v>5</v>
      </c>
      <c r="AD619">
        <v>3</v>
      </c>
      <c r="AE619">
        <v>3</v>
      </c>
      <c r="AF619">
        <v>4</v>
      </c>
      <c r="AG619">
        <v>2</v>
      </c>
      <c r="AH619">
        <v>1</v>
      </c>
      <c r="AI619">
        <v>1</v>
      </c>
    </row>
    <row r="620" spans="1:35" x14ac:dyDescent="0.3">
      <c r="A620">
        <v>31</v>
      </c>
      <c r="B620" t="s">
        <v>40</v>
      </c>
      <c r="C620" t="s">
        <v>52</v>
      </c>
      <c r="D620">
        <v>979</v>
      </c>
      <c r="E620" t="s">
        <v>42</v>
      </c>
      <c r="F620">
        <v>1</v>
      </c>
      <c r="G620">
        <v>4</v>
      </c>
      <c r="H620" t="s">
        <v>48</v>
      </c>
      <c r="I620">
        <v>1</v>
      </c>
      <c r="J620">
        <v>308</v>
      </c>
      <c r="K620">
        <v>3</v>
      </c>
      <c r="L620" s="17" t="s">
        <v>43</v>
      </c>
      <c r="M620">
        <v>90</v>
      </c>
      <c r="N620">
        <v>1</v>
      </c>
      <c r="O620">
        <v>2</v>
      </c>
      <c r="P620" t="s">
        <v>50</v>
      </c>
      <c r="Q620">
        <v>3</v>
      </c>
      <c r="R620" t="s">
        <v>45</v>
      </c>
      <c r="S620" s="6">
        <v>4345</v>
      </c>
      <c r="T620">
        <v>4381</v>
      </c>
      <c r="U620">
        <v>0</v>
      </c>
      <c r="V620" t="s">
        <v>39</v>
      </c>
      <c r="W620" t="s">
        <v>40</v>
      </c>
      <c r="X620">
        <v>12</v>
      </c>
      <c r="Y620">
        <v>3</v>
      </c>
      <c r="Z620">
        <v>4</v>
      </c>
      <c r="AA620">
        <v>80</v>
      </c>
      <c r="AB620">
        <v>1</v>
      </c>
      <c r="AC620">
        <v>6</v>
      </c>
      <c r="AD620">
        <v>2</v>
      </c>
      <c r="AE620">
        <v>3</v>
      </c>
      <c r="AF620">
        <v>5</v>
      </c>
      <c r="AG620">
        <v>4</v>
      </c>
      <c r="AH620">
        <v>1</v>
      </c>
      <c r="AI620">
        <v>4</v>
      </c>
    </row>
    <row r="621" spans="1:35" x14ac:dyDescent="0.3">
      <c r="A621">
        <v>26</v>
      </c>
      <c r="B621" t="s">
        <v>40</v>
      </c>
      <c r="C621" t="s">
        <v>41</v>
      </c>
      <c r="D621">
        <v>575</v>
      </c>
      <c r="E621" t="s">
        <v>42</v>
      </c>
      <c r="F621">
        <v>1</v>
      </c>
      <c r="G621">
        <v>2</v>
      </c>
      <c r="H621" t="s">
        <v>35</v>
      </c>
      <c r="I621">
        <v>1</v>
      </c>
      <c r="J621">
        <v>792</v>
      </c>
      <c r="K621">
        <v>1</v>
      </c>
      <c r="L621" s="17" t="s">
        <v>36</v>
      </c>
      <c r="M621">
        <v>71</v>
      </c>
      <c r="N621">
        <v>1</v>
      </c>
      <c r="O621">
        <v>1</v>
      </c>
      <c r="P621" t="s">
        <v>47</v>
      </c>
      <c r="Q621">
        <v>4</v>
      </c>
      <c r="R621" t="s">
        <v>49</v>
      </c>
      <c r="S621" s="6">
        <v>4364</v>
      </c>
      <c r="T621">
        <v>5288</v>
      </c>
      <c r="U621">
        <v>3</v>
      </c>
      <c r="V621" t="s">
        <v>39</v>
      </c>
      <c r="W621" t="s">
        <v>40</v>
      </c>
      <c r="X621">
        <v>14</v>
      </c>
      <c r="Y621">
        <v>3</v>
      </c>
      <c r="Z621">
        <v>1</v>
      </c>
      <c r="AA621">
        <v>80</v>
      </c>
      <c r="AB621">
        <v>1</v>
      </c>
      <c r="AC621">
        <v>5</v>
      </c>
      <c r="AD621">
        <v>2</v>
      </c>
      <c r="AE621">
        <v>3</v>
      </c>
      <c r="AF621">
        <v>2</v>
      </c>
      <c r="AG621">
        <v>2</v>
      </c>
      <c r="AH621">
        <v>2</v>
      </c>
      <c r="AI621">
        <v>0</v>
      </c>
    </row>
    <row r="622" spans="1:35" x14ac:dyDescent="0.3">
      <c r="A622">
        <v>33</v>
      </c>
      <c r="B622" t="s">
        <v>40</v>
      </c>
      <c r="C622" t="s">
        <v>41</v>
      </c>
      <c r="D622">
        <v>430</v>
      </c>
      <c r="E622" t="s">
        <v>34</v>
      </c>
      <c r="F622">
        <v>7</v>
      </c>
      <c r="G622">
        <v>3</v>
      </c>
      <c r="H622" t="s">
        <v>48</v>
      </c>
      <c r="I622">
        <v>1</v>
      </c>
      <c r="J622">
        <v>1477</v>
      </c>
      <c r="K622">
        <v>4</v>
      </c>
      <c r="L622" s="17" t="s">
        <v>43</v>
      </c>
      <c r="M622">
        <v>54</v>
      </c>
      <c r="N622">
        <v>3</v>
      </c>
      <c r="O622">
        <v>2</v>
      </c>
      <c r="P622" t="s">
        <v>37</v>
      </c>
      <c r="Q622">
        <v>1</v>
      </c>
      <c r="R622" t="s">
        <v>45</v>
      </c>
      <c r="S622" s="6">
        <v>4373</v>
      </c>
      <c r="T622">
        <v>17456</v>
      </c>
      <c r="U622">
        <v>0</v>
      </c>
      <c r="V622" t="s">
        <v>39</v>
      </c>
      <c r="W622" t="s">
        <v>40</v>
      </c>
      <c r="X622">
        <v>14</v>
      </c>
      <c r="Y622">
        <v>3</v>
      </c>
      <c r="Z622">
        <v>1</v>
      </c>
      <c r="AA622">
        <v>80</v>
      </c>
      <c r="AB622">
        <v>2</v>
      </c>
      <c r="AC622">
        <v>5</v>
      </c>
      <c r="AD622">
        <v>2</v>
      </c>
      <c r="AE622">
        <v>3</v>
      </c>
      <c r="AF622">
        <v>4</v>
      </c>
      <c r="AG622">
        <v>3</v>
      </c>
      <c r="AH622">
        <v>0</v>
      </c>
      <c r="AI622">
        <v>3</v>
      </c>
    </row>
    <row r="623" spans="1:35" x14ac:dyDescent="0.3">
      <c r="A623">
        <v>36</v>
      </c>
      <c r="B623" t="s">
        <v>40</v>
      </c>
      <c r="C623" t="s">
        <v>52</v>
      </c>
      <c r="D623">
        <v>894</v>
      </c>
      <c r="E623" t="s">
        <v>42</v>
      </c>
      <c r="F623">
        <v>1</v>
      </c>
      <c r="G623">
        <v>4</v>
      </c>
      <c r="H623" t="s">
        <v>48</v>
      </c>
      <c r="I623">
        <v>1</v>
      </c>
      <c r="J623">
        <v>1662</v>
      </c>
      <c r="K623">
        <v>4</v>
      </c>
      <c r="L623" s="17" t="s">
        <v>36</v>
      </c>
      <c r="M623">
        <v>33</v>
      </c>
      <c r="N623">
        <v>2</v>
      </c>
      <c r="O623">
        <v>2</v>
      </c>
      <c r="P623" t="s">
        <v>50</v>
      </c>
      <c r="Q623">
        <v>3</v>
      </c>
      <c r="R623" t="s">
        <v>45</v>
      </c>
      <c r="S623" s="6">
        <v>4374</v>
      </c>
      <c r="T623">
        <v>15411</v>
      </c>
      <c r="U623">
        <v>0</v>
      </c>
      <c r="V623" t="s">
        <v>39</v>
      </c>
      <c r="W623" t="s">
        <v>40</v>
      </c>
      <c r="X623">
        <v>15</v>
      </c>
      <c r="Y623">
        <v>3</v>
      </c>
      <c r="Z623">
        <v>3</v>
      </c>
      <c r="AA623">
        <v>80</v>
      </c>
      <c r="AB623">
        <v>0</v>
      </c>
      <c r="AC623">
        <v>4</v>
      </c>
      <c r="AD623">
        <v>6</v>
      </c>
      <c r="AE623">
        <v>3</v>
      </c>
      <c r="AF623">
        <v>3</v>
      </c>
      <c r="AG623">
        <v>2</v>
      </c>
      <c r="AH623">
        <v>1</v>
      </c>
      <c r="AI623">
        <v>2</v>
      </c>
    </row>
    <row r="624" spans="1:35" x14ac:dyDescent="0.3">
      <c r="A624">
        <v>24</v>
      </c>
      <c r="B624" t="s">
        <v>40</v>
      </c>
      <c r="C624" t="s">
        <v>33</v>
      </c>
      <c r="D624">
        <v>1206</v>
      </c>
      <c r="E624" t="s">
        <v>42</v>
      </c>
      <c r="F624">
        <v>17</v>
      </c>
      <c r="G624">
        <v>1</v>
      </c>
      <c r="H624" t="s">
        <v>48</v>
      </c>
      <c r="I624">
        <v>1</v>
      </c>
      <c r="J624">
        <v>1009</v>
      </c>
      <c r="K624">
        <v>4</v>
      </c>
      <c r="L624" s="17" t="s">
        <v>36</v>
      </c>
      <c r="M624">
        <v>41</v>
      </c>
      <c r="N624">
        <v>2</v>
      </c>
      <c r="O624">
        <v>2</v>
      </c>
      <c r="P624" t="s">
        <v>50</v>
      </c>
      <c r="Q624">
        <v>3</v>
      </c>
      <c r="R624" t="s">
        <v>49</v>
      </c>
      <c r="S624" s="6">
        <v>4377</v>
      </c>
      <c r="T624">
        <v>24117</v>
      </c>
      <c r="U624">
        <v>1</v>
      </c>
      <c r="V624" t="s">
        <v>39</v>
      </c>
      <c r="W624" t="s">
        <v>40</v>
      </c>
      <c r="X624">
        <v>15</v>
      </c>
      <c r="Y624">
        <v>3</v>
      </c>
      <c r="Z624">
        <v>2</v>
      </c>
      <c r="AA624">
        <v>80</v>
      </c>
      <c r="AB624">
        <v>2</v>
      </c>
      <c r="AC624">
        <v>5</v>
      </c>
      <c r="AD624">
        <v>6</v>
      </c>
      <c r="AE624">
        <v>3</v>
      </c>
      <c r="AF624">
        <v>4</v>
      </c>
      <c r="AG624">
        <v>2</v>
      </c>
      <c r="AH624">
        <v>3</v>
      </c>
      <c r="AI624">
        <v>2</v>
      </c>
    </row>
    <row r="625" spans="1:35" x14ac:dyDescent="0.3">
      <c r="A625">
        <v>34</v>
      </c>
      <c r="B625" t="s">
        <v>40</v>
      </c>
      <c r="C625" t="s">
        <v>33</v>
      </c>
      <c r="D625">
        <v>121</v>
      </c>
      <c r="E625" t="s">
        <v>42</v>
      </c>
      <c r="F625">
        <v>2</v>
      </c>
      <c r="G625">
        <v>4</v>
      </c>
      <c r="H625" t="s">
        <v>48</v>
      </c>
      <c r="I625">
        <v>1</v>
      </c>
      <c r="J625">
        <v>804</v>
      </c>
      <c r="K625">
        <v>3</v>
      </c>
      <c r="L625" s="17" t="s">
        <v>36</v>
      </c>
      <c r="M625">
        <v>86</v>
      </c>
      <c r="N625">
        <v>2</v>
      </c>
      <c r="O625">
        <v>1</v>
      </c>
      <c r="P625" t="s">
        <v>44</v>
      </c>
      <c r="Q625">
        <v>1</v>
      </c>
      <c r="R625" t="s">
        <v>38</v>
      </c>
      <c r="S625" s="6">
        <v>4381</v>
      </c>
      <c r="T625">
        <v>7530</v>
      </c>
      <c r="U625">
        <v>1</v>
      </c>
      <c r="V625" t="s">
        <v>39</v>
      </c>
      <c r="W625" t="s">
        <v>40</v>
      </c>
      <c r="X625">
        <v>11</v>
      </c>
      <c r="Y625">
        <v>3</v>
      </c>
      <c r="Z625">
        <v>3</v>
      </c>
      <c r="AA625">
        <v>80</v>
      </c>
      <c r="AB625">
        <v>0</v>
      </c>
      <c r="AC625">
        <v>6</v>
      </c>
      <c r="AD625">
        <v>3</v>
      </c>
      <c r="AE625">
        <v>3</v>
      </c>
      <c r="AF625">
        <v>6</v>
      </c>
      <c r="AG625">
        <v>5</v>
      </c>
      <c r="AH625">
        <v>1</v>
      </c>
      <c r="AI625">
        <v>3</v>
      </c>
    </row>
    <row r="626" spans="1:35" x14ac:dyDescent="0.3">
      <c r="A626">
        <v>28</v>
      </c>
      <c r="B626" t="s">
        <v>32</v>
      </c>
      <c r="C626" t="s">
        <v>33</v>
      </c>
      <c r="D626">
        <v>890</v>
      </c>
      <c r="E626" t="s">
        <v>42</v>
      </c>
      <c r="F626">
        <v>2</v>
      </c>
      <c r="G626">
        <v>4</v>
      </c>
      <c r="H626" t="s">
        <v>48</v>
      </c>
      <c r="I626">
        <v>1</v>
      </c>
      <c r="J626">
        <v>828</v>
      </c>
      <c r="K626">
        <v>3</v>
      </c>
      <c r="L626" s="17" t="s">
        <v>43</v>
      </c>
      <c r="M626">
        <v>46</v>
      </c>
      <c r="N626">
        <v>3</v>
      </c>
      <c r="O626">
        <v>1</v>
      </c>
      <c r="P626" t="s">
        <v>44</v>
      </c>
      <c r="Q626">
        <v>3</v>
      </c>
      <c r="R626" t="s">
        <v>38</v>
      </c>
      <c r="S626" s="6">
        <v>4382</v>
      </c>
      <c r="T626">
        <v>16374</v>
      </c>
      <c r="U626">
        <v>6</v>
      </c>
      <c r="V626" t="s">
        <v>39</v>
      </c>
      <c r="W626" t="s">
        <v>40</v>
      </c>
      <c r="X626">
        <v>17</v>
      </c>
      <c r="Y626">
        <v>3</v>
      </c>
      <c r="Z626">
        <v>4</v>
      </c>
      <c r="AA626">
        <v>80</v>
      </c>
      <c r="AB626">
        <v>0</v>
      </c>
      <c r="AC626">
        <v>5</v>
      </c>
      <c r="AD626">
        <v>3</v>
      </c>
      <c r="AE626">
        <v>2</v>
      </c>
      <c r="AF626">
        <v>2</v>
      </c>
      <c r="AG626">
        <v>2</v>
      </c>
      <c r="AH626">
        <v>2</v>
      </c>
      <c r="AI626">
        <v>1</v>
      </c>
    </row>
    <row r="627" spans="1:35" x14ac:dyDescent="0.3">
      <c r="A627">
        <v>45</v>
      </c>
      <c r="B627" t="s">
        <v>40</v>
      </c>
      <c r="C627" t="s">
        <v>52</v>
      </c>
      <c r="D627">
        <v>336</v>
      </c>
      <c r="E627" t="s">
        <v>34</v>
      </c>
      <c r="F627">
        <v>26</v>
      </c>
      <c r="G627">
        <v>3</v>
      </c>
      <c r="H627" t="s">
        <v>56</v>
      </c>
      <c r="I627">
        <v>1</v>
      </c>
      <c r="J627">
        <v>1612</v>
      </c>
      <c r="K627">
        <v>1</v>
      </c>
      <c r="L627" s="17" t="s">
        <v>43</v>
      </c>
      <c r="M627">
        <v>52</v>
      </c>
      <c r="N627">
        <v>2</v>
      </c>
      <c r="O627">
        <v>2</v>
      </c>
      <c r="P627" t="s">
        <v>37</v>
      </c>
      <c r="Q627">
        <v>1</v>
      </c>
      <c r="R627" t="s">
        <v>45</v>
      </c>
      <c r="S627" s="6">
        <v>4385</v>
      </c>
      <c r="T627">
        <v>24162</v>
      </c>
      <c r="U627">
        <v>1</v>
      </c>
      <c r="V627" t="s">
        <v>39</v>
      </c>
      <c r="W627" t="s">
        <v>40</v>
      </c>
      <c r="X627">
        <v>15</v>
      </c>
      <c r="Y627">
        <v>3</v>
      </c>
      <c r="Z627">
        <v>1</v>
      </c>
      <c r="AA627">
        <v>80</v>
      </c>
      <c r="AB627">
        <v>1</v>
      </c>
      <c r="AC627">
        <v>10</v>
      </c>
      <c r="AD627">
        <v>2</v>
      </c>
      <c r="AE627">
        <v>3</v>
      </c>
      <c r="AF627">
        <v>10</v>
      </c>
      <c r="AG627">
        <v>7</v>
      </c>
      <c r="AH627">
        <v>4</v>
      </c>
      <c r="AI627">
        <v>5</v>
      </c>
    </row>
    <row r="628" spans="1:35" x14ac:dyDescent="0.3">
      <c r="A628">
        <v>41</v>
      </c>
      <c r="B628" t="s">
        <v>40</v>
      </c>
      <c r="C628" t="s">
        <v>33</v>
      </c>
      <c r="D628">
        <v>337</v>
      </c>
      <c r="E628" t="s">
        <v>34</v>
      </c>
      <c r="F628">
        <v>8</v>
      </c>
      <c r="G628">
        <v>3</v>
      </c>
      <c r="H628" t="s">
        <v>56</v>
      </c>
      <c r="I628">
        <v>1</v>
      </c>
      <c r="J628">
        <v>1909</v>
      </c>
      <c r="K628">
        <v>3</v>
      </c>
      <c r="L628" s="17" t="s">
        <v>36</v>
      </c>
      <c r="M628">
        <v>54</v>
      </c>
      <c r="N628">
        <v>3</v>
      </c>
      <c r="O628">
        <v>2</v>
      </c>
      <c r="P628" t="s">
        <v>37</v>
      </c>
      <c r="Q628">
        <v>2</v>
      </c>
      <c r="R628" t="s">
        <v>45</v>
      </c>
      <c r="S628" s="6">
        <v>4393</v>
      </c>
      <c r="T628">
        <v>26841</v>
      </c>
      <c r="U628">
        <v>5</v>
      </c>
      <c r="V628" t="s">
        <v>39</v>
      </c>
      <c r="W628" t="s">
        <v>40</v>
      </c>
      <c r="X628">
        <v>21</v>
      </c>
      <c r="Y628">
        <v>4</v>
      </c>
      <c r="Z628">
        <v>3</v>
      </c>
      <c r="AA628">
        <v>80</v>
      </c>
      <c r="AB628">
        <v>1</v>
      </c>
      <c r="AC628">
        <v>14</v>
      </c>
      <c r="AD628">
        <v>3</v>
      </c>
      <c r="AE628">
        <v>3</v>
      </c>
      <c r="AF628">
        <v>5</v>
      </c>
      <c r="AG628">
        <v>4</v>
      </c>
      <c r="AH628">
        <v>1</v>
      </c>
      <c r="AI628">
        <v>4</v>
      </c>
    </row>
    <row r="629" spans="1:35" x14ac:dyDescent="0.3">
      <c r="A629">
        <v>25</v>
      </c>
      <c r="B629" t="s">
        <v>32</v>
      </c>
      <c r="C629" t="s">
        <v>33</v>
      </c>
      <c r="D629">
        <v>383</v>
      </c>
      <c r="E629" t="s">
        <v>34</v>
      </c>
      <c r="F629">
        <v>9</v>
      </c>
      <c r="G629">
        <v>2</v>
      </c>
      <c r="H629" t="s">
        <v>35</v>
      </c>
      <c r="I629">
        <v>1</v>
      </c>
      <c r="J629">
        <v>1439</v>
      </c>
      <c r="K629">
        <v>1</v>
      </c>
      <c r="L629" s="17" t="s">
        <v>43</v>
      </c>
      <c r="M629">
        <v>68</v>
      </c>
      <c r="N629">
        <v>2</v>
      </c>
      <c r="O629">
        <v>1</v>
      </c>
      <c r="P629" t="s">
        <v>54</v>
      </c>
      <c r="Q629">
        <v>1</v>
      </c>
      <c r="R629" t="s">
        <v>45</v>
      </c>
      <c r="S629" s="6">
        <v>4400</v>
      </c>
      <c r="T629">
        <v>15182</v>
      </c>
      <c r="U629">
        <v>3</v>
      </c>
      <c r="V629" t="s">
        <v>39</v>
      </c>
      <c r="W629" t="s">
        <v>40</v>
      </c>
      <c r="X629">
        <v>12</v>
      </c>
      <c r="Y629">
        <v>3</v>
      </c>
      <c r="Z629">
        <v>1</v>
      </c>
      <c r="AA629">
        <v>80</v>
      </c>
      <c r="AB629">
        <v>0</v>
      </c>
      <c r="AC629">
        <v>6</v>
      </c>
      <c r="AD629">
        <v>2</v>
      </c>
      <c r="AE629">
        <v>3</v>
      </c>
      <c r="AF629">
        <v>3</v>
      </c>
      <c r="AG629">
        <v>2</v>
      </c>
      <c r="AH629">
        <v>2</v>
      </c>
      <c r="AI629">
        <v>2</v>
      </c>
    </row>
    <row r="630" spans="1:35" x14ac:dyDescent="0.3">
      <c r="A630">
        <v>24</v>
      </c>
      <c r="B630" t="s">
        <v>40</v>
      </c>
      <c r="C630" t="s">
        <v>33</v>
      </c>
      <c r="D630">
        <v>581</v>
      </c>
      <c r="E630" t="s">
        <v>42</v>
      </c>
      <c r="F630">
        <v>9</v>
      </c>
      <c r="G630">
        <v>3</v>
      </c>
      <c r="H630" t="s">
        <v>48</v>
      </c>
      <c r="I630">
        <v>1</v>
      </c>
      <c r="J630">
        <v>1707</v>
      </c>
      <c r="K630">
        <v>3</v>
      </c>
      <c r="L630" s="17" t="s">
        <v>43</v>
      </c>
      <c r="M630">
        <v>62</v>
      </c>
      <c r="N630">
        <v>4</v>
      </c>
      <c r="O630">
        <v>1</v>
      </c>
      <c r="P630" t="s">
        <v>44</v>
      </c>
      <c r="Q630">
        <v>3</v>
      </c>
      <c r="R630" t="s">
        <v>45</v>
      </c>
      <c r="S630" s="6">
        <v>4401</v>
      </c>
      <c r="T630">
        <v>17616</v>
      </c>
      <c r="U630">
        <v>1</v>
      </c>
      <c r="V630" t="s">
        <v>39</v>
      </c>
      <c r="W630" t="s">
        <v>40</v>
      </c>
      <c r="X630">
        <v>16</v>
      </c>
      <c r="Y630">
        <v>3</v>
      </c>
      <c r="Z630">
        <v>4</v>
      </c>
      <c r="AA630">
        <v>80</v>
      </c>
      <c r="AB630">
        <v>1</v>
      </c>
      <c r="AC630">
        <v>5</v>
      </c>
      <c r="AD630">
        <v>1</v>
      </c>
      <c r="AE630">
        <v>3</v>
      </c>
      <c r="AF630">
        <v>5</v>
      </c>
      <c r="AG630">
        <v>3</v>
      </c>
      <c r="AH630">
        <v>0</v>
      </c>
      <c r="AI630">
        <v>4</v>
      </c>
    </row>
    <row r="631" spans="1:35" x14ac:dyDescent="0.3">
      <c r="A631">
        <v>32</v>
      </c>
      <c r="B631" t="s">
        <v>40</v>
      </c>
      <c r="C631" t="s">
        <v>33</v>
      </c>
      <c r="D631">
        <v>117</v>
      </c>
      <c r="E631" t="s">
        <v>34</v>
      </c>
      <c r="F631">
        <v>13</v>
      </c>
      <c r="G631">
        <v>4</v>
      </c>
      <c r="H631" t="s">
        <v>35</v>
      </c>
      <c r="I631">
        <v>1</v>
      </c>
      <c r="J631">
        <v>859</v>
      </c>
      <c r="K631">
        <v>2</v>
      </c>
      <c r="L631" s="17" t="s">
        <v>43</v>
      </c>
      <c r="M631">
        <v>73</v>
      </c>
      <c r="N631">
        <v>3</v>
      </c>
      <c r="O631">
        <v>2</v>
      </c>
      <c r="P631" t="s">
        <v>37</v>
      </c>
      <c r="Q631">
        <v>4</v>
      </c>
      <c r="R631" t="s">
        <v>49</v>
      </c>
      <c r="S631" s="6">
        <v>4403</v>
      </c>
      <c r="T631">
        <v>9250</v>
      </c>
      <c r="U631">
        <v>2</v>
      </c>
      <c r="V631" t="s">
        <v>39</v>
      </c>
      <c r="W631" t="s">
        <v>40</v>
      </c>
      <c r="X631">
        <v>11</v>
      </c>
      <c r="Y631">
        <v>3</v>
      </c>
      <c r="Z631">
        <v>3</v>
      </c>
      <c r="AA631">
        <v>80</v>
      </c>
      <c r="AB631">
        <v>1</v>
      </c>
      <c r="AC631">
        <v>8</v>
      </c>
      <c r="AD631">
        <v>3</v>
      </c>
      <c r="AE631">
        <v>2</v>
      </c>
      <c r="AF631">
        <v>5</v>
      </c>
      <c r="AG631">
        <v>2</v>
      </c>
      <c r="AH631">
        <v>0</v>
      </c>
      <c r="AI631">
        <v>3</v>
      </c>
    </row>
    <row r="632" spans="1:35" x14ac:dyDescent="0.3">
      <c r="A632">
        <v>34</v>
      </c>
      <c r="B632" t="s">
        <v>40</v>
      </c>
      <c r="C632" t="s">
        <v>33</v>
      </c>
      <c r="D632">
        <v>628</v>
      </c>
      <c r="E632" t="s">
        <v>42</v>
      </c>
      <c r="F632">
        <v>8</v>
      </c>
      <c r="G632">
        <v>3</v>
      </c>
      <c r="H632" t="s">
        <v>48</v>
      </c>
      <c r="I632">
        <v>1</v>
      </c>
      <c r="J632">
        <v>2068</v>
      </c>
      <c r="K632">
        <v>2</v>
      </c>
      <c r="L632" s="17" t="s">
        <v>43</v>
      </c>
      <c r="M632">
        <v>82</v>
      </c>
      <c r="N632">
        <v>4</v>
      </c>
      <c r="O632">
        <v>2</v>
      </c>
      <c r="P632" t="s">
        <v>47</v>
      </c>
      <c r="Q632">
        <v>3</v>
      </c>
      <c r="R632" t="s">
        <v>45</v>
      </c>
      <c r="S632" s="6">
        <v>4404</v>
      </c>
      <c r="T632">
        <v>10228</v>
      </c>
      <c r="U632">
        <v>2</v>
      </c>
      <c r="V632" t="s">
        <v>39</v>
      </c>
      <c r="W632" t="s">
        <v>40</v>
      </c>
      <c r="X632">
        <v>12</v>
      </c>
      <c r="Y632">
        <v>3</v>
      </c>
      <c r="Z632">
        <v>1</v>
      </c>
      <c r="AA632">
        <v>80</v>
      </c>
      <c r="AB632">
        <v>0</v>
      </c>
      <c r="AC632">
        <v>6</v>
      </c>
      <c r="AD632">
        <v>3</v>
      </c>
      <c r="AE632">
        <v>4</v>
      </c>
      <c r="AF632">
        <v>4</v>
      </c>
      <c r="AG632">
        <v>3</v>
      </c>
      <c r="AH632">
        <v>1</v>
      </c>
      <c r="AI632">
        <v>2</v>
      </c>
    </row>
    <row r="633" spans="1:35" x14ac:dyDescent="0.3">
      <c r="A633">
        <v>26</v>
      </c>
      <c r="B633" t="s">
        <v>40</v>
      </c>
      <c r="C633" t="s">
        <v>33</v>
      </c>
      <c r="D633">
        <v>1384</v>
      </c>
      <c r="E633" t="s">
        <v>42</v>
      </c>
      <c r="F633">
        <v>3</v>
      </c>
      <c r="G633">
        <v>4</v>
      </c>
      <c r="H633" t="s">
        <v>48</v>
      </c>
      <c r="I633">
        <v>1</v>
      </c>
      <c r="J633">
        <v>1177</v>
      </c>
      <c r="K633">
        <v>1</v>
      </c>
      <c r="L633" s="17" t="s">
        <v>43</v>
      </c>
      <c r="M633">
        <v>82</v>
      </c>
      <c r="N633">
        <v>4</v>
      </c>
      <c r="O633">
        <v>1</v>
      </c>
      <c r="P633" t="s">
        <v>47</v>
      </c>
      <c r="Q633">
        <v>4</v>
      </c>
      <c r="R633" t="s">
        <v>45</v>
      </c>
      <c r="S633" s="6">
        <v>4420</v>
      </c>
      <c r="T633">
        <v>13421</v>
      </c>
      <c r="U633">
        <v>1</v>
      </c>
      <c r="V633" t="s">
        <v>39</v>
      </c>
      <c r="W633" t="s">
        <v>40</v>
      </c>
      <c r="X633">
        <v>22</v>
      </c>
      <c r="Y633">
        <v>4</v>
      </c>
      <c r="Z633">
        <v>2</v>
      </c>
      <c r="AA633">
        <v>80</v>
      </c>
      <c r="AB633">
        <v>1</v>
      </c>
      <c r="AC633">
        <v>8</v>
      </c>
      <c r="AD633">
        <v>2</v>
      </c>
      <c r="AE633">
        <v>3</v>
      </c>
      <c r="AF633">
        <v>8</v>
      </c>
      <c r="AG633">
        <v>7</v>
      </c>
      <c r="AH633">
        <v>0</v>
      </c>
      <c r="AI633">
        <v>7</v>
      </c>
    </row>
    <row r="634" spans="1:35" x14ac:dyDescent="0.3">
      <c r="A634">
        <v>40</v>
      </c>
      <c r="B634" t="s">
        <v>40</v>
      </c>
      <c r="C634" t="s">
        <v>41</v>
      </c>
      <c r="D634">
        <v>902</v>
      </c>
      <c r="E634" t="s">
        <v>42</v>
      </c>
      <c r="F634">
        <v>26</v>
      </c>
      <c r="G634">
        <v>2</v>
      </c>
      <c r="H634" t="s">
        <v>48</v>
      </c>
      <c r="I634">
        <v>1</v>
      </c>
      <c r="J634">
        <v>1180</v>
      </c>
      <c r="K634">
        <v>3</v>
      </c>
      <c r="L634" s="17" t="s">
        <v>36</v>
      </c>
      <c r="M634">
        <v>92</v>
      </c>
      <c r="N634">
        <v>2</v>
      </c>
      <c r="O634">
        <v>2</v>
      </c>
      <c r="P634" t="s">
        <v>44</v>
      </c>
      <c r="Q634">
        <v>4</v>
      </c>
      <c r="R634" t="s">
        <v>45</v>
      </c>
      <c r="S634" s="6">
        <v>4422</v>
      </c>
      <c r="T634">
        <v>21203</v>
      </c>
      <c r="U634">
        <v>3</v>
      </c>
      <c r="V634" t="s">
        <v>39</v>
      </c>
      <c r="W634" t="s">
        <v>32</v>
      </c>
      <c r="X634">
        <v>13</v>
      </c>
      <c r="Y634">
        <v>3</v>
      </c>
      <c r="Z634">
        <v>4</v>
      </c>
      <c r="AA634">
        <v>80</v>
      </c>
      <c r="AB634">
        <v>1</v>
      </c>
      <c r="AC634">
        <v>16</v>
      </c>
      <c r="AD634">
        <v>3</v>
      </c>
      <c r="AE634">
        <v>1</v>
      </c>
      <c r="AF634">
        <v>1</v>
      </c>
      <c r="AG634">
        <v>1</v>
      </c>
      <c r="AH634">
        <v>0</v>
      </c>
      <c r="AI634">
        <v>0</v>
      </c>
    </row>
    <row r="635" spans="1:35" x14ac:dyDescent="0.3">
      <c r="A635">
        <v>31</v>
      </c>
      <c r="B635" t="s">
        <v>40</v>
      </c>
      <c r="C635" t="s">
        <v>33</v>
      </c>
      <c r="D635">
        <v>746</v>
      </c>
      <c r="E635" t="s">
        <v>42</v>
      </c>
      <c r="F635">
        <v>8</v>
      </c>
      <c r="G635">
        <v>4</v>
      </c>
      <c r="H635" t="s">
        <v>35</v>
      </c>
      <c r="I635">
        <v>1</v>
      </c>
      <c r="J635">
        <v>98</v>
      </c>
      <c r="K635">
        <v>3</v>
      </c>
      <c r="L635" s="17" t="s">
        <v>36</v>
      </c>
      <c r="M635">
        <v>61</v>
      </c>
      <c r="N635">
        <v>3</v>
      </c>
      <c r="O635">
        <v>2</v>
      </c>
      <c r="P635" t="s">
        <v>50</v>
      </c>
      <c r="Q635">
        <v>4</v>
      </c>
      <c r="R635" t="s">
        <v>38</v>
      </c>
      <c r="S635" s="6">
        <v>4424</v>
      </c>
      <c r="T635">
        <v>20682</v>
      </c>
      <c r="U635">
        <v>1</v>
      </c>
      <c r="V635" t="s">
        <v>39</v>
      </c>
      <c r="W635" t="s">
        <v>40</v>
      </c>
      <c r="X635">
        <v>23</v>
      </c>
      <c r="Y635">
        <v>4</v>
      </c>
      <c r="Z635">
        <v>4</v>
      </c>
      <c r="AA635">
        <v>80</v>
      </c>
      <c r="AB635">
        <v>0</v>
      </c>
      <c r="AC635">
        <v>11</v>
      </c>
      <c r="AD635">
        <v>2</v>
      </c>
      <c r="AE635">
        <v>3</v>
      </c>
      <c r="AF635">
        <v>11</v>
      </c>
      <c r="AG635">
        <v>7</v>
      </c>
      <c r="AH635">
        <v>1</v>
      </c>
      <c r="AI635">
        <v>8</v>
      </c>
    </row>
    <row r="636" spans="1:35" x14ac:dyDescent="0.3">
      <c r="A636">
        <v>35</v>
      </c>
      <c r="B636" t="s">
        <v>40</v>
      </c>
      <c r="C636" t="s">
        <v>41</v>
      </c>
      <c r="D636">
        <v>138</v>
      </c>
      <c r="E636" t="s">
        <v>42</v>
      </c>
      <c r="F636">
        <v>2</v>
      </c>
      <c r="G636">
        <v>3</v>
      </c>
      <c r="H636" t="s">
        <v>48</v>
      </c>
      <c r="I636">
        <v>1</v>
      </c>
      <c r="J636">
        <v>269</v>
      </c>
      <c r="K636">
        <v>2</v>
      </c>
      <c r="L636" s="17" t="s">
        <v>36</v>
      </c>
      <c r="M636">
        <v>37</v>
      </c>
      <c r="N636">
        <v>3</v>
      </c>
      <c r="O636">
        <v>2</v>
      </c>
      <c r="P636" t="s">
        <v>47</v>
      </c>
      <c r="Q636">
        <v>2</v>
      </c>
      <c r="R636" t="s">
        <v>38</v>
      </c>
      <c r="S636" s="6">
        <v>4425</v>
      </c>
      <c r="T636">
        <v>15986</v>
      </c>
      <c r="U636">
        <v>5</v>
      </c>
      <c r="V636" t="s">
        <v>39</v>
      </c>
      <c r="W636" t="s">
        <v>40</v>
      </c>
      <c r="X636">
        <v>11</v>
      </c>
      <c r="Y636">
        <v>3</v>
      </c>
      <c r="Z636">
        <v>4</v>
      </c>
      <c r="AA636">
        <v>80</v>
      </c>
      <c r="AB636">
        <v>0</v>
      </c>
      <c r="AC636">
        <v>10</v>
      </c>
      <c r="AD636">
        <v>5</v>
      </c>
      <c r="AE636">
        <v>3</v>
      </c>
      <c r="AF636">
        <v>6</v>
      </c>
      <c r="AG636">
        <v>2</v>
      </c>
      <c r="AH636">
        <v>1</v>
      </c>
      <c r="AI636">
        <v>2</v>
      </c>
    </row>
    <row r="637" spans="1:35" x14ac:dyDescent="0.3">
      <c r="A637">
        <v>42</v>
      </c>
      <c r="B637" t="s">
        <v>40</v>
      </c>
      <c r="C637" t="s">
        <v>33</v>
      </c>
      <c r="D637">
        <v>933</v>
      </c>
      <c r="E637" t="s">
        <v>42</v>
      </c>
      <c r="F637">
        <v>29</v>
      </c>
      <c r="G637">
        <v>3</v>
      </c>
      <c r="H637" t="s">
        <v>35</v>
      </c>
      <c r="I637">
        <v>1</v>
      </c>
      <c r="J637">
        <v>836</v>
      </c>
      <c r="K637">
        <v>2</v>
      </c>
      <c r="L637" s="17" t="s">
        <v>43</v>
      </c>
      <c r="M637">
        <v>98</v>
      </c>
      <c r="N637">
        <v>3</v>
      </c>
      <c r="O637">
        <v>2</v>
      </c>
      <c r="P637" t="s">
        <v>50</v>
      </c>
      <c r="Q637">
        <v>2</v>
      </c>
      <c r="R637" t="s">
        <v>45</v>
      </c>
      <c r="S637" s="6">
        <v>4434</v>
      </c>
      <c r="T637">
        <v>11806</v>
      </c>
      <c r="U637">
        <v>1</v>
      </c>
      <c r="V637" t="s">
        <v>39</v>
      </c>
      <c r="W637" t="s">
        <v>40</v>
      </c>
      <c r="X637">
        <v>13</v>
      </c>
      <c r="Y637">
        <v>3</v>
      </c>
      <c r="Z637">
        <v>4</v>
      </c>
      <c r="AA637">
        <v>80</v>
      </c>
      <c r="AB637">
        <v>1</v>
      </c>
      <c r="AC637">
        <v>10</v>
      </c>
      <c r="AD637">
        <v>3</v>
      </c>
      <c r="AE637">
        <v>2</v>
      </c>
      <c r="AF637">
        <v>9</v>
      </c>
      <c r="AG637">
        <v>8</v>
      </c>
      <c r="AH637">
        <v>7</v>
      </c>
      <c r="AI637">
        <v>8</v>
      </c>
    </row>
    <row r="638" spans="1:35" x14ac:dyDescent="0.3">
      <c r="A638">
        <v>54</v>
      </c>
      <c r="B638" t="s">
        <v>40</v>
      </c>
      <c r="C638" t="s">
        <v>33</v>
      </c>
      <c r="D638">
        <v>157</v>
      </c>
      <c r="E638" t="s">
        <v>42</v>
      </c>
      <c r="F638">
        <v>10</v>
      </c>
      <c r="G638">
        <v>3</v>
      </c>
      <c r="H638" t="s">
        <v>48</v>
      </c>
      <c r="I638">
        <v>1</v>
      </c>
      <c r="J638">
        <v>1980</v>
      </c>
      <c r="K638">
        <v>3</v>
      </c>
      <c r="L638" s="17" t="s">
        <v>36</v>
      </c>
      <c r="M638">
        <v>77</v>
      </c>
      <c r="N638">
        <v>3</v>
      </c>
      <c r="O638">
        <v>2</v>
      </c>
      <c r="P638" t="s">
        <v>50</v>
      </c>
      <c r="Q638">
        <v>1</v>
      </c>
      <c r="R638" t="s">
        <v>38</v>
      </c>
      <c r="S638" s="6">
        <v>4440</v>
      </c>
      <c r="T638">
        <v>25198</v>
      </c>
      <c r="U638">
        <v>6</v>
      </c>
      <c r="V638" t="s">
        <v>39</v>
      </c>
      <c r="W638" t="s">
        <v>32</v>
      </c>
      <c r="X638">
        <v>19</v>
      </c>
      <c r="Y638">
        <v>3</v>
      </c>
      <c r="Z638">
        <v>4</v>
      </c>
      <c r="AA638">
        <v>80</v>
      </c>
      <c r="AB638">
        <v>0</v>
      </c>
      <c r="AC638">
        <v>9</v>
      </c>
      <c r="AD638">
        <v>3</v>
      </c>
      <c r="AE638">
        <v>3</v>
      </c>
      <c r="AF638">
        <v>5</v>
      </c>
      <c r="AG638">
        <v>2</v>
      </c>
      <c r="AH638">
        <v>1</v>
      </c>
      <c r="AI638">
        <v>4</v>
      </c>
    </row>
    <row r="639" spans="1:35" x14ac:dyDescent="0.3">
      <c r="A639">
        <v>38</v>
      </c>
      <c r="B639" t="s">
        <v>40</v>
      </c>
      <c r="C639" t="s">
        <v>33</v>
      </c>
      <c r="D639">
        <v>1321</v>
      </c>
      <c r="E639" t="s">
        <v>34</v>
      </c>
      <c r="F639">
        <v>1</v>
      </c>
      <c r="G639">
        <v>4</v>
      </c>
      <c r="H639" t="s">
        <v>35</v>
      </c>
      <c r="I639">
        <v>1</v>
      </c>
      <c r="J639">
        <v>1995</v>
      </c>
      <c r="K639">
        <v>4</v>
      </c>
      <c r="L639" s="17" t="s">
        <v>43</v>
      </c>
      <c r="M639">
        <v>86</v>
      </c>
      <c r="N639">
        <v>3</v>
      </c>
      <c r="O639">
        <v>2</v>
      </c>
      <c r="P639" t="s">
        <v>37</v>
      </c>
      <c r="Q639">
        <v>2</v>
      </c>
      <c r="R639" t="s">
        <v>45</v>
      </c>
      <c r="S639" s="6">
        <v>4440</v>
      </c>
      <c r="T639">
        <v>7636</v>
      </c>
      <c r="U639">
        <v>0</v>
      </c>
      <c r="V639" t="s">
        <v>39</v>
      </c>
      <c r="W639" t="s">
        <v>40</v>
      </c>
      <c r="X639">
        <v>15</v>
      </c>
      <c r="Y639">
        <v>3</v>
      </c>
      <c r="Z639">
        <v>1</v>
      </c>
      <c r="AA639">
        <v>80</v>
      </c>
      <c r="AB639">
        <v>2</v>
      </c>
      <c r="AC639">
        <v>16</v>
      </c>
      <c r="AD639">
        <v>3</v>
      </c>
      <c r="AE639">
        <v>3</v>
      </c>
      <c r="AF639">
        <v>15</v>
      </c>
      <c r="AG639">
        <v>13</v>
      </c>
      <c r="AH639">
        <v>5</v>
      </c>
      <c r="AI639">
        <v>8</v>
      </c>
    </row>
    <row r="640" spans="1:35" x14ac:dyDescent="0.3">
      <c r="A640">
        <v>34</v>
      </c>
      <c r="B640" t="s">
        <v>40</v>
      </c>
      <c r="C640" t="s">
        <v>41</v>
      </c>
      <c r="D640">
        <v>135</v>
      </c>
      <c r="E640" t="s">
        <v>42</v>
      </c>
      <c r="F640">
        <v>19</v>
      </c>
      <c r="G640">
        <v>3</v>
      </c>
      <c r="H640" t="s">
        <v>48</v>
      </c>
      <c r="I640">
        <v>1</v>
      </c>
      <c r="J640">
        <v>1285</v>
      </c>
      <c r="K640">
        <v>3</v>
      </c>
      <c r="L640" s="17" t="s">
        <v>36</v>
      </c>
      <c r="M640">
        <v>46</v>
      </c>
      <c r="N640">
        <v>3</v>
      </c>
      <c r="O640">
        <v>2</v>
      </c>
      <c r="P640" t="s">
        <v>47</v>
      </c>
      <c r="Q640">
        <v>2</v>
      </c>
      <c r="R640" t="s">
        <v>49</v>
      </c>
      <c r="S640" s="6">
        <v>4444</v>
      </c>
      <c r="T640">
        <v>22534</v>
      </c>
      <c r="U640">
        <v>4</v>
      </c>
      <c r="V640" t="s">
        <v>39</v>
      </c>
      <c r="W640" t="s">
        <v>40</v>
      </c>
      <c r="X640">
        <v>13</v>
      </c>
      <c r="Y640">
        <v>3</v>
      </c>
      <c r="Z640">
        <v>3</v>
      </c>
      <c r="AA640">
        <v>80</v>
      </c>
      <c r="AB640">
        <v>2</v>
      </c>
      <c r="AC640">
        <v>15</v>
      </c>
      <c r="AD640">
        <v>2</v>
      </c>
      <c r="AE640">
        <v>4</v>
      </c>
      <c r="AF640">
        <v>11</v>
      </c>
      <c r="AG640">
        <v>8</v>
      </c>
      <c r="AH640">
        <v>5</v>
      </c>
      <c r="AI640">
        <v>10</v>
      </c>
    </row>
    <row r="641" spans="1:35" x14ac:dyDescent="0.3">
      <c r="A641">
        <v>45</v>
      </c>
      <c r="B641" t="s">
        <v>40</v>
      </c>
      <c r="C641" t="s">
        <v>52</v>
      </c>
      <c r="D641">
        <v>805</v>
      </c>
      <c r="E641" t="s">
        <v>42</v>
      </c>
      <c r="F641">
        <v>4</v>
      </c>
      <c r="G641">
        <v>2</v>
      </c>
      <c r="H641" t="s">
        <v>35</v>
      </c>
      <c r="I641">
        <v>1</v>
      </c>
      <c r="J641">
        <v>972</v>
      </c>
      <c r="K641">
        <v>3</v>
      </c>
      <c r="L641" s="17" t="s">
        <v>43</v>
      </c>
      <c r="M641">
        <v>57</v>
      </c>
      <c r="N641">
        <v>3</v>
      </c>
      <c r="O641">
        <v>2</v>
      </c>
      <c r="P641" t="s">
        <v>47</v>
      </c>
      <c r="Q641">
        <v>2</v>
      </c>
      <c r="R641" t="s">
        <v>45</v>
      </c>
      <c r="S641" s="6">
        <v>4447</v>
      </c>
      <c r="T641">
        <v>23163</v>
      </c>
      <c r="U641">
        <v>1</v>
      </c>
      <c r="V641" t="s">
        <v>39</v>
      </c>
      <c r="W641" t="s">
        <v>40</v>
      </c>
      <c r="X641">
        <v>12</v>
      </c>
      <c r="Y641">
        <v>3</v>
      </c>
      <c r="Z641">
        <v>2</v>
      </c>
      <c r="AA641">
        <v>80</v>
      </c>
      <c r="AB641">
        <v>0</v>
      </c>
      <c r="AC641">
        <v>9</v>
      </c>
      <c r="AD641">
        <v>5</v>
      </c>
      <c r="AE641">
        <v>2</v>
      </c>
      <c r="AF641">
        <v>9</v>
      </c>
      <c r="AG641">
        <v>7</v>
      </c>
      <c r="AH641">
        <v>0</v>
      </c>
      <c r="AI641">
        <v>8</v>
      </c>
    </row>
    <row r="642" spans="1:35" x14ac:dyDescent="0.3">
      <c r="A642">
        <v>40</v>
      </c>
      <c r="B642" t="s">
        <v>40</v>
      </c>
      <c r="C642" t="s">
        <v>33</v>
      </c>
      <c r="D642">
        <v>750</v>
      </c>
      <c r="E642" t="s">
        <v>42</v>
      </c>
      <c r="F642">
        <v>12</v>
      </c>
      <c r="G642">
        <v>3</v>
      </c>
      <c r="H642" t="s">
        <v>35</v>
      </c>
      <c r="I642">
        <v>1</v>
      </c>
      <c r="J642">
        <v>1829</v>
      </c>
      <c r="K642">
        <v>2</v>
      </c>
      <c r="L642" s="17" t="s">
        <v>36</v>
      </c>
      <c r="M642">
        <v>47</v>
      </c>
      <c r="N642">
        <v>3</v>
      </c>
      <c r="O642">
        <v>2</v>
      </c>
      <c r="P642" t="s">
        <v>51</v>
      </c>
      <c r="Q642">
        <v>1</v>
      </c>
      <c r="R642" t="s">
        <v>49</v>
      </c>
      <c r="S642" s="6">
        <v>4448</v>
      </c>
      <c r="T642">
        <v>10748</v>
      </c>
      <c r="U642">
        <v>2</v>
      </c>
      <c r="V642" t="s">
        <v>39</v>
      </c>
      <c r="W642" t="s">
        <v>40</v>
      </c>
      <c r="X642">
        <v>12</v>
      </c>
      <c r="Y642">
        <v>3</v>
      </c>
      <c r="Z642">
        <v>2</v>
      </c>
      <c r="AA642">
        <v>80</v>
      </c>
      <c r="AB642">
        <v>1</v>
      </c>
      <c r="AC642">
        <v>15</v>
      </c>
      <c r="AD642">
        <v>3</v>
      </c>
      <c r="AE642">
        <v>3</v>
      </c>
      <c r="AF642">
        <v>7</v>
      </c>
      <c r="AG642">
        <v>4</v>
      </c>
      <c r="AH642">
        <v>7</v>
      </c>
      <c r="AI642">
        <v>7</v>
      </c>
    </row>
    <row r="643" spans="1:35" x14ac:dyDescent="0.3">
      <c r="A643">
        <v>37</v>
      </c>
      <c r="B643" t="s">
        <v>40</v>
      </c>
      <c r="C643" t="s">
        <v>52</v>
      </c>
      <c r="D643">
        <v>1063</v>
      </c>
      <c r="E643" t="s">
        <v>42</v>
      </c>
      <c r="F643">
        <v>25</v>
      </c>
      <c r="G643">
        <v>5</v>
      </c>
      <c r="H643" t="s">
        <v>48</v>
      </c>
      <c r="I643">
        <v>1</v>
      </c>
      <c r="J643">
        <v>529</v>
      </c>
      <c r="K643">
        <v>2</v>
      </c>
      <c r="L643" s="17" t="s">
        <v>36</v>
      </c>
      <c r="M643">
        <v>72</v>
      </c>
      <c r="N643">
        <v>3</v>
      </c>
      <c r="O643">
        <v>2</v>
      </c>
      <c r="P643" t="s">
        <v>44</v>
      </c>
      <c r="Q643">
        <v>3</v>
      </c>
      <c r="R643" t="s">
        <v>45</v>
      </c>
      <c r="S643" s="6">
        <v>4449</v>
      </c>
      <c r="T643">
        <v>23866</v>
      </c>
      <c r="U643">
        <v>3</v>
      </c>
      <c r="V643" t="s">
        <v>39</v>
      </c>
      <c r="W643" t="s">
        <v>32</v>
      </c>
      <c r="X643">
        <v>15</v>
      </c>
      <c r="Y643">
        <v>3</v>
      </c>
      <c r="Z643">
        <v>1</v>
      </c>
      <c r="AA643">
        <v>80</v>
      </c>
      <c r="AB643">
        <v>2</v>
      </c>
      <c r="AC643">
        <v>15</v>
      </c>
      <c r="AD643">
        <v>2</v>
      </c>
      <c r="AE643">
        <v>3</v>
      </c>
      <c r="AF643">
        <v>13</v>
      </c>
      <c r="AG643">
        <v>11</v>
      </c>
      <c r="AH643">
        <v>10</v>
      </c>
      <c r="AI643">
        <v>7</v>
      </c>
    </row>
    <row r="644" spans="1:35" x14ac:dyDescent="0.3">
      <c r="A644">
        <v>53</v>
      </c>
      <c r="B644" t="s">
        <v>40</v>
      </c>
      <c r="C644" t="s">
        <v>33</v>
      </c>
      <c r="D644">
        <v>1084</v>
      </c>
      <c r="E644" t="s">
        <v>42</v>
      </c>
      <c r="F644">
        <v>13</v>
      </c>
      <c r="G644">
        <v>2</v>
      </c>
      <c r="H644" t="s">
        <v>48</v>
      </c>
      <c r="I644">
        <v>1</v>
      </c>
      <c r="J644">
        <v>250</v>
      </c>
      <c r="K644">
        <v>4</v>
      </c>
      <c r="L644" s="17" t="s">
        <v>36</v>
      </c>
      <c r="M644">
        <v>57</v>
      </c>
      <c r="N644">
        <v>4</v>
      </c>
      <c r="O644">
        <v>2</v>
      </c>
      <c r="P644" t="s">
        <v>50</v>
      </c>
      <c r="Q644">
        <v>1</v>
      </c>
      <c r="R644" t="s">
        <v>49</v>
      </c>
      <c r="S644" s="6">
        <v>4450</v>
      </c>
      <c r="T644">
        <v>26250</v>
      </c>
      <c r="U644">
        <v>1</v>
      </c>
      <c r="V644" t="s">
        <v>39</v>
      </c>
      <c r="W644" t="s">
        <v>40</v>
      </c>
      <c r="X644">
        <v>11</v>
      </c>
      <c r="Y644">
        <v>3</v>
      </c>
      <c r="Z644">
        <v>3</v>
      </c>
      <c r="AA644">
        <v>80</v>
      </c>
      <c r="AB644">
        <v>2</v>
      </c>
      <c r="AC644">
        <v>5</v>
      </c>
      <c r="AD644">
        <v>3</v>
      </c>
      <c r="AE644">
        <v>3</v>
      </c>
      <c r="AF644">
        <v>4</v>
      </c>
      <c r="AG644">
        <v>2</v>
      </c>
      <c r="AH644">
        <v>1</v>
      </c>
      <c r="AI644">
        <v>3</v>
      </c>
    </row>
    <row r="645" spans="1:35" x14ac:dyDescent="0.3">
      <c r="A645">
        <v>32</v>
      </c>
      <c r="B645" t="s">
        <v>40</v>
      </c>
      <c r="C645" t="s">
        <v>52</v>
      </c>
      <c r="D645">
        <v>976</v>
      </c>
      <c r="E645" t="s">
        <v>34</v>
      </c>
      <c r="F645">
        <v>26</v>
      </c>
      <c r="G645">
        <v>4</v>
      </c>
      <c r="H645" t="s">
        <v>56</v>
      </c>
      <c r="I645">
        <v>1</v>
      </c>
      <c r="J645">
        <v>333</v>
      </c>
      <c r="K645">
        <v>3</v>
      </c>
      <c r="L645" s="17" t="s">
        <v>43</v>
      </c>
      <c r="M645">
        <v>100</v>
      </c>
      <c r="N645">
        <v>3</v>
      </c>
      <c r="O645">
        <v>2</v>
      </c>
      <c r="P645" t="s">
        <v>37</v>
      </c>
      <c r="Q645">
        <v>4</v>
      </c>
      <c r="R645" t="s">
        <v>45</v>
      </c>
      <c r="S645" s="6">
        <v>4465</v>
      </c>
      <c r="T645">
        <v>12069</v>
      </c>
      <c r="U645">
        <v>0</v>
      </c>
      <c r="V645" t="s">
        <v>39</v>
      </c>
      <c r="W645" t="s">
        <v>40</v>
      </c>
      <c r="X645">
        <v>18</v>
      </c>
      <c r="Y645">
        <v>3</v>
      </c>
      <c r="Z645">
        <v>1</v>
      </c>
      <c r="AA645">
        <v>80</v>
      </c>
      <c r="AB645">
        <v>0</v>
      </c>
      <c r="AC645">
        <v>4</v>
      </c>
      <c r="AD645">
        <v>2</v>
      </c>
      <c r="AE645">
        <v>3</v>
      </c>
      <c r="AF645">
        <v>3</v>
      </c>
      <c r="AG645">
        <v>2</v>
      </c>
      <c r="AH645">
        <v>2</v>
      </c>
      <c r="AI645">
        <v>2</v>
      </c>
    </row>
    <row r="646" spans="1:35" x14ac:dyDescent="0.3">
      <c r="A646">
        <v>45</v>
      </c>
      <c r="B646" t="s">
        <v>40</v>
      </c>
      <c r="C646" t="s">
        <v>33</v>
      </c>
      <c r="D646">
        <v>1457</v>
      </c>
      <c r="E646" t="s">
        <v>42</v>
      </c>
      <c r="F646">
        <v>7</v>
      </c>
      <c r="G646">
        <v>3</v>
      </c>
      <c r="H646" t="s">
        <v>48</v>
      </c>
      <c r="I646">
        <v>1</v>
      </c>
      <c r="J646">
        <v>1195</v>
      </c>
      <c r="K646">
        <v>1</v>
      </c>
      <c r="L646" s="17" t="s">
        <v>36</v>
      </c>
      <c r="M646">
        <v>83</v>
      </c>
      <c r="N646">
        <v>3</v>
      </c>
      <c r="O646">
        <v>1</v>
      </c>
      <c r="P646" t="s">
        <v>44</v>
      </c>
      <c r="Q646">
        <v>3</v>
      </c>
      <c r="R646" t="s">
        <v>45</v>
      </c>
      <c r="S646" s="6">
        <v>4477</v>
      </c>
      <c r="T646">
        <v>20100</v>
      </c>
      <c r="U646">
        <v>4</v>
      </c>
      <c r="V646" t="s">
        <v>39</v>
      </c>
      <c r="W646" t="s">
        <v>32</v>
      </c>
      <c r="X646">
        <v>19</v>
      </c>
      <c r="Y646">
        <v>3</v>
      </c>
      <c r="Z646">
        <v>3</v>
      </c>
      <c r="AA646">
        <v>80</v>
      </c>
      <c r="AB646">
        <v>1</v>
      </c>
      <c r="AC646">
        <v>7</v>
      </c>
      <c r="AD646">
        <v>2</v>
      </c>
      <c r="AE646">
        <v>2</v>
      </c>
      <c r="AF646">
        <v>3</v>
      </c>
      <c r="AG646">
        <v>2</v>
      </c>
      <c r="AH646">
        <v>0</v>
      </c>
      <c r="AI646">
        <v>2</v>
      </c>
    </row>
    <row r="647" spans="1:35" x14ac:dyDescent="0.3">
      <c r="A647">
        <v>27</v>
      </c>
      <c r="B647" t="s">
        <v>40</v>
      </c>
      <c r="C647" t="s">
        <v>33</v>
      </c>
      <c r="D647">
        <v>1377</v>
      </c>
      <c r="E647" t="s">
        <v>34</v>
      </c>
      <c r="F647">
        <v>2</v>
      </c>
      <c r="G647">
        <v>3</v>
      </c>
      <c r="H647" t="s">
        <v>35</v>
      </c>
      <c r="I647">
        <v>1</v>
      </c>
      <c r="J647">
        <v>437</v>
      </c>
      <c r="K647">
        <v>4</v>
      </c>
      <c r="L647" s="17" t="s">
        <v>43</v>
      </c>
      <c r="M647">
        <v>74</v>
      </c>
      <c r="N647">
        <v>3</v>
      </c>
      <c r="O647">
        <v>2</v>
      </c>
      <c r="P647" t="s">
        <v>37</v>
      </c>
      <c r="Q647">
        <v>3</v>
      </c>
      <c r="R647" t="s">
        <v>38</v>
      </c>
      <c r="S647" s="6">
        <v>4478</v>
      </c>
      <c r="T647">
        <v>5242</v>
      </c>
      <c r="U647">
        <v>1</v>
      </c>
      <c r="V647" t="s">
        <v>39</v>
      </c>
      <c r="W647" t="s">
        <v>32</v>
      </c>
      <c r="X647">
        <v>11</v>
      </c>
      <c r="Y647">
        <v>3</v>
      </c>
      <c r="Z647">
        <v>1</v>
      </c>
      <c r="AA647">
        <v>80</v>
      </c>
      <c r="AB647">
        <v>0</v>
      </c>
      <c r="AC647">
        <v>5</v>
      </c>
      <c r="AD647">
        <v>3</v>
      </c>
      <c r="AE647">
        <v>3</v>
      </c>
      <c r="AF647">
        <v>5</v>
      </c>
      <c r="AG647">
        <v>4</v>
      </c>
      <c r="AH647">
        <v>0</v>
      </c>
      <c r="AI647">
        <v>4</v>
      </c>
    </row>
    <row r="648" spans="1:35" x14ac:dyDescent="0.3">
      <c r="A648">
        <v>36</v>
      </c>
      <c r="B648" t="s">
        <v>40</v>
      </c>
      <c r="C648" t="s">
        <v>33</v>
      </c>
      <c r="D648">
        <v>506</v>
      </c>
      <c r="E648" t="s">
        <v>42</v>
      </c>
      <c r="F648">
        <v>3</v>
      </c>
      <c r="G648">
        <v>3</v>
      </c>
      <c r="H648" t="s">
        <v>57</v>
      </c>
      <c r="I648">
        <v>1</v>
      </c>
      <c r="J648">
        <v>397</v>
      </c>
      <c r="K648">
        <v>3</v>
      </c>
      <c r="L648" s="17" t="s">
        <v>43</v>
      </c>
      <c r="M648">
        <v>30</v>
      </c>
      <c r="N648">
        <v>3</v>
      </c>
      <c r="O648">
        <v>2</v>
      </c>
      <c r="P648" t="s">
        <v>44</v>
      </c>
      <c r="Q648">
        <v>2</v>
      </c>
      <c r="R648" t="s">
        <v>38</v>
      </c>
      <c r="S648" s="6">
        <v>4485</v>
      </c>
      <c r="T648">
        <v>26285</v>
      </c>
      <c r="U648">
        <v>4</v>
      </c>
      <c r="V648" t="s">
        <v>39</v>
      </c>
      <c r="W648" t="s">
        <v>40</v>
      </c>
      <c r="X648">
        <v>12</v>
      </c>
      <c r="Y648">
        <v>3</v>
      </c>
      <c r="Z648">
        <v>4</v>
      </c>
      <c r="AA648">
        <v>80</v>
      </c>
      <c r="AB648">
        <v>0</v>
      </c>
      <c r="AC648">
        <v>10</v>
      </c>
      <c r="AD648">
        <v>2</v>
      </c>
      <c r="AE648">
        <v>3</v>
      </c>
      <c r="AF648">
        <v>8</v>
      </c>
      <c r="AG648">
        <v>0</v>
      </c>
      <c r="AH648">
        <v>7</v>
      </c>
      <c r="AI648">
        <v>7</v>
      </c>
    </row>
    <row r="649" spans="1:35" x14ac:dyDescent="0.3">
      <c r="A649">
        <v>25</v>
      </c>
      <c r="B649" t="s">
        <v>40</v>
      </c>
      <c r="C649" t="s">
        <v>33</v>
      </c>
      <c r="D649">
        <v>891</v>
      </c>
      <c r="E649" t="s">
        <v>34</v>
      </c>
      <c r="F649">
        <v>4</v>
      </c>
      <c r="G649">
        <v>2</v>
      </c>
      <c r="H649" t="s">
        <v>35</v>
      </c>
      <c r="I649">
        <v>1</v>
      </c>
      <c r="J649">
        <v>527</v>
      </c>
      <c r="K649">
        <v>2</v>
      </c>
      <c r="L649" s="17" t="s">
        <v>36</v>
      </c>
      <c r="M649">
        <v>99</v>
      </c>
      <c r="N649">
        <v>2</v>
      </c>
      <c r="O649">
        <v>2</v>
      </c>
      <c r="P649" t="s">
        <v>37</v>
      </c>
      <c r="Q649">
        <v>4</v>
      </c>
      <c r="R649" t="s">
        <v>38</v>
      </c>
      <c r="S649" s="6">
        <v>4487</v>
      </c>
      <c r="T649">
        <v>12090</v>
      </c>
      <c r="U649">
        <v>1</v>
      </c>
      <c r="V649" t="s">
        <v>39</v>
      </c>
      <c r="W649" t="s">
        <v>32</v>
      </c>
      <c r="X649">
        <v>11</v>
      </c>
      <c r="Y649">
        <v>3</v>
      </c>
      <c r="Z649">
        <v>2</v>
      </c>
      <c r="AA649">
        <v>80</v>
      </c>
      <c r="AB649">
        <v>0</v>
      </c>
      <c r="AC649">
        <v>5</v>
      </c>
      <c r="AD649">
        <v>3</v>
      </c>
      <c r="AE649">
        <v>3</v>
      </c>
      <c r="AF649">
        <v>5</v>
      </c>
      <c r="AG649">
        <v>4</v>
      </c>
      <c r="AH649">
        <v>1</v>
      </c>
      <c r="AI649">
        <v>3</v>
      </c>
    </row>
    <row r="650" spans="1:35" x14ac:dyDescent="0.3">
      <c r="A650">
        <v>34</v>
      </c>
      <c r="B650" t="s">
        <v>40</v>
      </c>
      <c r="C650" t="s">
        <v>41</v>
      </c>
      <c r="D650">
        <v>648</v>
      </c>
      <c r="E650" t="s">
        <v>58</v>
      </c>
      <c r="F650">
        <v>11</v>
      </c>
      <c r="G650">
        <v>3</v>
      </c>
      <c r="H650" t="s">
        <v>35</v>
      </c>
      <c r="I650">
        <v>1</v>
      </c>
      <c r="J650">
        <v>1289</v>
      </c>
      <c r="K650">
        <v>3</v>
      </c>
      <c r="L650" s="17" t="s">
        <v>43</v>
      </c>
      <c r="M650">
        <v>56</v>
      </c>
      <c r="N650">
        <v>2</v>
      </c>
      <c r="O650">
        <v>2</v>
      </c>
      <c r="P650" t="s">
        <v>58</v>
      </c>
      <c r="Q650">
        <v>2</v>
      </c>
      <c r="R650" t="s">
        <v>45</v>
      </c>
      <c r="S650" s="6">
        <v>4490</v>
      </c>
      <c r="T650">
        <v>21833</v>
      </c>
      <c r="U650">
        <v>4</v>
      </c>
      <c r="V650" t="s">
        <v>39</v>
      </c>
      <c r="W650" t="s">
        <v>40</v>
      </c>
      <c r="X650">
        <v>11</v>
      </c>
      <c r="Y650">
        <v>3</v>
      </c>
      <c r="Z650">
        <v>4</v>
      </c>
      <c r="AA650">
        <v>80</v>
      </c>
      <c r="AB650">
        <v>2</v>
      </c>
      <c r="AC650">
        <v>14</v>
      </c>
      <c r="AD650">
        <v>5</v>
      </c>
      <c r="AE650">
        <v>4</v>
      </c>
      <c r="AF650">
        <v>10</v>
      </c>
      <c r="AG650">
        <v>9</v>
      </c>
      <c r="AH650">
        <v>1</v>
      </c>
      <c r="AI650">
        <v>8</v>
      </c>
    </row>
    <row r="651" spans="1:35" x14ac:dyDescent="0.3">
      <c r="A651">
        <v>36</v>
      </c>
      <c r="B651" t="s">
        <v>40</v>
      </c>
      <c r="C651" t="s">
        <v>33</v>
      </c>
      <c r="D651">
        <v>530</v>
      </c>
      <c r="E651" t="s">
        <v>34</v>
      </c>
      <c r="F651">
        <v>2</v>
      </c>
      <c r="G651">
        <v>4</v>
      </c>
      <c r="H651" t="s">
        <v>35</v>
      </c>
      <c r="I651">
        <v>1</v>
      </c>
      <c r="J651">
        <v>1710</v>
      </c>
      <c r="K651">
        <v>3</v>
      </c>
      <c r="L651" s="17" t="s">
        <v>36</v>
      </c>
      <c r="M651">
        <v>51</v>
      </c>
      <c r="N651">
        <v>3</v>
      </c>
      <c r="O651">
        <v>2</v>
      </c>
      <c r="P651" t="s">
        <v>54</v>
      </c>
      <c r="Q651">
        <v>4</v>
      </c>
      <c r="R651" t="s">
        <v>38</v>
      </c>
      <c r="S651" s="6">
        <v>4502</v>
      </c>
      <c r="T651">
        <v>7439</v>
      </c>
      <c r="U651">
        <v>3</v>
      </c>
      <c r="V651" t="s">
        <v>39</v>
      </c>
      <c r="W651" t="s">
        <v>40</v>
      </c>
      <c r="X651">
        <v>15</v>
      </c>
      <c r="Y651">
        <v>3</v>
      </c>
      <c r="Z651">
        <v>3</v>
      </c>
      <c r="AA651">
        <v>80</v>
      </c>
      <c r="AB651">
        <v>0</v>
      </c>
      <c r="AC651">
        <v>17</v>
      </c>
      <c r="AD651">
        <v>2</v>
      </c>
      <c r="AE651">
        <v>2</v>
      </c>
      <c r="AF651">
        <v>13</v>
      </c>
      <c r="AG651">
        <v>7</v>
      </c>
      <c r="AH651">
        <v>6</v>
      </c>
      <c r="AI651">
        <v>7</v>
      </c>
    </row>
    <row r="652" spans="1:35" x14ac:dyDescent="0.3">
      <c r="A652">
        <v>34</v>
      </c>
      <c r="B652" t="s">
        <v>40</v>
      </c>
      <c r="C652" t="s">
        <v>33</v>
      </c>
      <c r="D652">
        <v>1031</v>
      </c>
      <c r="E652" t="s">
        <v>42</v>
      </c>
      <c r="F652">
        <v>6</v>
      </c>
      <c r="G652">
        <v>4</v>
      </c>
      <c r="H652" t="s">
        <v>35</v>
      </c>
      <c r="I652">
        <v>1</v>
      </c>
      <c r="J652">
        <v>151</v>
      </c>
      <c r="K652">
        <v>3</v>
      </c>
      <c r="L652" s="17" t="s">
        <v>36</v>
      </c>
      <c r="M652">
        <v>45</v>
      </c>
      <c r="N652">
        <v>2</v>
      </c>
      <c r="O652">
        <v>2</v>
      </c>
      <c r="P652" t="s">
        <v>44</v>
      </c>
      <c r="Q652">
        <v>2</v>
      </c>
      <c r="R652" t="s">
        <v>49</v>
      </c>
      <c r="S652" s="6">
        <v>4505</v>
      </c>
      <c r="T652">
        <v>15000</v>
      </c>
      <c r="U652">
        <v>6</v>
      </c>
      <c r="V652" t="s">
        <v>39</v>
      </c>
      <c r="W652" t="s">
        <v>40</v>
      </c>
      <c r="X652">
        <v>15</v>
      </c>
      <c r="Y652">
        <v>3</v>
      </c>
      <c r="Z652">
        <v>3</v>
      </c>
      <c r="AA652">
        <v>80</v>
      </c>
      <c r="AB652">
        <v>1</v>
      </c>
      <c r="AC652">
        <v>12</v>
      </c>
      <c r="AD652">
        <v>3</v>
      </c>
      <c r="AE652">
        <v>3</v>
      </c>
      <c r="AF652">
        <v>1</v>
      </c>
      <c r="AG652">
        <v>0</v>
      </c>
      <c r="AH652">
        <v>0</v>
      </c>
      <c r="AI652">
        <v>0</v>
      </c>
    </row>
    <row r="653" spans="1:35" x14ac:dyDescent="0.3">
      <c r="A653">
        <v>49</v>
      </c>
      <c r="B653" t="s">
        <v>40</v>
      </c>
      <c r="C653" t="s">
        <v>33</v>
      </c>
      <c r="D653">
        <v>1313</v>
      </c>
      <c r="E653" t="s">
        <v>34</v>
      </c>
      <c r="F653">
        <v>11</v>
      </c>
      <c r="G653">
        <v>4</v>
      </c>
      <c r="H653" t="s">
        <v>56</v>
      </c>
      <c r="I653">
        <v>1</v>
      </c>
      <c r="J653">
        <v>1757</v>
      </c>
      <c r="K653">
        <v>4</v>
      </c>
      <c r="L653" s="17" t="s">
        <v>36</v>
      </c>
      <c r="M653">
        <v>80</v>
      </c>
      <c r="N653">
        <v>3</v>
      </c>
      <c r="O653">
        <v>2</v>
      </c>
      <c r="P653" t="s">
        <v>37</v>
      </c>
      <c r="Q653">
        <v>4</v>
      </c>
      <c r="R653" t="s">
        <v>38</v>
      </c>
      <c r="S653" s="6">
        <v>4507</v>
      </c>
      <c r="T653">
        <v>8191</v>
      </c>
      <c r="U653">
        <v>3</v>
      </c>
      <c r="V653" t="s">
        <v>39</v>
      </c>
      <c r="W653" t="s">
        <v>40</v>
      </c>
      <c r="X653">
        <v>12</v>
      </c>
      <c r="Y653">
        <v>3</v>
      </c>
      <c r="Z653">
        <v>3</v>
      </c>
      <c r="AA653">
        <v>80</v>
      </c>
      <c r="AB653">
        <v>0</v>
      </c>
      <c r="AC653">
        <v>8</v>
      </c>
      <c r="AD653">
        <v>1</v>
      </c>
      <c r="AE653">
        <v>4</v>
      </c>
      <c r="AF653">
        <v>5</v>
      </c>
      <c r="AG653">
        <v>1</v>
      </c>
      <c r="AH653">
        <v>0</v>
      </c>
      <c r="AI653">
        <v>4</v>
      </c>
    </row>
    <row r="654" spans="1:35" x14ac:dyDescent="0.3">
      <c r="A654">
        <v>33</v>
      </c>
      <c r="B654" t="s">
        <v>32</v>
      </c>
      <c r="C654" t="s">
        <v>41</v>
      </c>
      <c r="D654">
        <v>827</v>
      </c>
      <c r="E654" t="s">
        <v>42</v>
      </c>
      <c r="F654">
        <v>29</v>
      </c>
      <c r="G654">
        <v>4</v>
      </c>
      <c r="H654" t="s">
        <v>48</v>
      </c>
      <c r="I654">
        <v>1</v>
      </c>
      <c r="J654">
        <v>1101</v>
      </c>
      <c r="K654">
        <v>1</v>
      </c>
      <c r="L654" s="17" t="s">
        <v>36</v>
      </c>
      <c r="M654">
        <v>54</v>
      </c>
      <c r="N654">
        <v>2</v>
      </c>
      <c r="O654">
        <v>2</v>
      </c>
      <c r="P654" t="s">
        <v>44</v>
      </c>
      <c r="Q654">
        <v>3</v>
      </c>
      <c r="R654" t="s">
        <v>38</v>
      </c>
      <c r="S654" s="6">
        <v>4508</v>
      </c>
      <c r="T654">
        <v>3129</v>
      </c>
      <c r="U654">
        <v>1</v>
      </c>
      <c r="V654" t="s">
        <v>39</v>
      </c>
      <c r="W654" t="s">
        <v>40</v>
      </c>
      <c r="X654">
        <v>22</v>
      </c>
      <c r="Y654">
        <v>4</v>
      </c>
      <c r="Z654">
        <v>2</v>
      </c>
      <c r="AA654">
        <v>80</v>
      </c>
      <c r="AB654">
        <v>0</v>
      </c>
      <c r="AC654">
        <v>14</v>
      </c>
      <c r="AD654">
        <v>4</v>
      </c>
      <c r="AE654">
        <v>3</v>
      </c>
      <c r="AF654">
        <v>13</v>
      </c>
      <c r="AG654">
        <v>7</v>
      </c>
      <c r="AH654">
        <v>3</v>
      </c>
      <c r="AI654">
        <v>8</v>
      </c>
    </row>
    <row r="655" spans="1:35" x14ac:dyDescent="0.3">
      <c r="A655">
        <v>43</v>
      </c>
      <c r="B655" t="s">
        <v>40</v>
      </c>
      <c r="C655" t="s">
        <v>33</v>
      </c>
      <c r="D655">
        <v>1473</v>
      </c>
      <c r="E655" t="s">
        <v>42</v>
      </c>
      <c r="F655">
        <v>8</v>
      </c>
      <c r="G655">
        <v>4</v>
      </c>
      <c r="H655" t="s">
        <v>46</v>
      </c>
      <c r="I655">
        <v>1</v>
      </c>
      <c r="J655">
        <v>526</v>
      </c>
      <c r="K655">
        <v>3</v>
      </c>
      <c r="L655" s="17" t="s">
        <v>36</v>
      </c>
      <c r="M655">
        <v>74</v>
      </c>
      <c r="N655">
        <v>3</v>
      </c>
      <c r="O655">
        <v>2</v>
      </c>
      <c r="P655" t="s">
        <v>51</v>
      </c>
      <c r="Q655">
        <v>3</v>
      </c>
      <c r="R655" t="s">
        <v>49</v>
      </c>
      <c r="S655" s="6">
        <v>4522</v>
      </c>
      <c r="T655">
        <v>2227</v>
      </c>
      <c r="U655">
        <v>4</v>
      </c>
      <c r="V655" t="s">
        <v>39</v>
      </c>
      <c r="W655" t="s">
        <v>32</v>
      </c>
      <c r="X655">
        <v>14</v>
      </c>
      <c r="Y655">
        <v>3</v>
      </c>
      <c r="Z655">
        <v>4</v>
      </c>
      <c r="AA655">
        <v>80</v>
      </c>
      <c r="AB655">
        <v>0</v>
      </c>
      <c r="AC655">
        <v>8</v>
      </c>
      <c r="AD655">
        <v>3</v>
      </c>
      <c r="AE655">
        <v>3</v>
      </c>
      <c r="AF655">
        <v>5</v>
      </c>
      <c r="AG655">
        <v>2</v>
      </c>
      <c r="AH655">
        <v>0</v>
      </c>
      <c r="AI655">
        <v>2</v>
      </c>
    </row>
    <row r="656" spans="1:35" x14ac:dyDescent="0.3">
      <c r="A656">
        <v>42</v>
      </c>
      <c r="B656" t="s">
        <v>40</v>
      </c>
      <c r="C656" t="s">
        <v>41</v>
      </c>
      <c r="D656">
        <v>1368</v>
      </c>
      <c r="E656" t="s">
        <v>42</v>
      </c>
      <c r="F656">
        <v>28</v>
      </c>
      <c r="G656">
        <v>4</v>
      </c>
      <c r="H656" t="s">
        <v>57</v>
      </c>
      <c r="I656">
        <v>1</v>
      </c>
      <c r="J656">
        <v>551</v>
      </c>
      <c r="K656">
        <v>4</v>
      </c>
      <c r="L656" s="17" t="s">
        <v>36</v>
      </c>
      <c r="M656">
        <v>88</v>
      </c>
      <c r="N656">
        <v>2</v>
      </c>
      <c r="O656">
        <v>2</v>
      </c>
      <c r="P656" t="s">
        <v>51</v>
      </c>
      <c r="Q656">
        <v>4</v>
      </c>
      <c r="R656" t="s">
        <v>45</v>
      </c>
      <c r="S656" s="6">
        <v>4523</v>
      </c>
      <c r="T656">
        <v>4386</v>
      </c>
      <c r="U656">
        <v>0</v>
      </c>
      <c r="V656" t="s">
        <v>39</v>
      </c>
      <c r="W656" t="s">
        <v>40</v>
      </c>
      <c r="X656">
        <v>11</v>
      </c>
      <c r="Y656">
        <v>3</v>
      </c>
      <c r="Z656">
        <v>4</v>
      </c>
      <c r="AA656">
        <v>80</v>
      </c>
      <c r="AB656">
        <v>3</v>
      </c>
      <c r="AC656">
        <v>7</v>
      </c>
      <c r="AD656">
        <v>4</v>
      </c>
      <c r="AE656">
        <v>4</v>
      </c>
      <c r="AF656">
        <v>6</v>
      </c>
      <c r="AG656">
        <v>5</v>
      </c>
      <c r="AH656">
        <v>0</v>
      </c>
      <c r="AI656">
        <v>4</v>
      </c>
    </row>
    <row r="657" spans="1:35" x14ac:dyDescent="0.3">
      <c r="A657">
        <v>39</v>
      </c>
      <c r="B657" t="s">
        <v>40</v>
      </c>
      <c r="C657" t="s">
        <v>33</v>
      </c>
      <c r="D657">
        <v>524</v>
      </c>
      <c r="E657" t="s">
        <v>42</v>
      </c>
      <c r="F657">
        <v>18</v>
      </c>
      <c r="G657">
        <v>2</v>
      </c>
      <c r="H657" t="s">
        <v>35</v>
      </c>
      <c r="I657">
        <v>1</v>
      </c>
      <c r="J657">
        <v>1322</v>
      </c>
      <c r="K657">
        <v>1</v>
      </c>
      <c r="L657" s="17" t="s">
        <v>43</v>
      </c>
      <c r="M657">
        <v>32</v>
      </c>
      <c r="N657">
        <v>3</v>
      </c>
      <c r="O657">
        <v>2</v>
      </c>
      <c r="P657" t="s">
        <v>50</v>
      </c>
      <c r="Q657">
        <v>3</v>
      </c>
      <c r="R657" t="s">
        <v>38</v>
      </c>
      <c r="S657" s="6">
        <v>4534</v>
      </c>
      <c r="T657">
        <v>13352</v>
      </c>
      <c r="U657">
        <v>0</v>
      </c>
      <c r="V657" t="s">
        <v>39</v>
      </c>
      <c r="W657" t="s">
        <v>40</v>
      </c>
      <c r="X657">
        <v>11</v>
      </c>
      <c r="Y657">
        <v>3</v>
      </c>
      <c r="Z657">
        <v>1</v>
      </c>
      <c r="AA657">
        <v>80</v>
      </c>
      <c r="AB657">
        <v>0</v>
      </c>
      <c r="AC657">
        <v>9</v>
      </c>
      <c r="AD657">
        <v>6</v>
      </c>
      <c r="AE657">
        <v>3</v>
      </c>
      <c r="AF657">
        <v>8</v>
      </c>
      <c r="AG657">
        <v>7</v>
      </c>
      <c r="AH657">
        <v>1</v>
      </c>
      <c r="AI657">
        <v>7</v>
      </c>
    </row>
    <row r="658" spans="1:35" x14ac:dyDescent="0.3">
      <c r="A658">
        <v>47</v>
      </c>
      <c r="B658" t="s">
        <v>40</v>
      </c>
      <c r="C658" t="s">
        <v>33</v>
      </c>
      <c r="D658">
        <v>249</v>
      </c>
      <c r="E658" t="s">
        <v>34</v>
      </c>
      <c r="F658">
        <v>2</v>
      </c>
      <c r="G658">
        <v>2</v>
      </c>
      <c r="H658" t="s">
        <v>56</v>
      </c>
      <c r="I658">
        <v>1</v>
      </c>
      <c r="J658">
        <v>903</v>
      </c>
      <c r="K658">
        <v>3</v>
      </c>
      <c r="L658" s="17" t="s">
        <v>36</v>
      </c>
      <c r="M658">
        <v>35</v>
      </c>
      <c r="N658">
        <v>3</v>
      </c>
      <c r="O658">
        <v>2</v>
      </c>
      <c r="P658" t="s">
        <v>37</v>
      </c>
      <c r="Q658">
        <v>4</v>
      </c>
      <c r="R658" t="s">
        <v>45</v>
      </c>
      <c r="S658" s="6">
        <v>4537</v>
      </c>
      <c r="T658">
        <v>17783</v>
      </c>
      <c r="U658">
        <v>0</v>
      </c>
      <c r="V658" t="s">
        <v>39</v>
      </c>
      <c r="W658" t="s">
        <v>32</v>
      </c>
      <c r="X658">
        <v>22</v>
      </c>
      <c r="Y658">
        <v>4</v>
      </c>
      <c r="Z658">
        <v>1</v>
      </c>
      <c r="AA658">
        <v>80</v>
      </c>
      <c r="AB658">
        <v>1</v>
      </c>
      <c r="AC658">
        <v>8</v>
      </c>
      <c r="AD658">
        <v>2</v>
      </c>
      <c r="AE658">
        <v>3</v>
      </c>
      <c r="AF658">
        <v>7</v>
      </c>
      <c r="AG658">
        <v>6</v>
      </c>
      <c r="AH658">
        <v>7</v>
      </c>
      <c r="AI658">
        <v>7</v>
      </c>
    </row>
    <row r="659" spans="1:35" x14ac:dyDescent="0.3">
      <c r="A659">
        <v>34</v>
      </c>
      <c r="B659" t="s">
        <v>40</v>
      </c>
      <c r="C659" t="s">
        <v>33</v>
      </c>
      <c r="D659">
        <v>131</v>
      </c>
      <c r="E659" t="s">
        <v>34</v>
      </c>
      <c r="F659">
        <v>2</v>
      </c>
      <c r="G659">
        <v>3</v>
      </c>
      <c r="H659" t="s">
        <v>56</v>
      </c>
      <c r="I659">
        <v>1</v>
      </c>
      <c r="J659">
        <v>1281</v>
      </c>
      <c r="K659">
        <v>3</v>
      </c>
      <c r="L659" s="17" t="s">
        <v>36</v>
      </c>
      <c r="M659">
        <v>86</v>
      </c>
      <c r="N659">
        <v>3</v>
      </c>
      <c r="O659">
        <v>2</v>
      </c>
      <c r="P659" t="s">
        <v>37</v>
      </c>
      <c r="Q659">
        <v>1</v>
      </c>
      <c r="R659" t="s">
        <v>38</v>
      </c>
      <c r="S659" s="6">
        <v>4538</v>
      </c>
      <c r="T659">
        <v>6039</v>
      </c>
      <c r="U659">
        <v>0</v>
      </c>
      <c r="V659" t="s">
        <v>39</v>
      </c>
      <c r="W659" t="s">
        <v>32</v>
      </c>
      <c r="X659">
        <v>12</v>
      </c>
      <c r="Y659">
        <v>3</v>
      </c>
      <c r="Z659">
        <v>4</v>
      </c>
      <c r="AA659">
        <v>80</v>
      </c>
      <c r="AB659">
        <v>0</v>
      </c>
      <c r="AC659">
        <v>4</v>
      </c>
      <c r="AD659">
        <v>3</v>
      </c>
      <c r="AE659">
        <v>3</v>
      </c>
      <c r="AF659">
        <v>3</v>
      </c>
      <c r="AG659">
        <v>2</v>
      </c>
      <c r="AH659">
        <v>0</v>
      </c>
      <c r="AI659">
        <v>2</v>
      </c>
    </row>
    <row r="660" spans="1:35" x14ac:dyDescent="0.3">
      <c r="A660">
        <v>33</v>
      </c>
      <c r="B660" t="s">
        <v>40</v>
      </c>
      <c r="C660" t="s">
        <v>41</v>
      </c>
      <c r="D660">
        <v>1146</v>
      </c>
      <c r="E660" t="s">
        <v>34</v>
      </c>
      <c r="F660">
        <v>25</v>
      </c>
      <c r="G660">
        <v>3</v>
      </c>
      <c r="H660" t="s">
        <v>48</v>
      </c>
      <c r="I660">
        <v>1</v>
      </c>
      <c r="J660">
        <v>1220</v>
      </c>
      <c r="K660">
        <v>2</v>
      </c>
      <c r="L660" s="17" t="s">
        <v>36</v>
      </c>
      <c r="M660">
        <v>82</v>
      </c>
      <c r="N660">
        <v>3</v>
      </c>
      <c r="O660">
        <v>2</v>
      </c>
      <c r="P660" t="s">
        <v>37</v>
      </c>
      <c r="Q660">
        <v>3</v>
      </c>
      <c r="R660" t="s">
        <v>45</v>
      </c>
      <c r="S660" s="6">
        <v>4539</v>
      </c>
      <c r="T660">
        <v>4905</v>
      </c>
      <c r="U660">
        <v>1</v>
      </c>
      <c r="V660" t="s">
        <v>39</v>
      </c>
      <c r="W660" t="s">
        <v>40</v>
      </c>
      <c r="X660">
        <v>12</v>
      </c>
      <c r="Y660">
        <v>3</v>
      </c>
      <c r="Z660">
        <v>1</v>
      </c>
      <c r="AA660">
        <v>80</v>
      </c>
      <c r="AB660">
        <v>1</v>
      </c>
      <c r="AC660">
        <v>10</v>
      </c>
      <c r="AD660">
        <v>3</v>
      </c>
      <c r="AE660">
        <v>2</v>
      </c>
      <c r="AF660">
        <v>10</v>
      </c>
      <c r="AG660">
        <v>7</v>
      </c>
      <c r="AH660">
        <v>0</v>
      </c>
      <c r="AI660">
        <v>1</v>
      </c>
    </row>
    <row r="661" spans="1:35" x14ac:dyDescent="0.3">
      <c r="A661">
        <v>44</v>
      </c>
      <c r="B661" t="s">
        <v>40</v>
      </c>
      <c r="C661" t="s">
        <v>33</v>
      </c>
      <c r="D661">
        <v>200</v>
      </c>
      <c r="E661" t="s">
        <v>42</v>
      </c>
      <c r="F661">
        <v>29</v>
      </c>
      <c r="G661">
        <v>4</v>
      </c>
      <c r="H661" t="s">
        <v>46</v>
      </c>
      <c r="I661">
        <v>1</v>
      </c>
      <c r="J661">
        <v>1225</v>
      </c>
      <c r="K661">
        <v>4</v>
      </c>
      <c r="L661" s="17" t="s">
        <v>43</v>
      </c>
      <c r="M661">
        <v>32</v>
      </c>
      <c r="N661">
        <v>3</v>
      </c>
      <c r="O661">
        <v>2</v>
      </c>
      <c r="P661" t="s">
        <v>44</v>
      </c>
      <c r="Q661">
        <v>4</v>
      </c>
      <c r="R661" t="s">
        <v>38</v>
      </c>
      <c r="S661" s="6">
        <v>4541</v>
      </c>
      <c r="T661">
        <v>7744</v>
      </c>
      <c r="U661">
        <v>1</v>
      </c>
      <c r="V661" t="s">
        <v>39</v>
      </c>
      <c r="W661" t="s">
        <v>40</v>
      </c>
      <c r="X661">
        <v>25</v>
      </c>
      <c r="Y661">
        <v>4</v>
      </c>
      <c r="Z661">
        <v>2</v>
      </c>
      <c r="AA661">
        <v>80</v>
      </c>
      <c r="AB661">
        <v>0</v>
      </c>
      <c r="AC661">
        <v>20</v>
      </c>
      <c r="AD661">
        <v>3</v>
      </c>
      <c r="AE661">
        <v>3</v>
      </c>
      <c r="AF661">
        <v>20</v>
      </c>
      <c r="AG661">
        <v>11</v>
      </c>
      <c r="AH661">
        <v>13</v>
      </c>
      <c r="AI661">
        <v>17</v>
      </c>
    </row>
    <row r="662" spans="1:35" x14ac:dyDescent="0.3">
      <c r="A662">
        <v>39</v>
      </c>
      <c r="B662" t="s">
        <v>40</v>
      </c>
      <c r="C662" t="s">
        <v>33</v>
      </c>
      <c r="D662">
        <v>408</v>
      </c>
      <c r="E662" t="s">
        <v>42</v>
      </c>
      <c r="F662">
        <v>2</v>
      </c>
      <c r="G662">
        <v>4</v>
      </c>
      <c r="H662" t="s">
        <v>57</v>
      </c>
      <c r="I662">
        <v>1</v>
      </c>
      <c r="J662">
        <v>721</v>
      </c>
      <c r="K662">
        <v>4</v>
      </c>
      <c r="L662" s="17" t="s">
        <v>36</v>
      </c>
      <c r="M662">
        <v>80</v>
      </c>
      <c r="N662">
        <v>2</v>
      </c>
      <c r="O662">
        <v>2</v>
      </c>
      <c r="P662" t="s">
        <v>51</v>
      </c>
      <c r="Q662">
        <v>3</v>
      </c>
      <c r="R662" t="s">
        <v>38</v>
      </c>
      <c r="S662" s="6">
        <v>4553</v>
      </c>
      <c r="T662">
        <v>20978</v>
      </c>
      <c r="U662">
        <v>1</v>
      </c>
      <c r="V662" t="s">
        <v>39</v>
      </c>
      <c r="W662" t="s">
        <v>40</v>
      </c>
      <c r="X662">
        <v>11</v>
      </c>
      <c r="Y662">
        <v>3</v>
      </c>
      <c r="Z662">
        <v>1</v>
      </c>
      <c r="AA662">
        <v>80</v>
      </c>
      <c r="AB662">
        <v>0</v>
      </c>
      <c r="AC662">
        <v>20</v>
      </c>
      <c r="AD662">
        <v>4</v>
      </c>
      <c r="AE662">
        <v>3</v>
      </c>
      <c r="AF662">
        <v>20</v>
      </c>
      <c r="AG662">
        <v>7</v>
      </c>
      <c r="AH662">
        <v>11</v>
      </c>
      <c r="AI662">
        <v>10</v>
      </c>
    </row>
    <row r="663" spans="1:35" x14ac:dyDescent="0.3">
      <c r="A663">
        <v>29</v>
      </c>
      <c r="B663" t="s">
        <v>40</v>
      </c>
      <c r="C663" t="s">
        <v>41</v>
      </c>
      <c r="D663">
        <v>442</v>
      </c>
      <c r="E663" t="s">
        <v>34</v>
      </c>
      <c r="F663">
        <v>2</v>
      </c>
      <c r="G663">
        <v>2</v>
      </c>
      <c r="H663" t="s">
        <v>35</v>
      </c>
      <c r="I663">
        <v>1</v>
      </c>
      <c r="J663">
        <v>388</v>
      </c>
      <c r="K663">
        <v>2</v>
      </c>
      <c r="L663" s="17" t="s">
        <v>43</v>
      </c>
      <c r="M663">
        <v>44</v>
      </c>
      <c r="N663">
        <v>3</v>
      </c>
      <c r="O663">
        <v>2</v>
      </c>
      <c r="P663" t="s">
        <v>37</v>
      </c>
      <c r="Q663">
        <v>4</v>
      </c>
      <c r="R663" t="s">
        <v>38</v>
      </c>
      <c r="S663" s="6">
        <v>4554</v>
      </c>
      <c r="T663">
        <v>20260</v>
      </c>
      <c r="U663">
        <v>1</v>
      </c>
      <c r="V663" t="s">
        <v>39</v>
      </c>
      <c r="W663" t="s">
        <v>40</v>
      </c>
      <c r="X663">
        <v>18</v>
      </c>
      <c r="Y663">
        <v>3</v>
      </c>
      <c r="Z663">
        <v>1</v>
      </c>
      <c r="AA663">
        <v>80</v>
      </c>
      <c r="AB663">
        <v>0</v>
      </c>
      <c r="AC663">
        <v>10</v>
      </c>
      <c r="AD663">
        <v>3</v>
      </c>
      <c r="AE663">
        <v>2</v>
      </c>
      <c r="AF663">
        <v>10</v>
      </c>
      <c r="AG663">
        <v>7</v>
      </c>
      <c r="AH663">
        <v>0</v>
      </c>
      <c r="AI663">
        <v>9</v>
      </c>
    </row>
    <row r="664" spans="1:35" x14ac:dyDescent="0.3">
      <c r="A664">
        <v>42</v>
      </c>
      <c r="B664" t="s">
        <v>40</v>
      </c>
      <c r="C664" t="s">
        <v>41</v>
      </c>
      <c r="D664">
        <v>532</v>
      </c>
      <c r="E664" t="s">
        <v>42</v>
      </c>
      <c r="F664">
        <v>29</v>
      </c>
      <c r="G664">
        <v>2</v>
      </c>
      <c r="H664" t="s">
        <v>35</v>
      </c>
      <c r="I664">
        <v>1</v>
      </c>
      <c r="J664">
        <v>547</v>
      </c>
      <c r="K664">
        <v>1</v>
      </c>
      <c r="L664" s="17" t="s">
        <v>36</v>
      </c>
      <c r="M664">
        <v>92</v>
      </c>
      <c r="N664">
        <v>3</v>
      </c>
      <c r="O664">
        <v>2</v>
      </c>
      <c r="P664" t="s">
        <v>44</v>
      </c>
      <c r="Q664">
        <v>3</v>
      </c>
      <c r="R664" t="s">
        <v>49</v>
      </c>
      <c r="S664" s="6">
        <v>4556</v>
      </c>
      <c r="T664">
        <v>12932</v>
      </c>
      <c r="U664">
        <v>2</v>
      </c>
      <c r="V664" t="s">
        <v>39</v>
      </c>
      <c r="W664" t="s">
        <v>40</v>
      </c>
      <c r="X664">
        <v>11</v>
      </c>
      <c r="Y664">
        <v>3</v>
      </c>
      <c r="Z664">
        <v>2</v>
      </c>
      <c r="AA664">
        <v>80</v>
      </c>
      <c r="AB664">
        <v>1</v>
      </c>
      <c r="AC664">
        <v>19</v>
      </c>
      <c r="AD664">
        <v>3</v>
      </c>
      <c r="AE664">
        <v>3</v>
      </c>
      <c r="AF664">
        <v>5</v>
      </c>
      <c r="AG664">
        <v>4</v>
      </c>
      <c r="AH664">
        <v>0</v>
      </c>
      <c r="AI664">
        <v>2</v>
      </c>
    </row>
    <row r="665" spans="1:35" x14ac:dyDescent="0.3">
      <c r="A665">
        <v>28</v>
      </c>
      <c r="B665" t="s">
        <v>40</v>
      </c>
      <c r="C665" t="s">
        <v>33</v>
      </c>
      <c r="D665">
        <v>1300</v>
      </c>
      <c r="E665" t="s">
        <v>42</v>
      </c>
      <c r="F665">
        <v>17</v>
      </c>
      <c r="G665">
        <v>2</v>
      </c>
      <c r="H665" t="s">
        <v>48</v>
      </c>
      <c r="I665">
        <v>1</v>
      </c>
      <c r="J665">
        <v>536</v>
      </c>
      <c r="K665">
        <v>3</v>
      </c>
      <c r="L665" s="17" t="s">
        <v>43</v>
      </c>
      <c r="M665">
        <v>79</v>
      </c>
      <c r="N665">
        <v>3</v>
      </c>
      <c r="O665">
        <v>2</v>
      </c>
      <c r="P665" t="s">
        <v>47</v>
      </c>
      <c r="Q665">
        <v>1</v>
      </c>
      <c r="R665" t="s">
        <v>49</v>
      </c>
      <c r="S665" s="6">
        <v>4558</v>
      </c>
      <c r="T665">
        <v>13535</v>
      </c>
      <c r="U665">
        <v>1</v>
      </c>
      <c r="V665" t="s">
        <v>39</v>
      </c>
      <c r="W665" t="s">
        <v>40</v>
      </c>
      <c r="X665">
        <v>12</v>
      </c>
      <c r="Y665">
        <v>3</v>
      </c>
      <c r="Z665">
        <v>4</v>
      </c>
      <c r="AA665">
        <v>80</v>
      </c>
      <c r="AB665">
        <v>1</v>
      </c>
      <c r="AC665">
        <v>10</v>
      </c>
      <c r="AD665">
        <v>2</v>
      </c>
      <c r="AE665">
        <v>3</v>
      </c>
      <c r="AF665">
        <v>10</v>
      </c>
      <c r="AG665">
        <v>0</v>
      </c>
      <c r="AH665">
        <v>1</v>
      </c>
      <c r="AI665">
        <v>8</v>
      </c>
    </row>
    <row r="666" spans="1:35" x14ac:dyDescent="0.3">
      <c r="A666">
        <v>31</v>
      </c>
      <c r="B666" t="s">
        <v>32</v>
      </c>
      <c r="C666" t="s">
        <v>33</v>
      </c>
      <c r="D666">
        <v>542</v>
      </c>
      <c r="E666" t="s">
        <v>34</v>
      </c>
      <c r="F666">
        <v>20</v>
      </c>
      <c r="G666">
        <v>3</v>
      </c>
      <c r="H666" t="s">
        <v>35</v>
      </c>
      <c r="I666">
        <v>1</v>
      </c>
      <c r="J666">
        <v>175</v>
      </c>
      <c r="K666">
        <v>2</v>
      </c>
      <c r="L666" s="17" t="s">
        <v>36</v>
      </c>
      <c r="M666">
        <v>71</v>
      </c>
      <c r="N666">
        <v>1</v>
      </c>
      <c r="O666">
        <v>2</v>
      </c>
      <c r="P666" t="s">
        <v>37</v>
      </c>
      <c r="Q666">
        <v>3</v>
      </c>
      <c r="R666" t="s">
        <v>45</v>
      </c>
      <c r="S666" s="6">
        <v>4559</v>
      </c>
      <c r="T666">
        <v>24788</v>
      </c>
      <c r="U666">
        <v>3</v>
      </c>
      <c r="V666" t="s">
        <v>39</v>
      </c>
      <c r="W666" t="s">
        <v>32</v>
      </c>
      <c r="X666">
        <v>11</v>
      </c>
      <c r="Y666">
        <v>3</v>
      </c>
      <c r="Z666">
        <v>3</v>
      </c>
      <c r="AA666">
        <v>80</v>
      </c>
      <c r="AB666">
        <v>1</v>
      </c>
      <c r="AC666">
        <v>4</v>
      </c>
      <c r="AD666">
        <v>2</v>
      </c>
      <c r="AE666">
        <v>3</v>
      </c>
      <c r="AF666">
        <v>2</v>
      </c>
      <c r="AG666">
        <v>2</v>
      </c>
      <c r="AH666">
        <v>2</v>
      </c>
      <c r="AI666">
        <v>2</v>
      </c>
    </row>
    <row r="667" spans="1:35" x14ac:dyDescent="0.3">
      <c r="A667">
        <v>34</v>
      </c>
      <c r="B667" t="s">
        <v>40</v>
      </c>
      <c r="C667" t="s">
        <v>52</v>
      </c>
      <c r="D667">
        <v>1065</v>
      </c>
      <c r="E667" t="s">
        <v>34</v>
      </c>
      <c r="F667">
        <v>23</v>
      </c>
      <c r="G667">
        <v>4</v>
      </c>
      <c r="H667" t="s">
        <v>56</v>
      </c>
      <c r="I667">
        <v>1</v>
      </c>
      <c r="J667">
        <v>60</v>
      </c>
      <c r="K667">
        <v>2</v>
      </c>
      <c r="L667" s="17" t="s">
        <v>43</v>
      </c>
      <c r="M667">
        <v>72</v>
      </c>
      <c r="N667">
        <v>3</v>
      </c>
      <c r="O667">
        <v>2</v>
      </c>
      <c r="P667" t="s">
        <v>37</v>
      </c>
      <c r="Q667">
        <v>3</v>
      </c>
      <c r="R667" t="s">
        <v>38</v>
      </c>
      <c r="S667" s="6">
        <v>4568</v>
      </c>
      <c r="T667">
        <v>10034</v>
      </c>
      <c r="U667">
        <v>0</v>
      </c>
      <c r="V667" t="s">
        <v>39</v>
      </c>
      <c r="W667" t="s">
        <v>40</v>
      </c>
      <c r="X667">
        <v>20</v>
      </c>
      <c r="Y667">
        <v>4</v>
      </c>
      <c r="Z667">
        <v>3</v>
      </c>
      <c r="AA667">
        <v>80</v>
      </c>
      <c r="AB667">
        <v>0</v>
      </c>
      <c r="AC667">
        <v>10</v>
      </c>
      <c r="AD667">
        <v>2</v>
      </c>
      <c r="AE667">
        <v>3</v>
      </c>
      <c r="AF667">
        <v>9</v>
      </c>
      <c r="AG667">
        <v>5</v>
      </c>
      <c r="AH667">
        <v>8</v>
      </c>
      <c r="AI667">
        <v>7</v>
      </c>
    </row>
    <row r="668" spans="1:35" x14ac:dyDescent="0.3">
      <c r="A668">
        <v>24</v>
      </c>
      <c r="B668" t="s">
        <v>32</v>
      </c>
      <c r="C668" t="s">
        <v>33</v>
      </c>
      <c r="D668">
        <v>693</v>
      </c>
      <c r="E668" t="s">
        <v>34</v>
      </c>
      <c r="F668">
        <v>3</v>
      </c>
      <c r="G668">
        <v>2</v>
      </c>
      <c r="H668" t="s">
        <v>35</v>
      </c>
      <c r="I668">
        <v>1</v>
      </c>
      <c r="J668">
        <v>720</v>
      </c>
      <c r="K668">
        <v>1</v>
      </c>
      <c r="L668" s="17" t="s">
        <v>36</v>
      </c>
      <c r="M668">
        <v>65</v>
      </c>
      <c r="N668">
        <v>3</v>
      </c>
      <c r="O668">
        <v>2</v>
      </c>
      <c r="P668" t="s">
        <v>37</v>
      </c>
      <c r="Q668">
        <v>3</v>
      </c>
      <c r="R668" t="s">
        <v>38</v>
      </c>
      <c r="S668" s="6">
        <v>4577</v>
      </c>
      <c r="T668">
        <v>24785</v>
      </c>
      <c r="U668">
        <v>9</v>
      </c>
      <c r="V668" t="s">
        <v>39</v>
      </c>
      <c r="W668" t="s">
        <v>40</v>
      </c>
      <c r="X668">
        <v>14</v>
      </c>
      <c r="Y668">
        <v>3</v>
      </c>
      <c r="Z668">
        <v>1</v>
      </c>
      <c r="AA668">
        <v>80</v>
      </c>
      <c r="AB668">
        <v>0</v>
      </c>
      <c r="AC668">
        <v>4</v>
      </c>
      <c r="AD668">
        <v>3</v>
      </c>
      <c r="AE668">
        <v>3</v>
      </c>
      <c r="AF668">
        <v>2</v>
      </c>
      <c r="AG668">
        <v>2</v>
      </c>
      <c r="AH668">
        <v>2</v>
      </c>
      <c r="AI668">
        <v>0</v>
      </c>
    </row>
    <row r="669" spans="1:35" x14ac:dyDescent="0.3">
      <c r="A669">
        <v>35</v>
      </c>
      <c r="B669" t="s">
        <v>32</v>
      </c>
      <c r="C669" t="s">
        <v>41</v>
      </c>
      <c r="D669">
        <v>880</v>
      </c>
      <c r="E669" t="s">
        <v>34</v>
      </c>
      <c r="F669">
        <v>12</v>
      </c>
      <c r="G669">
        <v>4</v>
      </c>
      <c r="H669" t="s">
        <v>46</v>
      </c>
      <c r="I669">
        <v>1</v>
      </c>
      <c r="J669">
        <v>1667</v>
      </c>
      <c r="K669">
        <v>4</v>
      </c>
      <c r="L669" s="17" t="s">
        <v>43</v>
      </c>
      <c r="M669">
        <v>36</v>
      </c>
      <c r="N669">
        <v>3</v>
      </c>
      <c r="O669">
        <v>2</v>
      </c>
      <c r="P669" t="s">
        <v>37</v>
      </c>
      <c r="Q669">
        <v>4</v>
      </c>
      <c r="R669" t="s">
        <v>38</v>
      </c>
      <c r="S669" s="6">
        <v>4581</v>
      </c>
      <c r="T669">
        <v>10414</v>
      </c>
      <c r="U669">
        <v>3</v>
      </c>
      <c r="V669" t="s">
        <v>39</v>
      </c>
      <c r="W669" t="s">
        <v>32</v>
      </c>
      <c r="X669">
        <v>24</v>
      </c>
      <c r="Y669">
        <v>4</v>
      </c>
      <c r="Z669">
        <v>1</v>
      </c>
      <c r="AA669">
        <v>80</v>
      </c>
      <c r="AB669">
        <v>0</v>
      </c>
      <c r="AC669">
        <v>13</v>
      </c>
      <c r="AD669">
        <v>2</v>
      </c>
      <c r="AE669">
        <v>4</v>
      </c>
      <c r="AF669">
        <v>11</v>
      </c>
      <c r="AG669">
        <v>9</v>
      </c>
      <c r="AH669">
        <v>6</v>
      </c>
      <c r="AI669">
        <v>7</v>
      </c>
    </row>
    <row r="670" spans="1:35" x14ac:dyDescent="0.3">
      <c r="A670">
        <v>47</v>
      </c>
      <c r="B670" t="s">
        <v>40</v>
      </c>
      <c r="C670" t="s">
        <v>33</v>
      </c>
      <c r="D670">
        <v>571</v>
      </c>
      <c r="E670" t="s">
        <v>34</v>
      </c>
      <c r="F670">
        <v>14</v>
      </c>
      <c r="G670">
        <v>3</v>
      </c>
      <c r="H670" t="s">
        <v>48</v>
      </c>
      <c r="I670">
        <v>1</v>
      </c>
      <c r="J670">
        <v>1503</v>
      </c>
      <c r="K670">
        <v>3</v>
      </c>
      <c r="L670" s="17" t="s">
        <v>36</v>
      </c>
      <c r="M670">
        <v>78</v>
      </c>
      <c r="N670">
        <v>3</v>
      </c>
      <c r="O670">
        <v>2</v>
      </c>
      <c r="P670" t="s">
        <v>37</v>
      </c>
      <c r="Q670">
        <v>3</v>
      </c>
      <c r="R670" t="s">
        <v>45</v>
      </c>
      <c r="S670" s="6">
        <v>4591</v>
      </c>
      <c r="T670">
        <v>24200</v>
      </c>
      <c r="U670">
        <v>3</v>
      </c>
      <c r="V670" t="s">
        <v>39</v>
      </c>
      <c r="W670" t="s">
        <v>32</v>
      </c>
      <c r="X670">
        <v>17</v>
      </c>
      <c r="Y670">
        <v>3</v>
      </c>
      <c r="Z670">
        <v>3</v>
      </c>
      <c r="AA670">
        <v>80</v>
      </c>
      <c r="AB670">
        <v>1</v>
      </c>
      <c r="AC670">
        <v>11</v>
      </c>
      <c r="AD670">
        <v>4</v>
      </c>
      <c r="AE670">
        <v>2</v>
      </c>
      <c r="AF670">
        <v>5</v>
      </c>
      <c r="AG670">
        <v>4</v>
      </c>
      <c r="AH670">
        <v>1</v>
      </c>
      <c r="AI670">
        <v>2</v>
      </c>
    </row>
    <row r="671" spans="1:35" x14ac:dyDescent="0.3">
      <c r="A671">
        <v>34</v>
      </c>
      <c r="B671" t="s">
        <v>32</v>
      </c>
      <c r="C671" t="s">
        <v>33</v>
      </c>
      <c r="D671">
        <v>790</v>
      </c>
      <c r="E671" t="s">
        <v>34</v>
      </c>
      <c r="F671">
        <v>24</v>
      </c>
      <c r="G671">
        <v>4</v>
      </c>
      <c r="H671" t="s">
        <v>48</v>
      </c>
      <c r="I671">
        <v>1</v>
      </c>
      <c r="J671">
        <v>1489</v>
      </c>
      <c r="K671">
        <v>1</v>
      </c>
      <c r="L671" s="17" t="s">
        <v>36</v>
      </c>
      <c r="M671">
        <v>40</v>
      </c>
      <c r="N671">
        <v>2</v>
      </c>
      <c r="O671">
        <v>2</v>
      </c>
      <c r="P671" t="s">
        <v>37</v>
      </c>
      <c r="Q671">
        <v>2</v>
      </c>
      <c r="R671" t="s">
        <v>38</v>
      </c>
      <c r="S671" s="6">
        <v>4599</v>
      </c>
      <c r="T671">
        <v>7815</v>
      </c>
      <c r="U671">
        <v>0</v>
      </c>
      <c r="V671" t="s">
        <v>39</v>
      </c>
      <c r="W671" t="s">
        <v>32</v>
      </c>
      <c r="X671">
        <v>23</v>
      </c>
      <c r="Y671">
        <v>4</v>
      </c>
      <c r="Z671">
        <v>3</v>
      </c>
      <c r="AA671">
        <v>80</v>
      </c>
      <c r="AB671">
        <v>0</v>
      </c>
      <c r="AC671">
        <v>16</v>
      </c>
      <c r="AD671">
        <v>2</v>
      </c>
      <c r="AE671">
        <v>4</v>
      </c>
      <c r="AF671">
        <v>15</v>
      </c>
      <c r="AG671">
        <v>9</v>
      </c>
      <c r="AH671">
        <v>10</v>
      </c>
      <c r="AI671">
        <v>10</v>
      </c>
    </row>
    <row r="672" spans="1:35" x14ac:dyDescent="0.3">
      <c r="A672">
        <v>35</v>
      </c>
      <c r="B672" t="s">
        <v>40</v>
      </c>
      <c r="C672" t="s">
        <v>33</v>
      </c>
      <c r="D672">
        <v>1219</v>
      </c>
      <c r="E672" t="s">
        <v>34</v>
      </c>
      <c r="F672">
        <v>18</v>
      </c>
      <c r="G672">
        <v>3</v>
      </c>
      <c r="H672" t="s">
        <v>48</v>
      </c>
      <c r="I672">
        <v>1</v>
      </c>
      <c r="J672">
        <v>975</v>
      </c>
      <c r="K672">
        <v>3</v>
      </c>
      <c r="L672" s="17" t="s">
        <v>36</v>
      </c>
      <c r="M672">
        <v>86</v>
      </c>
      <c r="N672">
        <v>3</v>
      </c>
      <c r="O672">
        <v>2</v>
      </c>
      <c r="P672" t="s">
        <v>37</v>
      </c>
      <c r="Q672">
        <v>3</v>
      </c>
      <c r="R672" t="s">
        <v>45</v>
      </c>
      <c r="S672" s="6">
        <v>4601</v>
      </c>
      <c r="T672">
        <v>6179</v>
      </c>
      <c r="U672">
        <v>1</v>
      </c>
      <c r="V672" t="s">
        <v>39</v>
      </c>
      <c r="W672" t="s">
        <v>40</v>
      </c>
      <c r="X672">
        <v>16</v>
      </c>
      <c r="Y672">
        <v>3</v>
      </c>
      <c r="Z672">
        <v>2</v>
      </c>
      <c r="AA672">
        <v>80</v>
      </c>
      <c r="AB672">
        <v>0</v>
      </c>
      <c r="AC672">
        <v>5</v>
      </c>
      <c r="AD672">
        <v>3</v>
      </c>
      <c r="AE672">
        <v>3</v>
      </c>
      <c r="AF672">
        <v>5</v>
      </c>
      <c r="AG672">
        <v>2</v>
      </c>
      <c r="AH672">
        <v>1</v>
      </c>
      <c r="AI672">
        <v>0</v>
      </c>
    </row>
    <row r="673" spans="1:35" x14ac:dyDescent="0.3">
      <c r="A673">
        <v>35</v>
      </c>
      <c r="B673" t="s">
        <v>32</v>
      </c>
      <c r="C673" t="s">
        <v>41</v>
      </c>
      <c r="D673">
        <v>662</v>
      </c>
      <c r="E673" t="s">
        <v>34</v>
      </c>
      <c r="F673">
        <v>18</v>
      </c>
      <c r="G673">
        <v>4</v>
      </c>
      <c r="H673" t="s">
        <v>56</v>
      </c>
      <c r="I673">
        <v>1</v>
      </c>
      <c r="J673">
        <v>1380</v>
      </c>
      <c r="K673">
        <v>4</v>
      </c>
      <c r="L673" s="17" t="s">
        <v>36</v>
      </c>
      <c r="M673">
        <v>67</v>
      </c>
      <c r="N673">
        <v>3</v>
      </c>
      <c r="O673">
        <v>2</v>
      </c>
      <c r="P673" t="s">
        <v>37</v>
      </c>
      <c r="Q673">
        <v>3</v>
      </c>
      <c r="R673" t="s">
        <v>45</v>
      </c>
      <c r="S673" s="6">
        <v>4614</v>
      </c>
      <c r="T673">
        <v>23288</v>
      </c>
      <c r="U673">
        <v>0</v>
      </c>
      <c r="V673" t="s">
        <v>39</v>
      </c>
      <c r="W673" t="s">
        <v>32</v>
      </c>
      <c r="X673">
        <v>18</v>
      </c>
      <c r="Y673">
        <v>3</v>
      </c>
      <c r="Z673">
        <v>3</v>
      </c>
      <c r="AA673">
        <v>80</v>
      </c>
      <c r="AB673">
        <v>1</v>
      </c>
      <c r="AC673">
        <v>5</v>
      </c>
      <c r="AD673">
        <v>0</v>
      </c>
      <c r="AE673">
        <v>2</v>
      </c>
      <c r="AF673">
        <v>4</v>
      </c>
      <c r="AG673">
        <v>2</v>
      </c>
      <c r="AH673">
        <v>3</v>
      </c>
      <c r="AI673">
        <v>2</v>
      </c>
    </row>
    <row r="674" spans="1:35" x14ac:dyDescent="0.3">
      <c r="A674">
        <v>46</v>
      </c>
      <c r="B674" t="s">
        <v>40</v>
      </c>
      <c r="C674" t="s">
        <v>33</v>
      </c>
      <c r="D674">
        <v>1003</v>
      </c>
      <c r="E674" t="s">
        <v>42</v>
      </c>
      <c r="F674">
        <v>8</v>
      </c>
      <c r="G674">
        <v>4</v>
      </c>
      <c r="H674" t="s">
        <v>35</v>
      </c>
      <c r="I674">
        <v>1</v>
      </c>
      <c r="J674">
        <v>1080</v>
      </c>
      <c r="K674">
        <v>4</v>
      </c>
      <c r="L674" s="17" t="s">
        <v>36</v>
      </c>
      <c r="M674">
        <v>74</v>
      </c>
      <c r="N674">
        <v>2</v>
      </c>
      <c r="O674">
        <v>2</v>
      </c>
      <c r="P674" t="s">
        <v>44</v>
      </c>
      <c r="Q674">
        <v>1</v>
      </c>
      <c r="R674" t="s">
        <v>49</v>
      </c>
      <c r="S674" s="6">
        <v>4615</v>
      </c>
      <c r="T674">
        <v>21029</v>
      </c>
      <c r="U674">
        <v>8</v>
      </c>
      <c r="V674" t="s">
        <v>39</v>
      </c>
      <c r="W674" t="s">
        <v>32</v>
      </c>
      <c r="X674">
        <v>23</v>
      </c>
      <c r="Y674">
        <v>4</v>
      </c>
      <c r="Z674">
        <v>1</v>
      </c>
      <c r="AA674">
        <v>80</v>
      </c>
      <c r="AB674">
        <v>3</v>
      </c>
      <c r="AC674">
        <v>19</v>
      </c>
      <c r="AD674">
        <v>2</v>
      </c>
      <c r="AE674">
        <v>3</v>
      </c>
      <c r="AF674">
        <v>16</v>
      </c>
      <c r="AG674">
        <v>13</v>
      </c>
      <c r="AH674">
        <v>1</v>
      </c>
      <c r="AI674">
        <v>7</v>
      </c>
    </row>
    <row r="675" spans="1:35" x14ac:dyDescent="0.3">
      <c r="A675">
        <v>24</v>
      </c>
      <c r="B675" t="s">
        <v>40</v>
      </c>
      <c r="C675" t="s">
        <v>33</v>
      </c>
      <c r="D675">
        <v>771</v>
      </c>
      <c r="E675" t="s">
        <v>42</v>
      </c>
      <c r="F675">
        <v>1</v>
      </c>
      <c r="G675">
        <v>2</v>
      </c>
      <c r="H675" t="s">
        <v>35</v>
      </c>
      <c r="I675">
        <v>1</v>
      </c>
      <c r="J675">
        <v>1981</v>
      </c>
      <c r="K675">
        <v>2</v>
      </c>
      <c r="L675" s="17" t="s">
        <v>43</v>
      </c>
      <c r="M675">
        <v>45</v>
      </c>
      <c r="N675">
        <v>2</v>
      </c>
      <c r="O675">
        <v>2</v>
      </c>
      <c r="P675" t="s">
        <v>51</v>
      </c>
      <c r="Q675">
        <v>3</v>
      </c>
      <c r="R675" t="s">
        <v>38</v>
      </c>
      <c r="S675" s="6">
        <v>4617</v>
      </c>
      <c r="T675">
        <v>14120</v>
      </c>
      <c r="U675">
        <v>1</v>
      </c>
      <c r="V675" t="s">
        <v>39</v>
      </c>
      <c r="W675" t="s">
        <v>40</v>
      </c>
      <c r="X675">
        <v>12</v>
      </c>
      <c r="Y675">
        <v>3</v>
      </c>
      <c r="Z675">
        <v>2</v>
      </c>
      <c r="AA675">
        <v>80</v>
      </c>
      <c r="AB675">
        <v>0</v>
      </c>
      <c r="AC675">
        <v>4</v>
      </c>
      <c r="AD675">
        <v>2</v>
      </c>
      <c r="AE675">
        <v>2</v>
      </c>
      <c r="AF675">
        <v>4</v>
      </c>
      <c r="AG675">
        <v>3</v>
      </c>
      <c r="AH675">
        <v>1</v>
      </c>
      <c r="AI675">
        <v>2</v>
      </c>
    </row>
    <row r="676" spans="1:35" x14ac:dyDescent="0.3">
      <c r="A676">
        <v>27</v>
      </c>
      <c r="B676" t="s">
        <v>40</v>
      </c>
      <c r="C676" t="s">
        <v>52</v>
      </c>
      <c r="D676">
        <v>1277</v>
      </c>
      <c r="E676" t="s">
        <v>42</v>
      </c>
      <c r="F676">
        <v>8</v>
      </c>
      <c r="G676">
        <v>5</v>
      </c>
      <c r="H676" t="s">
        <v>35</v>
      </c>
      <c r="I676">
        <v>1</v>
      </c>
      <c r="J676">
        <v>1094</v>
      </c>
      <c r="K676">
        <v>1</v>
      </c>
      <c r="L676" s="17" t="s">
        <v>43</v>
      </c>
      <c r="M676">
        <v>87</v>
      </c>
      <c r="N676">
        <v>1</v>
      </c>
      <c r="O676">
        <v>1</v>
      </c>
      <c r="P676" t="s">
        <v>47</v>
      </c>
      <c r="Q676">
        <v>3</v>
      </c>
      <c r="R676" t="s">
        <v>45</v>
      </c>
      <c r="S676" s="6">
        <v>4621</v>
      </c>
      <c r="T676">
        <v>5869</v>
      </c>
      <c r="U676">
        <v>1</v>
      </c>
      <c r="V676" t="s">
        <v>39</v>
      </c>
      <c r="W676" t="s">
        <v>40</v>
      </c>
      <c r="X676">
        <v>19</v>
      </c>
      <c r="Y676">
        <v>3</v>
      </c>
      <c r="Z676">
        <v>4</v>
      </c>
      <c r="AA676">
        <v>80</v>
      </c>
      <c r="AB676">
        <v>3</v>
      </c>
      <c r="AC676">
        <v>3</v>
      </c>
      <c r="AD676">
        <v>4</v>
      </c>
      <c r="AE676">
        <v>3</v>
      </c>
      <c r="AF676">
        <v>3</v>
      </c>
      <c r="AG676">
        <v>2</v>
      </c>
      <c r="AH676">
        <v>1</v>
      </c>
      <c r="AI676">
        <v>2</v>
      </c>
    </row>
    <row r="677" spans="1:35" x14ac:dyDescent="0.3">
      <c r="A677">
        <v>30</v>
      </c>
      <c r="B677" t="s">
        <v>40</v>
      </c>
      <c r="C677" t="s">
        <v>33</v>
      </c>
      <c r="D677">
        <v>1138</v>
      </c>
      <c r="E677" t="s">
        <v>42</v>
      </c>
      <c r="F677">
        <v>6</v>
      </c>
      <c r="G677">
        <v>3</v>
      </c>
      <c r="H677" t="s">
        <v>57</v>
      </c>
      <c r="I677">
        <v>1</v>
      </c>
      <c r="J677">
        <v>1311</v>
      </c>
      <c r="K677">
        <v>1</v>
      </c>
      <c r="L677" s="17" t="s">
        <v>36</v>
      </c>
      <c r="M677">
        <v>48</v>
      </c>
      <c r="N677">
        <v>2</v>
      </c>
      <c r="O677">
        <v>2</v>
      </c>
      <c r="P677" t="s">
        <v>47</v>
      </c>
      <c r="Q677">
        <v>4</v>
      </c>
      <c r="R677" t="s">
        <v>45</v>
      </c>
      <c r="S677" s="6">
        <v>4627</v>
      </c>
      <c r="T677">
        <v>23631</v>
      </c>
      <c r="U677">
        <v>0</v>
      </c>
      <c r="V677" t="s">
        <v>39</v>
      </c>
      <c r="W677" t="s">
        <v>40</v>
      </c>
      <c r="X677">
        <v>12</v>
      </c>
      <c r="Y677">
        <v>3</v>
      </c>
      <c r="Z677">
        <v>1</v>
      </c>
      <c r="AA677">
        <v>80</v>
      </c>
      <c r="AB677">
        <v>1</v>
      </c>
      <c r="AC677">
        <v>10</v>
      </c>
      <c r="AD677">
        <v>6</v>
      </c>
      <c r="AE677">
        <v>3</v>
      </c>
      <c r="AF677">
        <v>9</v>
      </c>
      <c r="AG677">
        <v>2</v>
      </c>
      <c r="AH677">
        <v>6</v>
      </c>
      <c r="AI677">
        <v>7</v>
      </c>
    </row>
    <row r="678" spans="1:35" x14ac:dyDescent="0.3">
      <c r="A678">
        <v>36</v>
      </c>
      <c r="B678" t="s">
        <v>40</v>
      </c>
      <c r="C678" t="s">
        <v>41</v>
      </c>
      <c r="D678">
        <v>607</v>
      </c>
      <c r="E678" t="s">
        <v>34</v>
      </c>
      <c r="F678">
        <v>7</v>
      </c>
      <c r="G678">
        <v>3</v>
      </c>
      <c r="H678" t="s">
        <v>56</v>
      </c>
      <c r="I678">
        <v>1</v>
      </c>
      <c r="J678">
        <v>1362</v>
      </c>
      <c r="K678">
        <v>1</v>
      </c>
      <c r="L678" s="17" t="s">
        <v>36</v>
      </c>
      <c r="M678">
        <v>83</v>
      </c>
      <c r="N678">
        <v>4</v>
      </c>
      <c r="O678">
        <v>2</v>
      </c>
      <c r="P678" t="s">
        <v>37</v>
      </c>
      <c r="Q678">
        <v>1</v>
      </c>
      <c r="R678" t="s">
        <v>45</v>
      </c>
      <c r="S678" s="6">
        <v>4639</v>
      </c>
      <c r="T678">
        <v>2261</v>
      </c>
      <c r="U678">
        <v>2</v>
      </c>
      <c r="V678" t="s">
        <v>39</v>
      </c>
      <c r="W678" t="s">
        <v>40</v>
      </c>
      <c r="X678">
        <v>16</v>
      </c>
      <c r="Y678">
        <v>3</v>
      </c>
      <c r="Z678">
        <v>4</v>
      </c>
      <c r="AA678">
        <v>80</v>
      </c>
      <c r="AB678">
        <v>1</v>
      </c>
      <c r="AC678">
        <v>17</v>
      </c>
      <c r="AD678">
        <v>2</v>
      </c>
      <c r="AE678">
        <v>2</v>
      </c>
      <c r="AF678">
        <v>15</v>
      </c>
      <c r="AG678">
        <v>7</v>
      </c>
      <c r="AH678">
        <v>6</v>
      </c>
      <c r="AI678">
        <v>13</v>
      </c>
    </row>
    <row r="679" spans="1:35" x14ac:dyDescent="0.3">
      <c r="A679">
        <v>40</v>
      </c>
      <c r="B679" t="s">
        <v>40</v>
      </c>
      <c r="C679" t="s">
        <v>33</v>
      </c>
      <c r="D679">
        <v>118</v>
      </c>
      <c r="E679" t="s">
        <v>34</v>
      </c>
      <c r="F679">
        <v>14</v>
      </c>
      <c r="G679">
        <v>2</v>
      </c>
      <c r="H679" t="s">
        <v>35</v>
      </c>
      <c r="I679">
        <v>1</v>
      </c>
      <c r="J679">
        <v>1598</v>
      </c>
      <c r="K679">
        <v>4</v>
      </c>
      <c r="L679" s="17" t="s">
        <v>36</v>
      </c>
      <c r="M679">
        <v>84</v>
      </c>
      <c r="N679">
        <v>3</v>
      </c>
      <c r="O679">
        <v>2</v>
      </c>
      <c r="P679" t="s">
        <v>37</v>
      </c>
      <c r="Q679">
        <v>1</v>
      </c>
      <c r="R679" t="s">
        <v>45</v>
      </c>
      <c r="S679" s="6">
        <v>4639</v>
      </c>
      <c r="T679">
        <v>11262</v>
      </c>
      <c r="U679">
        <v>1</v>
      </c>
      <c r="V679" t="s">
        <v>39</v>
      </c>
      <c r="W679" t="s">
        <v>40</v>
      </c>
      <c r="X679">
        <v>15</v>
      </c>
      <c r="Y679">
        <v>3</v>
      </c>
      <c r="Z679">
        <v>3</v>
      </c>
      <c r="AA679">
        <v>80</v>
      </c>
      <c r="AB679">
        <v>1</v>
      </c>
      <c r="AC679">
        <v>5</v>
      </c>
      <c r="AD679">
        <v>2</v>
      </c>
      <c r="AE679">
        <v>3</v>
      </c>
      <c r="AF679">
        <v>5</v>
      </c>
      <c r="AG679">
        <v>4</v>
      </c>
      <c r="AH679">
        <v>1</v>
      </c>
      <c r="AI679">
        <v>2</v>
      </c>
    </row>
    <row r="680" spans="1:35" x14ac:dyDescent="0.3">
      <c r="A680">
        <v>27</v>
      </c>
      <c r="B680" t="s">
        <v>40</v>
      </c>
      <c r="C680" t="s">
        <v>41</v>
      </c>
      <c r="D680">
        <v>1410</v>
      </c>
      <c r="E680" t="s">
        <v>34</v>
      </c>
      <c r="F680">
        <v>3</v>
      </c>
      <c r="G680">
        <v>1</v>
      </c>
      <c r="H680" t="s">
        <v>48</v>
      </c>
      <c r="I680">
        <v>1</v>
      </c>
      <c r="J680">
        <v>714</v>
      </c>
      <c r="K680">
        <v>4</v>
      </c>
      <c r="L680" s="17" t="s">
        <v>36</v>
      </c>
      <c r="M680">
        <v>71</v>
      </c>
      <c r="N680">
        <v>4</v>
      </c>
      <c r="O680">
        <v>2</v>
      </c>
      <c r="P680" t="s">
        <v>37</v>
      </c>
      <c r="Q680">
        <v>4</v>
      </c>
      <c r="R680" t="s">
        <v>49</v>
      </c>
      <c r="S680" s="6">
        <v>4647</v>
      </c>
      <c r="T680">
        <v>16673</v>
      </c>
      <c r="U680">
        <v>1</v>
      </c>
      <c r="V680" t="s">
        <v>39</v>
      </c>
      <c r="W680" t="s">
        <v>32</v>
      </c>
      <c r="X680">
        <v>20</v>
      </c>
      <c r="Y680">
        <v>4</v>
      </c>
      <c r="Z680">
        <v>2</v>
      </c>
      <c r="AA680">
        <v>80</v>
      </c>
      <c r="AB680">
        <v>2</v>
      </c>
      <c r="AC680">
        <v>6</v>
      </c>
      <c r="AD680">
        <v>3</v>
      </c>
      <c r="AE680">
        <v>3</v>
      </c>
      <c r="AF680">
        <v>6</v>
      </c>
      <c r="AG680">
        <v>5</v>
      </c>
      <c r="AH680">
        <v>0</v>
      </c>
      <c r="AI680">
        <v>4</v>
      </c>
    </row>
    <row r="681" spans="1:35" x14ac:dyDescent="0.3">
      <c r="A681">
        <v>32</v>
      </c>
      <c r="B681" t="s">
        <v>40</v>
      </c>
      <c r="C681" t="s">
        <v>41</v>
      </c>
      <c r="D681">
        <v>1318</v>
      </c>
      <c r="E681" t="s">
        <v>34</v>
      </c>
      <c r="F681">
        <v>10</v>
      </c>
      <c r="G681">
        <v>4</v>
      </c>
      <c r="H681" t="s">
        <v>56</v>
      </c>
      <c r="I681">
        <v>1</v>
      </c>
      <c r="J681">
        <v>1853</v>
      </c>
      <c r="K681">
        <v>4</v>
      </c>
      <c r="L681" s="17" t="s">
        <v>43</v>
      </c>
      <c r="M681">
        <v>79</v>
      </c>
      <c r="N681">
        <v>3</v>
      </c>
      <c r="O681">
        <v>2</v>
      </c>
      <c r="P681" t="s">
        <v>37</v>
      </c>
      <c r="Q681">
        <v>4</v>
      </c>
      <c r="R681" t="s">
        <v>38</v>
      </c>
      <c r="S681" s="6">
        <v>4648</v>
      </c>
      <c r="T681">
        <v>26075</v>
      </c>
      <c r="U681">
        <v>8</v>
      </c>
      <c r="V681" t="s">
        <v>39</v>
      </c>
      <c r="W681" t="s">
        <v>40</v>
      </c>
      <c r="X681">
        <v>13</v>
      </c>
      <c r="Y681">
        <v>3</v>
      </c>
      <c r="Z681">
        <v>3</v>
      </c>
      <c r="AA681">
        <v>80</v>
      </c>
      <c r="AB681">
        <v>0</v>
      </c>
      <c r="AC681">
        <v>4</v>
      </c>
      <c r="AD681">
        <v>2</v>
      </c>
      <c r="AE681">
        <v>4</v>
      </c>
      <c r="AF681">
        <v>0</v>
      </c>
      <c r="AG681">
        <v>0</v>
      </c>
      <c r="AH681">
        <v>0</v>
      </c>
      <c r="AI681">
        <v>0</v>
      </c>
    </row>
    <row r="682" spans="1:35" x14ac:dyDescent="0.3">
      <c r="A682">
        <v>29</v>
      </c>
      <c r="B682" t="s">
        <v>40</v>
      </c>
      <c r="C682" t="s">
        <v>52</v>
      </c>
      <c r="D682">
        <v>746</v>
      </c>
      <c r="E682" t="s">
        <v>34</v>
      </c>
      <c r="F682">
        <v>2</v>
      </c>
      <c r="G682">
        <v>3</v>
      </c>
      <c r="H682" t="s">
        <v>35</v>
      </c>
      <c r="I682">
        <v>1</v>
      </c>
      <c r="J682">
        <v>469</v>
      </c>
      <c r="K682">
        <v>4</v>
      </c>
      <c r="L682" s="17" t="s">
        <v>43</v>
      </c>
      <c r="M682">
        <v>61</v>
      </c>
      <c r="N682">
        <v>3</v>
      </c>
      <c r="O682">
        <v>2</v>
      </c>
      <c r="P682" t="s">
        <v>37</v>
      </c>
      <c r="Q682">
        <v>3</v>
      </c>
      <c r="R682" t="s">
        <v>45</v>
      </c>
      <c r="S682" s="6">
        <v>4649</v>
      </c>
      <c r="T682">
        <v>16928</v>
      </c>
      <c r="U682">
        <v>1</v>
      </c>
      <c r="V682" t="s">
        <v>39</v>
      </c>
      <c r="W682" t="s">
        <v>40</v>
      </c>
      <c r="X682">
        <v>14</v>
      </c>
      <c r="Y682">
        <v>3</v>
      </c>
      <c r="Z682">
        <v>1</v>
      </c>
      <c r="AA682">
        <v>80</v>
      </c>
      <c r="AB682">
        <v>1</v>
      </c>
      <c r="AC682">
        <v>4</v>
      </c>
      <c r="AD682">
        <v>3</v>
      </c>
      <c r="AE682">
        <v>2</v>
      </c>
      <c r="AF682">
        <v>4</v>
      </c>
      <c r="AG682">
        <v>3</v>
      </c>
      <c r="AH682">
        <v>0</v>
      </c>
      <c r="AI682">
        <v>2</v>
      </c>
    </row>
    <row r="683" spans="1:35" x14ac:dyDescent="0.3">
      <c r="A683">
        <v>40</v>
      </c>
      <c r="B683" t="s">
        <v>40</v>
      </c>
      <c r="C683" t="s">
        <v>33</v>
      </c>
      <c r="D683">
        <v>523</v>
      </c>
      <c r="E683" t="s">
        <v>42</v>
      </c>
      <c r="F683">
        <v>2</v>
      </c>
      <c r="G683">
        <v>3</v>
      </c>
      <c r="H683" t="s">
        <v>35</v>
      </c>
      <c r="I683">
        <v>1</v>
      </c>
      <c r="J683">
        <v>1346</v>
      </c>
      <c r="K683">
        <v>3</v>
      </c>
      <c r="L683" s="17" t="s">
        <v>43</v>
      </c>
      <c r="M683">
        <v>98</v>
      </c>
      <c r="N683">
        <v>3</v>
      </c>
      <c r="O683">
        <v>2</v>
      </c>
      <c r="P683" t="s">
        <v>44</v>
      </c>
      <c r="Q683">
        <v>4</v>
      </c>
      <c r="R683" t="s">
        <v>38</v>
      </c>
      <c r="S683" s="6">
        <v>4661</v>
      </c>
      <c r="T683">
        <v>22455</v>
      </c>
      <c r="U683">
        <v>1</v>
      </c>
      <c r="V683" t="s">
        <v>39</v>
      </c>
      <c r="W683" t="s">
        <v>40</v>
      </c>
      <c r="X683">
        <v>13</v>
      </c>
      <c r="Y683">
        <v>3</v>
      </c>
      <c r="Z683">
        <v>3</v>
      </c>
      <c r="AA683">
        <v>80</v>
      </c>
      <c r="AB683">
        <v>0</v>
      </c>
      <c r="AC683">
        <v>9</v>
      </c>
      <c r="AD683">
        <v>4</v>
      </c>
      <c r="AE683">
        <v>3</v>
      </c>
      <c r="AF683">
        <v>9</v>
      </c>
      <c r="AG683">
        <v>8</v>
      </c>
      <c r="AH683">
        <v>8</v>
      </c>
      <c r="AI683">
        <v>8</v>
      </c>
    </row>
    <row r="684" spans="1:35" x14ac:dyDescent="0.3">
      <c r="A684">
        <v>36</v>
      </c>
      <c r="B684" t="s">
        <v>40</v>
      </c>
      <c r="C684" t="s">
        <v>33</v>
      </c>
      <c r="D684">
        <v>559</v>
      </c>
      <c r="E684" t="s">
        <v>42</v>
      </c>
      <c r="F684">
        <v>12</v>
      </c>
      <c r="G684">
        <v>4</v>
      </c>
      <c r="H684" t="s">
        <v>35</v>
      </c>
      <c r="I684">
        <v>1</v>
      </c>
      <c r="J684">
        <v>1614</v>
      </c>
      <c r="K684">
        <v>3</v>
      </c>
      <c r="L684" s="17" t="s">
        <v>36</v>
      </c>
      <c r="M684">
        <v>76</v>
      </c>
      <c r="N684">
        <v>3</v>
      </c>
      <c r="O684">
        <v>2</v>
      </c>
      <c r="P684" t="s">
        <v>50</v>
      </c>
      <c r="Q684">
        <v>3</v>
      </c>
      <c r="R684" t="s">
        <v>45</v>
      </c>
      <c r="S684" s="6">
        <v>4663</v>
      </c>
      <c r="T684">
        <v>12421</v>
      </c>
      <c r="U684">
        <v>9</v>
      </c>
      <c r="V684" t="s">
        <v>39</v>
      </c>
      <c r="W684" t="s">
        <v>32</v>
      </c>
      <c r="X684">
        <v>12</v>
      </c>
      <c r="Y684">
        <v>3</v>
      </c>
      <c r="Z684">
        <v>2</v>
      </c>
      <c r="AA684">
        <v>80</v>
      </c>
      <c r="AB684">
        <v>2</v>
      </c>
      <c r="AC684">
        <v>7</v>
      </c>
      <c r="AD684">
        <v>2</v>
      </c>
      <c r="AE684">
        <v>3</v>
      </c>
      <c r="AF684">
        <v>3</v>
      </c>
      <c r="AG684">
        <v>2</v>
      </c>
      <c r="AH684">
        <v>1</v>
      </c>
      <c r="AI684">
        <v>1</v>
      </c>
    </row>
    <row r="685" spans="1:35" x14ac:dyDescent="0.3">
      <c r="A685">
        <v>32</v>
      </c>
      <c r="B685" t="s">
        <v>40</v>
      </c>
      <c r="C685" t="s">
        <v>41</v>
      </c>
      <c r="D685">
        <v>689</v>
      </c>
      <c r="E685" t="s">
        <v>34</v>
      </c>
      <c r="F685">
        <v>9</v>
      </c>
      <c r="G685">
        <v>2</v>
      </c>
      <c r="H685" t="s">
        <v>48</v>
      </c>
      <c r="I685">
        <v>1</v>
      </c>
      <c r="J685">
        <v>195</v>
      </c>
      <c r="K685">
        <v>4</v>
      </c>
      <c r="L685" s="17" t="s">
        <v>43</v>
      </c>
      <c r="M685">
        <v>35</v>
      </c>
      <c r="N685">
        <v>1</v>
      </c>
      <c r="O685">
        <v>2</v>
      </c>
      <c r="P685" t="s">
        <v>37</v>
      </c>
      <c r="Q685">
        <v>4</v>
      </c>
      <c r="R685" t="s">
        <v>49</v>
      </c>
      <c r="S685" s="6">
        <v>4668</v>
      </c>
      <c r="T685">
        <v>22812</v>
      </c>
      <c r="U685">
        <v>0</v>
      </c>
      <c r="V685" t="s">
        <v>39</v>
      </c>
      <c r="W685" t="s">
        <v>40</v>
      </c>
      <c r="X685">
        <v>17</v>
      </c>
      <c r="Y685">
        <v>3</v>
      </c>
      <c r="Z685">
        <v>4</v>
      </c>
      <c r="AA685">
        <v>80</v>
      </c>
      <c r="AB685">
        <v>3</v>
      </c>
      <c r="AC685">
        <v>9</v>
      </c>
      <c r="AD685">
        <v>2</v>
      </c>
      <c r="AE685">
        <v>4</v>
      </c>
      <c r="AF685">
        <v>8</v>
      </c>
      <c r="AG685">
        <v>7</v>
      </c>
      <c r="AH685">
        <v>0</v>
      </c>
      <c r="AI685">
        <v>7</v>
      </c>
    </row>
    <row r="686" spans="1:35" x14ac:dyDescent="0.3">
      <c r="A686">
        <v>36</v>
      </c>
      <c r="B686" t="s">
        <v>40</v>
      </c>
      <c r="C686" t="s">
        <v>33</v>
      </c>
      <c r="D686">
        <v>188</v>
      </c>
      <c r="E686" t="s">
        <v>42</v>
      </c>
      <c r="F686">
        <v>7</v>
      </c>
      <c r="G686">
        <v>4</v>
      </c>
      <c r="H686" t="s">
        <v>46</v>
      </c>
      <c r="I686">
        <v>1</v>
      </c>
      <c r="J686">
        <v>949</v>
      </c>
      <c r="K686">
        <v>2</v>
      </c>
      <c r="L686" s="17" t="s">
        <v>43</v>
      </c>
      <c r="M686">
        <v>65</v>
      </c>
      <c r="N686">
        <v>3</v>
      </c>
      <c r="O686">
        <v>1</v>
      </c>
      <c r="P686" t="s">
        <v>44</v>
      </c>
      <c r="Q686">
        <v>4</v>
      </c>
      <c r="R686" t="s">
        <v>38</v>
      </c>
      <c r="S686" s="6">
        <v>4678</v>
      </c>
      <c r="T686">
        <v>23293</v>
      </c>
      <c r="U686">
        <v>2</v>
      </c>
      <c r="V686" t="s">
        <v>39</v>
      </c>
      <c r="W686" t="s">
        <v>40</v>
      </c>
      <c r="X686">
        <v>18</v>
      </c>
      <c r="Y686">
        <v>3</v>
      </c>
      <c r="Z686">
        <v>3</v>
      </c>
      <c r="AA686">
        <v>80</v>
      </c>
      <c r="AB686">
        <v>0</v>
      </c>
      <c r="AC686">
        <v>8</v>
      </c>
      <c r="AD686">
        <v>6</v>
      </c>
      <c r="AE686">
        <v>3</v>
      </c>
      <c r="AF686">
        <v>6</v>
      </c>
      <c r="AG686">
        <v>2</v>
      </c>
      <c r="AH686">
        <v>0</v>
      </c>
      <c r="AI686">
        <v>1</v>
      </c>
    </row>
    <row r="687" spans="1:35" x14ac:dyDescent="0.3">
      <c r="A687">
        <v>37</v>
      </c>
      <c r="B687" t="s">
        <v>40</v>
      </c>
      <c r="C687" t="s">
        <v>33</v>
      </c>
      <c r="D687">
        <v>1225</v>
      </c>
      <c r="E687" t="s">
        <v>42</v>
      </c>
      <c r="F687">
        <v>10</v>
      </c>
      <c r="G687">
        <v>2</v>
      </c>
      <c r="H687" t="s">
        <v>35</v>
      </c>
      <c r="I687">
        <v>1</v>
      </c>
      <c r="J687">
        <v>715</v>
      </c>
      <c r="K687">
        <v>4</v>
      </c>
      <c r="L687" s="17" t="s">
        <v>43</v>
      </c>
      <c r="M687">
        <v>80</v>
      </c>
      <c r="N687">
        <v>4</v>
      </c>
      <c r="O687">
        <v>1</v>
      </c>
      <c r="P687" t="s">
        <v>44</v>
      </c>
      <c r="Q687">
        <v>4</v>
      </c>
      <c r="R687" t="s">
        <v>38</v>
      </c>
      <c r="S687" s="6">
        <v>4680</v>
      </c>
      <c r="T687">
        <v>15232</v>
      </c>
      <c r="U687">
        <v>3</v>
      </c>
      <c r="V687" t="s">
        <v>39</v>
      </c>
      <c r="W687" t="s">
        <v>40</v>
      </c>
      <c r="X687">
        <v>17</v>
      </c>
      <c r="Y687">
        <v>3</v>
      </c>
      <c r="Z687">
        <v>1</v>
      </c>
      <c r="AA687">
        <v>80</v>
      </c>
      <c r="AB687">
        <v>0</v>
      </c>
      <c r="AC687">
        <v>4</v>
      </c>
      <c r="AD687">
        <v>2</v>
      </c>
      <c r="AE687">
        <v>3</v>
      </c>
      <c r="AF687">
        <v>1</v>
      </c>
      <c r="AG687">
        <v>0</v>
      </c>
      <c r="AH687">
        <v>0</v>
      </c>
      <c r="AI687">
        <v>0</v>
      </c>
    </row>
    <row r="688" spans="1:35" x14ac:dyDescent="0.3">
      <c r="A688">
        <v>33</v>
      </c>
      <c r="B688" t="s">
        <v>40</v>
      </c>
      <c r="C688" t="s">
        <v>41</v>
      </c>
      <c r="D688">
        <v>508</v>
      </c>
      <c r="E688" t="s">
        <v>34</v>
      </c>
      <c r="F688">
        <v>10</v>
      </c>
      <c r="G688">
        <v>3</v>
      </c>
      <c r="H688" t="s">
        <v>56</v>
      </c>
      <c r="I688">
        <v>1</v>
      </c>
      <c r="J688">
        <v>446</v>
      </c>
      <c r="K688">
        <v>2</v>
      </c>
      <c r="L688" s="17" t="s">
        <v>43</v>
      </c>
      <c r="M688">
        <v>46</v>
      </c>
      <c r="N688">
        <v>2</v>
      </c>
      <c r="O688">
        <v>2</v>
      </c>
      <c r="P688" t="s">
        <v>37</v>
      </c>
      <c r="Q688">
        <v>4</v>
      </c>
      <c r="R688" t="s">
        <v>38</v>
      </c>
      <c r="S688" s="6">
        <v>4682</v>
      </c>
      <c r="T688">
        <v>4317</v>
      </c>
      <c r="U688">
        <v>3</v>
      </c>
      <c r="V688" t="s">
        <v>39</v>
      </c>
      <c r="W688" t="s">
        <v>40</v>
      </c>
      <c r="X688">
        <v>14</v>
      </c>
      <c r="Y688">
        <v>3</v>
      </c>
      <c r="Z688">
        <v>3</v>
      </c>
      <c r="AA688">
        <v>80</v>
      </c>
      <c r="AB688">
        <v>0</v>
      </c>
      <c r="AC688">
        <v>9</v>
      </c>
      <c r="AD688">
        <v>6</v>
      </c>
      <c r="AE688">
        <v>2</v>
      </c>
      <c r="AF688">
        <v>7</v>
      </c>
      <c r="AG688">
        <v>7</v>
      </c>
      <c r="AH688">
        <v>0</v>
      </c>
      <c r="AI688">
        <v>1</v>
      </c>
    </row>
    <row r="689" spans="1:35" x14ac:dyDescent="0.3">
      <c r="A689">
        <v>26</v>
      </c>
      <c r="B689" t="s">
        <v>40</v>
      </c>
      <c r="C689" t="s">
        <v>33</v>
      </c>
      <c r="D689">
        <v>572</v>
      </c>
      <c r="E689" t="s">
        <v>34</v>
      </c>
      <c r="F689">
        <v>10</v>
      </c>
      <c r="G689">
        <v>3</v>
      </c>
      <c r="H689" t="s">
        <v>48</v>
      </c>
      <c r="I689">
        <v>1</v>
      </c>
      <c r="J689">
        <v>1836</v>
      </c>
      <c r="K689">
        <v>3</v>
      </c>
      <c r="L689" s="17" t="s">
        <v>43</v>
      </c>
      <c r="M689">
        <v>46</v>
      </c>
      <c r="N689">
        <v>3</v>
      </c>
      <c r="O689">
        <v>2</v>
      </c>
      <c r="P689" t="s">
        <v>37</v>
      </c>
      <c r="Q689">
        <v>4</v>
      </c>
      <c r="R689" t="s">
        <v>38</v>
      </c>
      <c r="S689" s="6">
        <v>4684</v>
      </c>
      <c r="T689">
        <v>9125</v>
      </c>
      <c r="U689">
        <v>1</v>
      </c>
      <c r="V689" t="s">
        <v>39</v>
      </c>
      <c r="W689" t="s">
        <v>40</v>
      </c>
      <c r="X689">
        <v>13</v>
      </c>
      <c r="Y689">
        <v>3</v>
      </c>
      <c r="Z689">
        <v>1</v>
      </c>
      <c r="AA689">
        <v>80</v>
      </c>
      <c r="AB689">
        <v>0</v>
      </c>
      <c r="AC689">
        <v>5</v>
      </c>
      <c r="AD689">
        <v>4</v>
      </c>
      <c r="AE689">
        <v>3</v>
      </c>
      <c r="AF689">
        <v>5</v>
      </c>
      <c r="AG689">
        <v>3</v>
      </c>
      <c r="AH689">
        <v>1</v>
      </c>
      <c r="AI689">
        <v>2</v>
      </c>
    </row>
    <row r="690" spans="1:35" x14ac:dyDescent="0.3">
      <c r="A690">
        <v>30</v>
      </c>
      <c r="B690" t="s">
        <v>40</v>
      </c>
      <c r="C690" t="s">
        <v>52</v>
      </c>
      <c r="D690">
        <v>879</v>
      </c>
      <c r="E690" t="s">
        <v>42</v>
      </c>
      <c r="F690">
        <v>9</v>
      </c>
      <c r="G690">
        <v>2</v>
      </c>
      <c r="H690" t="s">
        <v>48</v>
      </c>
      <c r="I690">
        <v>1</v>
      </c>
      <c r="J690">
        <v>1298</v>
      </c>
      <c r="K690">
        <v>3</v>
      </c>
      <c r="L690" s="17" t="s">
        <v>36</v>
      </c>
      <c r="M690">
        <v>72</v>
      </c>
      <c r="N690">
        <v>3</v>
      </c>
      <c r="O690">
        <v>2</v>
      </c>
      <c r="P690" t="s">
        <v>50</v>
      </c>
      <c r="Q690">
        <v>3</v>
      </c>
      <c r="R690" t="s">
        <v>38</v>
      </c>
      <c r="S690" s="6">
        <v>4695</v>
      </c>
      <c r="T690">
        <v>12858</v>
      </c>
      <c r="U690">
        <v>7</v>
      </c>
      <c r="V690" t="s">
        <v>39</v>
      </c>
      <c r="W690" t="s">
        <v>32</v>
      </c>
      <c r="X690">
        <v>18</v>
      </c>
      <c r="Y690">
        <v>3</v>
      </c>
      <c r="Z690">
        <v>3</v>
      </c>
      <c r="AA690">
        <v>80</v>
      </c>
      <c r="AB690">
        <v>0</v>
      </c>
      <c r="AC690">
        <v>10</v>
      </c>
      <c r="AD690">
        <v>3</v>
      </c>
      <c r="AE690">
        <v>3</v>
      </c>
      <c r="AF690">
        <v>8</v>
      </c>
      <c r="AG690">
        <v>4</v>
      </c>
      <c r="AH690">
        <v>1</v>
      </c>
      <c r="AI690">
        <v>7</v>
      </c>
    </row>
    <row r="691" spans="1:35" x14ac:dyDescent="0.3">
      <c r="A691">
        <v>32</v>
      </c>
      <c r="B691" t="s">
        <v>32</v>
      </c>
      <c r="C691" t="s">
        <v>52</v>
      </c>
      <c r="D691">
        <v>1474</v>
      </c>
      <c r="E691" t="s">
        <v>34</v>
      </c>
      <c r="F691">
        <v>11</v>
      </c>
      <c r="G691">
        <v>4</v>
      </c>
      <c r="H691" t="s">
        <v>46</v>
      </c>
      <c r="I691">
        <v>1</v>
      </c>
      <c r="J691">
        <v>631</v>
      </c>
      <c r="K691">
        <v>4</v>
      </c>
      <c r="L691" s="17" t="s">
        <v>43</v>
      </c>
      <c r="M691">
        <v>60</v>
      </c>
      <c r="N691">
        <v>4</v>
      </c>
      <c r="O691">
        <v>2</v>
      </c>
      <c r="P691" t="s">
        <v>37</v>
      </c>
      <c r="Q691">
        <v>3</v>
      </c>
      <c r="R691" t="s">
        <v>45</v>
      </c>
      <c r="S691" s="6">
        <v>4707</v>
      </c>
      <c r="T691">
        <v>23914</v>
      </c>
      <c r="U691">
        <v>8</v>
      </c>
      <c r="V691" t="s">
        <v>39</v>
      </c>
      <c r="W691" t="s">
        <v>40</v>
      </c>
      <c r="X691">
        <v>12</v>
      </c>
      <c r="Y691">
        <v>3</v>
      </c>
      <c r="Z691">
        <v>4</v>
      </c>
      <c r="AA691">
        <v>80</v>
      </c>
      <c r="AB691">
        <v>0</v>
      </c>
      <c r="AC691">
        <v>6</v>
      </c>
      <c r="AD691">
        <v>2</v>
      </c>
      <c r="AE691">
        <v>3</v>
      </c>
      <c r="AF691">
        <v>4</v>
      </c>
      <c r="AG691">
        <v>2</v>
      </c>
      <c r="AH691">
        <v>1</v>
      </c>
      <c r="AI691">
        <v>2</v>
      </c>
    </row>
    <row r="692" spans="1:35" x14ac:dyDescent="0.3">
      <c r="A692">
        <v>35</v>
      </c>
      <c r="B692" t="s">
        <v>40</v>
      </c>
      <c r="C692" t="s">
        <v>33</v>
      </c>
      <c r="D692">
        <v>619</v>
      </c>
      <c r="E692" t="s">
        <v>34</v>
      </c>
      <c r="F692">
        <v>1</v>
      </c>
      <c r="G692">
        <v>3</v>
      </c>
      <c r="H692" t="s">
        <v>56</v>
      </c>
      <c r="I692">
        <v>1</v>
      </c>
      <c r="J692">
        <v>600</v>
      </c>
      <c r="K692">
        <v>2</v>
      </c>
      <c r="L692" s="17" t="s">
        <v>43</v>
      </c>
      <c r="M692">
        <v>85</v>
      </c>
      <c r="N692">
        <v>3</v>
      </c>
      <c r="O692">
        <v>2</v>
      </c>
      <c r="P692" t="s">
        <v>37</v>
      </c>
      <c r="Q692">
        <v>3</v>
      </c>
      <c r="R692" t="s">
        <v>45</v>
      </c>
      <c r="S692" s="6">
        <v>4717</v>
      </c>
      <c r="T692">
        <v>18659</v>
      </c>
      <c r="U692">
        <v>9</v>
      </c>
      <c r="V692" t="s">
        <v>39</v>
      </c>
      <c r="W692" t="s">
        <v>40</v>
      </c>
      <c r="X692">
        <v>11</v>
      </c>
      <c r="Y692">
        <v>3</v>
      </c>
      <c r="Z692">
        <v>3</v>
      </c>
      <c r="AA692">
        <v>80</v>
      </c>
      <c r="AB692">
        <v>0</v>
      </c>
      <c r="AC692">
        <v>15</v>
      </c>
      <c r="AD692">
        <v>2</v>
      </c>
      <c r="AE692">
        <v>3</v>
      </c>
      <c r="AF692">
        <v>11</v>
      </c>
      <c r="AG692">
        <v>9</v>
      </c>
      <c r="AH692">
        <v>6</v>
      </c>
      <c r="AI692">
        <v>9</v>
      </c>
    </row>
    <row r="693" spans="1:35" x14ac:dyDescent="0.3">
      <c r="A693">
        <v>41</v>
      </c>
      <c r="B693" t="s">
        <v>40</v>
      </c>
      <c r="C693" t="s">
        <v>33</v>
      </c>
      <c r="D693">
        <v>263</v>
      </c>
      <c r="E693" t="s">
        <v>42</v>
      </c>
      <c r="F693">
        <v>6</v>
      </c>
      <c r="G693">
        <v>3</v>
      </c>
      <c r="H693" t="s">
        <v>48</v>
      </c>
      <c r="I693">
        <v>1</v>
      </c>
      <c r="J693">
        <v>957</v>
      </c>
      <c r="K693">
        <v>4</v>
      </c>
      <c r="L693" s="17" t="s">
        <v>43</v>
      </c>
      <c r="M693">
        <v>59</v>
      </c>
      <c r="N693">
        <v>3</v>
      </c>
      <c r="O693">
        <v>1</v>
      </c>
      <c r="P693" t="s">
        <v>47</v>
      </c>
      <c r="Q693">
        <v>1</v>
      </c>
      <c r="R693" t="s">
        <v>38</v>
      </c>
      <c r="S693" s="6">
        <v>4721</v>
      </c>
      <c r="T693">
        <v>3119</v>
      </c>
      <c r="U693">
        <v>2</v>
      </c>
      <c r="V693" t="s">
        <v>39</v>
      </c>
      <c r="W693" t="s">
        <v>32</v>
      </c>
      <c r="X693">
        <v>13</v>
      </c>
      <c r="Y693">
        <v>3</v>
      </c>
      <c r="Z693">
        <v>3</v>
      </c>
      <c r="AA693">
        <v>80</v>
      </c>
      <c r="AB693">
        <v>0</v>
      </c>
      <c r="AC693">
        <v>20</v>
      </c>
      <c r="AD693">
        <v>3</v>
      </c>
      <c r="AE693">
        <v>3</v>
      </c>
      <c r="AF693">
        <v>18</v>
      </c>
      <c r="AG693">
        <v>13</v>
      </c>
      <c r="AH693">
        <v>2</v>
      </c>
      <c r="AI693">
        <v>17</v>
      </c>
    </row>
    <row r="694" spans="1:35" x14ac:dyDescent="0.3">
      <c r="A694">
        <v>29</v>
      </c>
      <c r="B694" t="s">
        <v>40</v>
      </c>
      <c r="C694" t="s">
        <v>33</v>
      </c>
      <c r="D694">
        <v>1370</v>
      </c>
      <c r="E694" t="s">
        <v>42</v>
      </c>
      <c r="F694">
        <v>3</v>
      </c>
      <c r="G694">
        <v>1</v>
      </c>
      <c r="H694" t="s">
        <v>48</v>
      </c>
      <c r="I694">
        <v>1</v>
      </c>
      <c r="J694">
        <v>1586</v>
      </c>
      <c r="K694">
        <v>2</v>
      </c>
      <c r="L694" s="17" t="s">
        <v>43</v>
      </c>
      <c r="M694">
        <v>87</v>
      </c>
      <c r="N694">
        <v>3</v>
      </c>
      <c r="O694">
        <v>1</v>
      </c>
      <c r="P694" t="s">
        <v>47</v>
      </c>
      <c r="Q694">
        <v>1</v>
      </c>
      <c r="R694" t="s">
        <v>38</v>
      </c>
      <c r="S694" s="6">
        <v>4723</v>
      </c>
      <c r="T694">
        <v>16213</v>
      </c>
      <c r="U694">
        <v>1</v>
      </c>
      <c r="V694" t="s">
        <v>39</v>
      </c>
      <c r="W694" t="s">
        <v>32</v>
      </c>
      <c r="X694">
        <v>18</v>
      </c>
      <c r="Y694">
        <v>3</v>
      </c>
      <c r="Z694">
        <v>4</v>
      </c>
      <c r="AA694">
        <v>80</v>
      </c>
      <c r="AB694">
        <v>0</v>
      </c>
      <c r="AC694">
        <v>10</v>
      </c>
      <c r="AD694">
        <v>3</v>
      </c>
      <c r="AE694">
        <v>3</v>
      </c>
      <c r="AF694">
        <v>10</v>
      </c>
      <c r="AG694">
        <v>9</v>
      </c>
      <c r="AH694">
        <v>1</v>
      </c>
      <c r="AI694">
        <v>5</v>
      </c>
    </row>
    <row r="695" spans="1:35" x14ac:dyDescent="0.3">
      <c r="A695">
        <v>28</v>
      </c>
      <c r="B695" t="s">
        <v>40</v>
      </c>
      <c r="C695" t="s">
        <v>33</v>
      </c>
      <c r="D695">
        <v>736</v>
      </c>
      <c r="E695" t="s">
        <v>34</v>
      </c>
      <c r="F695">
        <v>26</v>
      </c>
      <c r="G695">
        <v>3</v>
      </c>
      <c r="H695" t="s">
        <v>35</v>
      </c>
      <c r="I695">
        <v>1</v>
      </c>
      <c r="J695">
        <v>1387</v>
      </c>
      <c r="K695">
        <v>3</v>
      </c>
      <c r="L695" s="17" t="s">
        <v>43</v>
      </c>
      <c r="M695">
        <v>48</v>
      </c>
      <c r="N695">
        <v>2</v>
      </c>
      <c r="O695">
        <v>2</v>
      </c>
      <c r="P695" t="s">
        <v>37</v>
      </c>
      <c r="Q695">
        <v>1</v>
      </c>
      <c r="R695" t="s">
        <v>45</v>
      </c>
      <c r="S695" s="6">
        <v>4724</v>
      </c>
      <c r="T695">
        <v>24232</v>
      </c>
      <c r="U695">
        <v>1</v>
      </c>
      <c r="V695" t="s">
        <v>39</v>
      </c>
      <c r="W695" t="s">
        <v>40</v>
      </c>
      <c r="X695">
        <v>11</v>
      </c>
      <c r="Y695">
        <v>3</v>
      </c>
      <c r="Z695">
        <v>3</v>
      </c>
      <c r="AA695">
        <v>80</v>
      </c>
      <c r="AB695">
        <v>1</v>
      </c>
      <c r="AC695">
        <v>5</v>
      </c>
      <c r="AD695">
        <v>0</v>
      </c>
      <c r="AE695">
        <v>3</v>
      </c>
      <c r="AF695">
        <v>5</v>
      </c>
      <c r="AG695">
        <v>3</v>
      </c>
      <c r="AH695">
        <v>0</v>
      </c>
      <c r="AI695">
        <v>4</v>
      </c>
    </row>
    <row r="696" spans="1:35" x14ac:dyDescent="0.3">
      <c r="A696">
        <v>34</v>
      </c>
      <c r="B696" t="s">
        <v>40</v>
      </c>
      <c r="C696" t="s">
        <v>41</v>
      </c>
      <c r="D696">
        <v>426</v>
      </c>
      <c r="E696" t="s">
        <v>42</v>
      </c>
      <c r="F696">
        <v>10</v>
      </c>
      <c r="G696">
        <v>4</v>
      </c>
      <c r="H696" t="s">
        <v>35</v>
      </c>
      <c r="I696">
        <v>1</v>
      </c>
      <c r="J696">
        <v>1615</v>
      </c>
      <c r="K696">
        <v>3</v>
      </c>
      <c r="L696" s="17" t="s">
        <v>43</v>
      </c>
      <c r="M696">
        <v>42</v>
      </c>
      <c r="N696">
        <v>4</v>
      </c>
      <c r="O696">
        <v>2</v>
      </c>
      <c r="P696" t="s">
        <v>50</v>
      </c>
      <c r="Q696">
        <v>4</v>
      </c>
      <c r="R696" t="s">
        <v>49</v>
      </c>
      <c r="S696" s="6">
        <v>4724</v>
      </c>
      <c r="T696">
        <v>17000</v>
      </c>
      <c r="U696">
        <v>1</v>
      </c>
      <c r="V696" t="s">
        <v>39</v>
      </c>
      <c r="W696" t="s">
        <v>40</v>
      </c>
      <c r="X696">
        <v>13</v>
      </c>
      <c r="Y696">
        <v>3</v>
      </c>
      <c r="Z696">
        <v>1</v>
      </c>
      <c r="AA696">
        <v>80</v>
      </c>
      <c r="AB696">
        <v>1</v>
      </c>
      <c r="AC696">
        <v>9</v>
      </c>
      <c r="AD696">
        <v>3</v>
      </c>
      <c r="AE696">
        <v>3</v>
      </c>
      <c r="AF696">
        <v>9</v>
      </c>
      <c r="AG696">
        <v>7</v>
      </c>
      <c r="AH696">
        <v>7</v>
      </c>
      <c r="AI696">
        <v>2</v>
      </c>
    </row>
    <row r="697" spans="1:35" x14ac:dyDescent="0.3">
      <c r="A697">
        <v>50</v>
      </c>
      <c r="B697" t="s">
        <v>32</v>
      </c>
      <c r="C697" t="s">
        <v>41</v>
      </c>
      <c r="D697">
        <v>959</v>
      </c>
      <c r="E697" t="s">
        <v>34</v>
      </c>
      <c r="F697">
        <v>1</v>
      </c>
      <c r="G697">
        <v>4</v>
      </c>
      <c r="H697" t="s">
        <v>46</v>
      </c>
      <c r="I697">
        <v>1</v>
      </c>
      <c r="J697">
        <v>1113</v>
      </c>
      <c r="K697">
        <v>4</v>
      </c>
      <c r="L697" s="17" t="s">
        <v>43</v>
      </c>
      <c r="M697">
        <v>81</v>
      </c>
      <c r="N697">
        <v>3</v>
      </c>
      <c r="O697">
        <v>2</v>
      </c>
      <c r="P697" t="s">
        <v>37</v>
      </c>
      <c r="Q697">
        <v>3</v>
      </c>
      <c r="R697" t="s">
        <v>38</v>
      </c>
      <c r="S697" s="6">
        <v>4728</v>
      </c>
      <c r="T697">
        <v>17251</v>
      </c>
      <c r="U697">
        <v>3</v>
      </c>
      <c r="V697" t="s">
        <v>39</v>
      </c>
      <c r="W697" t="s">
        <v>32</v>
      </c>
      <c r="X697">
        <v>14</v>
      </c>
      <c r="Y697">
        <v>3</v>
      </c>
      <c r="Z697">
        <v>4</v>
      </c>
      <c r="AA697">
        <v>80</v>
      </c>
      <c r="AB697">
        <v>0</v>
      </c>
      <c r="AC697">
        <v>5</v>
      </c>
      <c r="AD697">
        <v>4</v>
      </c>
      <c r="AE697">
        <v>3</v>
      </c>
      <c r="AF697">
        <v>0</v>
      </c>
      <c r="AG697">
        <v>0</v>
      </c>
      <c r="AH697">
        <v>0</v>
      </c>
      <c r="AI697">
        <v>0</v>
      </c>
    </row>
    <row r="698" spans="1:35" x14ac:dyDescent="0.3">
      <c r="A698">
        <v>38</v>
      </c>
      <c r="B698" t="s">
        <v>40</v>
      </c>
      <c r="C698" t="s">
        <v>41</v>
      </c>
      <c r="D698">
        <v>1189</v>
      </c>
      <c r="E698" t="s">
        <v>42</v>
      </c>
      <c r="F698">
        <v>1</v>
      </c>
      <c r="G698">
        <v>3</v>
      </c>
      <c r="H698" t="s">
        <v>35</v>
      </c>
      <c r="I698">
        <v>1</v>
      </c>
      <c r="J698">
        <v>1668</v>
      </c>
      <c r="K698">
        <v>4</v>
      </c>
      <c r="L698" s="17" t="s">
        <v>43</v>
      </c>
      <c r="M698">
        <v>90</v>
      </c>
      <c r="N698">
        <v>3</v>
      </c>
      <c r="O698">
        <v>2</v>
      </c>
      <c r="P698" t="s">
        <v>44</v>
      </c>
      <c r="Q698">
        <v>4</v>
      </c>
      <c r="R698" t="s">
        <v>45</v>
      </c>
      <c r="S698" s="6">
        <v>4735</v>
      </c>
      <c r="T698">
        <v>9867</v>
      </c>
      <c r="U698">
        <v>7</v>
      </c>
      <c r="V698" t="s">
        <v>39</v>
      </c>
      <c r="W698" t="s">
        <v>40</v>
      </c>
      <c r="X698">
        <v>15</v>
      </c>
      <c r="Y698">
        <v>3</v>
      </c>
      <c r="Z698">
        <v>4</v>
      </c>
      <c r="AA698">
        <v>80</v>
      </c>
      <c r="AB698">
        <v>2</v>
      </c>
      <c r="AC698">
        <v>19</v>
      </c>
      <c r="AD698">
        <v>4</v>
      </c>
      <c r="AE698">
        <v>4</v>
      </c>
      <c r="AF698">
        <v>13</v>
      </c>
      <c r="AG698">
        <v>11</v>
      </c>
      <c r="AH698">
        <v>2</v>
      </c>
      <c r="AI698">
        <v>9</v>
      </c>
    </row>
    <row r="699" spans="1:35" x14ac:dyDescent="0.3">
      <c r="A699">
        <v>30</v>
      </c>
      <c r="B699" t="s">
        <v>40</v>
      </c>
      <c r="C699" t="s">
        <v>52</v>
      </c>
      <c r="D699">
        <v>641</v>
      </c>
      <c r="E699" t="s">
        <v>34</v>
      </c>
      <c r="F699">
        <v>25</v>
      </c>
      <c r="G699">
        <v>2</v>
      </c>
      <c r="H699" t="s">
        <v>57</v>
      </c>
      <c r="I699">
        <v>1</v>
      </c>
      <c r="J699">
        <v>475</v>
      </c>
      <c r="K699">
        <v>4</v>
      </c>
      <c r="L699" s="17" t="s">
        <v>36</v>
      </c>
      <c r="M699">
        <v>85</v>
      </c>
      <c r="N699">
        <v>3</v>
      </c>
      <c r="O699">
        <v>2</v>
      </c>
      <c r="P699" t="s">
        <v>37</v>
      </c>
      <c r="Q699">
        <v>3</v>
      </c>
      <c r="R699" t="s">
        <v>45</v>
      </c>
      <c r="S699" s="6">
        <v>4736</v>
      </c>
      <c r="T699">
        <v>6069</v>
      </c>
      <c r="U699">
        <v>7</v>
      </c>
      <c r="V699" t="s">
        <v>39</v>
      </c>
      <c r="W699" t="s">
        <v>32</v>
      </c>
      <c r="X699">
        <v>12</v>
      </c>
      <c r="Y699">
        <v>3</v>
      </c>
      <c r="Z699">
        <v>2</v>
      </c>
      <c r="AA699">
        <v>80</v>
      </c>
      <c r="AB699">
        <v>1</v>
      </c>
      <c r="AC699">
        <v>4</v>
      </c>
      <c r="AD699">
        <v>2</v>
      </c>
      <c r="AE699">
        <v>4</v>
      </c>
      <c r="AF699">
        <v>2</v>
      </c>
      <c r="AG699">
        <v>2</v>
      </c>
      <c r="AH699">
        <v>2</v>
      </c>
      <c r="AI699">
        <v>2</v>
      </c>
    </row>
    <row r="700" spans="1:35" x14ac:dyDescent="0.3">
      <c r="A700">
        <v>43</v>
      </c>
      <c r="B700" t="s">
        <v>40</v>
      </c>
      <c r="C700" t="s">
        <v>41</v>
      </c>
      <c r="D700">
        <v>957</v>
      </c>
      <c r="E700" t="s">
        <v>42</v>
      </c>
      <c r="F700">
        <v>28</v>
      </c>
      <c r="G700">
        <v>3</v>
      </c>
      <c r="H700" t="s">
        <v>48</v>
      </c>
      <c r="I700">
        <v>1</v>
      </c>
      <c r="J700">
        <v>171</v>
      </c>
      <c r="K700">
        <v>2</v>
      </c>
      <c r="L700" s="17" t="s">
        <v>36</v>
      </c>
      <c r="M700">
        <v>72</v>
      </c>
      <c r="N700">
        <v>4</v>
      </c>
      <c r="O700">
        <v>1</v>
      </c>
      <c r="P700" t="s">
        <v>44</v>
      </c>
      <c r="Q700">
        <v>3</v>
      </c>
      <c r="R700" t="s">
        <v>38</v>
      </c>
      <c r="S700" s="6">
        <v>4739</v>
      </c>
      <c r="T700">
        <v>16090</v>
      </c>
      <c r="U700">
        <v>4</v>
      </c>
      <c r="V700" t="s">
        <v>39</v>
      </c>
      <c r="W700" t="s">
        <v>40</v>
      </c>
      <c r="X700">
        <v>12</v>
      </c>
      <c r="Y700">
        <v>3</v>
      </c>
      <c r="Z700">
        <v>4</v>
      </c>
      <c r="AA700">
        <v>80</v>
      </c>
      <c r="AB700">
        <v>0</v>
      </c>
      <c r="AC700">
        <v>18</v>
      </c>
      <c r="AD700">
        <v>2</v>
      </c>
      <c r="AE700">
        <v>3</v>
      </c>
      <c r="AF700">
        <v>3</v>
      </c>
      <c r="AG700">
        <v>2</v>
      </c>
      <c r="AH700">
        <v>1</v>
      </c>
      <c r="AI700">
        <v>2</v>
      </c>
    </row>
    <row r="701" spans="1:35" x14ac:dyDescent="0.3">
      <c r="A701">
        <v>26</v>
      </c>
      <c r="B701" t="s">
        <v>40</v>
      </c>
      <c r="C701" t="s">
        <v>41</v>
      </c>
      <c r="D701">
        <v>496</v>
      </c>
      <c r="E701" t="s">
        <v>42</v>
      </c>
      <c r="F701">
        <v>11</v>
      </c>
      <c r="G701">
        <v>2</v>
      </c>
      <c r="H701" t="s">
        <v>48</v>
      </c>
      <c r="I701">
        <v>1</v>
      </c>
      <c r="J701">
        <v>390</v>
      </c>
      <c r="K701">
        <v>1</v>
      </c>
      <c r="L701" s="17" t="s">
        <v>43</v>
      </c>
      <c r="M701">
        <v>60</v>
      </c>
      <c r="N701">
        <v>3</v>
      </c>
      <c r="O701">
        <v>2</v>
      </c>
      <c r="P701" t="s">
        <v>51</v>
      </c>
      <c r="Q701">
        <v>1</v>
      </c>
      <c r="R701" t="s">
        <v>45</v>
      </c>
      <c r="S701" s="6">
        <v>4741</v>
      </c>
      <c r="T701">
        <v>22722</v>
      </c>
      <c r="U701">
        <v>1</v>
      </c>
      <c r="V701" t="s">
        <v>39</v>
      </c>
      <c r="W701" t="s">
        <v>32</v>
      </c>
      <c r="X701">
        <v>13</v>
      </c>
      <c r="Y701">
        <v>3</v>
      </c>
      <c r="Z701">
        <v>3</v>
      </c>
      <c r="AA701">
        <v>80</v>
      </c>
      <c r="AB701">
        <v>1</v>
      </c>
      <c r="AC701">
        <v>5</v>
      </c>
      <c r="AD701">
        <v>3</v>
      </c>
      <c r="AE701">
        <v>3</v>
      </c>
      <c r="AF701">
        <v>5</v>
      </c>
      <c r="AG701">
        <v>3</v>
      </c>
      <c r="AH701">
        <v>3</v>
      </c>
      <c r="AI701">
        <v>3</v>
      </c>
    </row>
    <row r="702" spans="1:35" x14ac:dyDescent="0.3">
      <c r="A702">
        <v>34</v>
      </c>
      <c r="B702" t="s">
        <v>40</v>
      </c>
      <c r="C702" t="s">
        <v>33</v>
      </c>
      <c r="D702">
        <v>1326</v>
      </c>
      <c r="E702" t="s">
        <v>34</v>
      </c>
      <c r="F702">
        <v>3</v>
      </c>
      <c r="G702">
        <v>3</v>
      </c>
      <c r="H702" t="s">
        <v>46</v>
      </c>
      <c r="I702">
        <v>1</v>
      </c>
      <c r="J702">
        <v>1478</v>
      </c>
      <c r="K702">
        <v>4</v>
      </c>
      <c r="L702" s="17" t="s">
        <v>43</v>
      </c>
      <c r="M702">
        <v>81</v>
      </c>
      <c r="N702">
        <v>1</v>
      </c>
      <c r="O702">
        <v>2</v>
      </c>
      <c r="P702" t="s">
        <v>37</v>
      </c>
      <c r="Q702">
        <v>1</v>
      </c>
      <c r="R702" t="s">
        <v>38</v>
      </c>
      <c r="S702" s="6">
        <v>4759</v>
      </c>
      <c r="T702">
        <v>15891</v>
      </c>
      <c r="U702">
        <v>3</v>
      </c>
      <c r="V702" t="s">
        <v>39</v>
      </c>
      <c r="W702" t="s">
        <v>40</v>
      </c>
      <c r="X702">
        <v>18</v>
      </c>
      <c r="Y702">
        <v>3</v>
      </c>
      <c r="Z702">
        <v>4</v>
      </c>
      <c r="AA702">
        <v>80</v>
      </c>
      <c r="AB702">
        <v>0</v>
      </c>
      <c r="AC702">
        <v>15</v>
      </c>
      <c r="AD702">
        <v>2</v>
      </c>
      <c r="AE702">
        <v>3</v>
      </c>
      <c r="AF702">
        <v>13</v>
      </c>
      <c r="AG702">
        <v>9</v>
      </c>
      <c r="AH702">
        <v>3</v>
      </c>
      <c r="AI702">
        <v>12</v>
      </c>
    </row>
    <row r="703" spans="1:35" x14ac:dyDescent="0.3">
      <c r="A703">
        <v>43</v>
      </c>
      <c r="B703" t="s">
        <v>40</v>
      </c>
      <c r="C703" t="s">
        <v>33</v>
      </c>
      <c r="D703">
        <v>177</v>
      </c>
      <c r="E703" t="s">
        <v>42</v>
      </c>
      <c r="F703">
        <v>8</v>
      </c>
      <c r="G703">
        <v>3</v>
      </c>
      <c r="H703" t="s">
        <v>35</v>
      </c>
      <c r="I703">
        <v>1</v>
      </c>
      <c r="J703">
        <v>920</v>
      </c>
      <c r="K703">
        <v>1</v>
      </c>
      <c r="L703" s="17" t="s">
        <v>36</v>
      </c>
      <c r="M703">
        <v>55</v>
      </c>
      <c r="N703">
        <v>3</v>
      </c>
      <c r="O703">
        <v>2</v>
      </c>
      <c r="P703" t="s">
        <v>50</v>
      </c>
      <c r="Q703">
        <v>2</v>
      </c>
      <c r="R703" t="s">
        <v>49</v>
      </c>
      <c r="S703" s="6">
        <v>4765</v>
      </c>
      <c r="T703">
        <v>23814</v>
      </c>
      <c r="U703">
        <v>4</v>
      </c>
      <c r="V703" t="s">
        <v>39</v>
      </c>
      <c r="W703" t="s">
        <v>40</v>
      </c>
      <c r="X703">
        <v>21</v>
      </c>
      <c r="Y703">
        <v>4</v>
      </c>
      <c r="Z703">
        <v>3</v>
      </c>
      <c r="AA703">
        <v>80</v>
      </c>
      <c r="AB703">
        <v>1</v>
      </c>
      <c r="AC703">
        <v>4</v>
      </c>
      <c r="AD703">
        <v>2</v>
      </c>
      <c r="AE703">
        <v>4</v>
      </c>
      <c r="AF703">
        <v>1</v>
      </c>
      <c r="AG703">
        <v>0</v>
      </c>
      <c r="AH703">
        <v>0</v>
      </c>
      <c r="AI703">
        <v>0</v>
      </c>
    </row>
    <row r="704" spans="1:35" x14ac:dyDescent="0.3">
      <c r="A704">
        <v>41</v>
      </c>
      <c r="B704" t="s">
        <v>40</v>
      </c>
      <c r="C704" t="s">
        <v>33</v>
      </c>
      <c r="D704">
        <v>167</v>
      </c>
      <c r="E704" t="s">
        <v>42</v>
      </c>
      <c r="F704">
        <v>12</v>
      </c>
      <c r="G704">
        <v>4</v>
      </c>
      <c r="H704" t="s">
        <v>35</v>
      </c>
      <c r="I704">
        <v>1</v>
      </c>
      <c r="J704">
        <v>1158</v>
      </c>
      <c r="K704">
        <v>2</v>
      </c>
      <c r="L704" s="17" t="s">
        <v>43</v>
      </c>
      <c r="M704">
        <v>46</v>
      </c>
      <c r="N704">
        <v>3</v>
      </c>
      <c r="O704">
        <v>1</v>
      </c>
      <c r="P704" t="s">
        <v>47</v>
      </c>
      <c r="Q704">
        <v>4</v>
      </c>
      <c r="R704" t="s">
        <v>45</v>
      </c>
      <c r="S704" s="6">
        <v>4766</v>
      </c>
      <c r="T704">
        <v>9051</v>
      </c>
      <c r="U704">
        <v>3</v>
      </c>
      <c r="V704" t="s">
        <v>39</v>
      </c>
      <c r="W704" t="s">
        <v>32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6</v>
      </c>
      <c r="AD704">
        <v>4</v>
      </c>
      <c r="AE704">
        <v>3</v>
      </c>
      <c r="AF704">
        <v>1</v>
      </c>
      <c r="AG704">
        <v>0</v>
      </c>
      <c r="AH704">
        <v>0</v>
      </c>
      <c r="AI704">
        <v>0</v>
      </c>
    </row>
    <row r="705" spans="1:35" x14ac:dyDescent="0.3">
      <c r="A705">
        <v>44</v>
      </c>
      <c r="B705" t="s">
        <v>40</v>
      </c>
      <c r="C705" t="s">
        <v>41</v>
      </c>
      <c r="D705">
        <v>383</v>
      </c>
      <c r="E705" t="s">
        <v>34</v>
      </c>
      <c r="F705">
        <v>1</v>
      </c>
      <c r="G705">
        <v>5</v>
      </c>
      <c r="H705" t="s">
        <v>56</v>
      </c>
      <c r="I705">
        <v>1</v>
      </c>
      <c r="J705">
        <v>1481</v>
      </c>
      <c r="K705">
        <v>1</v>
      </c>
      <c r="L705" s="17" t="s">
        <v>36</v>
      </c>
      <c r="M705">
        <v>79</v>
      </c>
      <c r="N705">
        <v>3</v>
      </c>
      <c r="O705">
        <v>2</v>
      </c>
      <c r="P705" t="s">
        <v>37</v>
      </c>
      <c r="Q705">
        <v>3</v>
      </c>
      <c r="R705" t="s">
        <v>45</v>
      </c>
      <c r="S705" s="6">
        <v>4768</v>
      </c>
      <c r="T705">
        <v>9282</v>
      </c>
      <c r="U705">
        <v>7</v>
      </c>
      <c r="V705" t="s">
        <v>39</v>
      </c>
      <c r="W705" t="s">
        <v>40</v>
      </c>
      <c r="X705">
        <v>12</v>
      </c>
      <c r="Y705">
        <v>3</v>
      </c>
      <c r="Z705">
        <v>3</v>
      </c>
      <c r="AA705">
        <v>80</v>
      </c>
      <c r="AB705">
        <v>1</v>
      </c>
      <c r="AC705">
        <v>11</v>
      </c>
      <c r="AD705">
        <v>4</v>
      </c>
      <c r="AE705">
        <v>2</v>
      </c>
      <c r="AF705">
        <v>1</v>
      </c>
      <c r="AG705">
        <v>0</v>
      </c>
      <c r="AH705">
        <v>0</v>
      </c>
      <c r="AI705">
        <v>0</v>
      </c>
    </row>
    <row r="706" spans="1:35" x14ac:dyDescent="0.3">
      <c r="A706">
        <v>38</v>
      </c>
      <c r="B706" t="s">
        <v>40</v>
      </c>
      <c r="C706" t="s">
        <v>33</v>
      </c>
      <c r="D706">
        <v>1206</v>
      </c>
      <c r="E706" t="s">
        <v>42</v>
      </c>
      <c r="F706">
        <v>9</v>
      </c>
      <c r="G706">
        <v>2</v>
      </c>
      <c r="H706" t="s">
        <v>35</v>
      </c>
      <c r="I706">
        <v>1</v>
      </c>
      <c r="J706">
        <v>1940</v>
      </c>
      <c r="K706">
        <v>2</v>
      </c>
      <c r="L706" s="17" t="s">
        <v>43</v>
      </c>
      <c r="M706">
        <v>71</v>
      </c>
      <c r="N706">
        <v>3</v>
      </c>
      <c r="O706">
        <v>1</v>
      </c>
      <c r="P706" t="s">
        <v>44</v>
      </c>
      <c r="Q706">
        <v>4</v>
      </c>
      <c r="R706" t="s">
        <v>49</v>
      </c>
      <c r="S706" s="6">
        <v>4771</v>
      </c>
      <c r="T706">
        <v>14293</v>
      </c>
      <c r="U706">
        <v>2</v>
      </c>
      <c r="V706" t="s">
        <v>39</v>
      </c>
      <c r="W706" t="s">
        <v>40</v>
      </c>
      <c r="X706">
        <v>19</v>
      </c>
      <c r="Y706">
        <v>3</v>
      </c>
      <c r="Z706">
        <v>4</v>
      </c>
      <c r="AA706">
        <v>80</v>
      </c>
      <c r="AB706">
        <v>2</v>
      </c>
      <c r="AC706">
        <v>10</v>
      </c>
      <c r="AD706">
        <v>0</v>
      </c>
      <c r="AE706">
        <v>4</v>
      </c>
      <c r="AF706">
        <v>5</v>
      </c>
      <c r="AG706">
        <v>2</v>
      </c>
      <c r="AH706">
        <v>0</v>
      </c>
      <c r="AI706">
        <v>3</v>
      </c>
    </row>
    <row r="707" spans="1:35" x14ac:dyDescent="0.3">
      <c r="A707">
        <v>27</v>
      </c>
      <c r="B707" t="s">
        <v>40</v>
      </c>
      <c r="C707" t="s">
        <v>41</v>
      </c>
      <c r="D707">
        <v>1131</v>
      </c>
      <c r="E707" t="s">
        <v>42</v>
      </c>
      <c r="F707">
        <v>15</v>
      </c>
      <c r="G707">
        <v>3</v>
      </c>
      <c r="H707" t="s">
        <v>35</v>
      </c>
      <c r="I707">
        <v>1</v>
      </c>
      <c r="J707">
        <v>1870</v>
      </c>
      <c r="K707">
        <v>4</v>
      </c>
      <c r="L707" s="17" t="s">
        <v>36</v>
      </c>
      <c r="M707">
        <v>77</v>
      </c>
      <c r="N707">
        <v>2</v>
      </c>
      <c r="O707">
        <v>1</v>
      </c>
      <c r="P707" t="s">
        <v>44</v>
      </c>
      <c r="Q707">
        <v>1</v>
      </c>
      <c r="R707" t="s">
        <v>45</v>
      </c>
      <c r="S707" s="6">
        <v>4774</v>
      </c>
      <c r="T707">
        <v>23844</v>
      </c>
      <c r="U707">
        <v>0</v>
      </c>
      <c r="V707" t="s">
        <v>39</v>
      </c>
      <c r="W707" t="s">
        <v>40</v>
      </c>
      <c r="X707">
        <v>19</v>
      </c>
      <c r="Y707">
        <v>3</v>
      </c>
      <c r="Z707">
        <v>4</v>
      </c>
      <c r="AA707">
        <v>80</v>
      </c>
      <c r="AB707">
        <v>1</v>
      </c>
      <c r="AC707">
        <v>8</v>
      </c>
      <c r="AD707">
        <v>2</v>
      </c>
      <c r="AE707">
        <v>2</v>
      </c>
      <c r="AF707">
        <v>7</v>
      </c>
      <c r="AG707">
        <v>6</v>
      </c>
      <c r="AH707">
        <v>7</v>
      </c>
      <c r="AI707">
        <v>3</v>
      </c>
    </row>
    <row r="708" spans="1:35" x14ac:dyDescent="0.3">
      <c r="A708">
        <v>22</v>
      </c>
      <c r="B708" t="s">
        <v>40</v>
      </c>
      <c r="C708" t="s">
        <v>33</v>
      </c>
      <c r="D708">
        <v>1230</v>
      </c>
      <c r="E708" t="s">
        <v>42</v>
      </c>
      <c r="F708">
        <v>1</v>
      </c>
      <c r="G708">
        <v>2</v>
      </c>
      <c r="H708" t="s">
        <v>35</v>
      </c>
      <c r="I708">
        <v>1</v>
      </c>
      <c r="J708">
        <v>872</v>
      </c>
      <c r="K708">
        <v>4</v>
      </c>
      <c r="L708" s="17" t="s">
        <v>43</v>
      </c>
      <c r="M708">
        <v>33</v>
      </c>
      <c r="N708">
        <v>2</v>
      </c>
      <c r="O708">
        <v>2</v>
      </c>
      <c r="P708" t="s">
        <v>50</v>
      </c>
      <c r="Q708">
        <v>4</v>
      </c>
      <c r="R708" t="s">
        <v>45</v>
      </c>
      <c r="S708" s="6">
        <v>4775</v>
      </c>
      <c r="T708">
        <v>19146</v>
      </c>
      <c r="U708">
        <v>6</v>
      </c>
      <c r="V708" t="s">
        <v>39</v>
      </c>
      <c r="W708" t="s">
        <v>40</v>
      </c>
      <c r="X708">
        <v>22</v>
      </c>
      <c r="Y708">
        <v>4</v>
      </c>
      <c r="Z708">
        <v>1</v>
      </c>
      <c r="AA708">
        <v>80</v>
      </c>
      <c r="AB708">
        <v>2</v>
      </c>
      <c r="AC708">
        <v>4</v>
      </c>
      <c r="AD708">
        <v>2</v>
      </c>
      <c r="AE708">
        <v>1</v>
      </c>
      <c r="AF708">
        <v>2</v>
      </c>
      <c r="AG708">
        <v>2</v>
      </c>
      <c r="AH708">
        <v>2</v>
      </c>
      <c r="AI708">
        <v>2</v>
      </c>
    </row>
    <row r="709" spans="1:35" x14ac:dyDescent="0.3">
      <c r="A709">
        <v>37</v>
      </c>
      <c r="B709" t="s">
        <v>32</v>
      </c>
      <c r="C709" t="s">
        <v>33</v>
      </c>
      <c r="D709">
        <v>1141</v>
      </c>
      <c r="E709" t="s">
        <v>42</v>
      </c>
      <c r="F709">
        <v>11</v>
      </c>
      <c r="G709">
        <v>2</v>
      </c>
      <c r="H709" t="s">
        <v>48</v>
      </c>
      <c r="I709">
        <v>1</v>
      </c>
      <c r="J709">
        <v>1033</v>
      </c>
      <c r="K709">
        <v>1</v>
      </c>
      <c r="L709" s="17" t="s">
        <v>36</v>
      </c>
      <c r="M709">
        <v>61</v>
      </c>
      <c r="N709">
        <v>1</v>
      </c>
      <c r="O709">
        <v>2</v>
      </c>
      <c r="P709" t="s">
        <v>51</v>
      </c>
      <c r="Q709">
        <v>2</v>
      </c>
      <c r="R709" t="s">
        <v>45</v>
      </c>
      <c r="S709" s="6">
        <v>4777</v>
      </c>
      <c r="T709">
        <v>14382</v>
      </c>
      <c r="U709">
        <v>5</v>
      </c>
      <c r="V709" t="s">
        <v>39</v>
      </c>
      <c r="W709" t="s">
        <v>40</v>
      </c>
      <c r="X709">
        <v>15</v>
      </c>
      <c r="Y709">
        <v>3</v>
      </c>
      <c r="Z709">
        <v>1</v>
      </c>
      <c r="AA709">
        <v>80</v>
      </c>
      <c r="AB709">
        <v>0</v>
      </c>
      <c r="AC709">
        <v>15</v>
      </c>
      <c r="AD709">
        <v>2</v>
      </c>
      <c r="AE709">
        <v>1</v>
      </c>
      <c r="AF709">
        <v>1</v>
      </c>
      <c r="AG709">
        <v>0</v>
      </c>
      <c r="AH709">
        <v>0</v>
      </c>
      <c r="AI709">
        <v>0</v>
      </c>
    </row>
    <row r="710" spans="1:35" x14ac:dyDescent="0.3">
      <c r="A710">
        <v>28</v>
      </c>
      <c r="B710" t="s">
        <v>40</v>
      </c>
      <c r="C710" t="s">
        <v>33</v>
      </c>
      <c r="D710">
        <v>760</v>
      </c>
      <c r="E710" t="s">
        <v>34</v>
      </c>
      <c r="F710">
        <v>2</v>
      </c>
      <c r="G710">
        <v>4</v>
      </c>
      <c r="H710" t="s">
        <v>56</v>
      </c>
      <c r="I710">
        <v>1</v>
      </c>
      <c r="J710">
        <v>846</v>
      </c>
      <c r="K710">
        <v>2</v>
      </c>
      <c r="L710" s="17" t="s">
        <v>36</v>
      </c>
      <c r="M710">
        <v>81</v>
      </c>
      <c r="N710">
        <v>3</v>
      </c>
      <c r="O710">
        <v>2</v>
      </c>
      <c r="P710" t="s">
        <v>37</v>
      </c>
      <c r="Q710">
        <v>2</v>
      </c>
      <c r="R710" t="s">
        <v>45</v>
      </c>
      <c r="S710" s="6">
        <v>4779</v>
      </c>
      <c r="T710">
        <v>3698</v>
      </c>
      <c r="U710">
        <v>1</v>
      </c>
      <c r="V710" t="s">
        <v>39</v>
      </c>
      <c r="W710" t="s">
        <v>32</v>
      </c>
      <c r="X710">
        <v>20</v>
      </c>
      <c r="Y710">
        <v>4</v>
      </c>
      <c r="Z710">
        <v>1</v>
      </c>
      <c r="AA710">
        <v>80</v>
      </c>
      <c r="AB710">
        <v>0</v>
      </c>
      <c r="AC710">
        <v>8</v>
      </c>
      <c r="AD710">
        <v>2</v>
      </c>
      <c r="AE710">
        <v>3</v>
      </c>
      <c r="AF710">
        <v>8</v>
      </c>
      <c r="AG710">
        <v>7</v>
      </c>
      <c r="AH710">
        <v>7</v>
      </c>
      <c r="AI710">
        <v>5</v>
      </c>
    </row>
    <row r="711" spans="1:35" x14ac:dyDescent="0.3">
      <c r="A711">
        <v>30</v>
      </c>
      <c r="B711" t="s">
        <v>40</v>
      </c>
      <c r="C711" t="s">
        <v>33</v>
      </c>
      <c r="D711">
        <v>855</v>
      </c>
      <c r="E711" t="s">
        <v>34</v>
      </c>
      <c r="F711">
        <v>7</v>
      </c>
      <c r="G711">
        <v>4</v>
      </c>
      <c r="H711" t="s">
        <v>56</v>
      </c>
      <c r="I711">
        <v>1</v>
      </c>
      <c r="J711">
        <v>1428</v>
      </c>
      <c r="K711">
        <v>4</v>
      </c>
      <c r="L711" s="17" t="s">
        <v>36</v>
      </c>
      <c r="M711">
        <v>73</v>
      </c>
      <c r="N711">
        <v>3</v>
      </c>
      <c r="O711">
        <v>2</v>
      </c>
      <c r="P711" t="s">
        <v>37</v>
      </c>
      <c r="Q711">
        <v>1</v>
      </c>
      <c r="R711" t="s">
        <v>49</v>
      </c>
      <c r="S711" s="6">
        <v>4779</v>
      </c>
      <c r="T711">
        <v>12761</v>
      </c>
      <c r="U711">
        <v>7</v>
      </c>
      <c r="V711" t="s">
        <v>39</v>
      </c>
      <c r="W711" t="s">
        <v>40</v>
      </c>
      <c r="X711">
        <v>14</v>
      </c>
      <c r="Y711">
        <v>3</v>
      </c>
      <c r="Z711">
        <v>2</v>
      </c>
      <c r="AA711">
        <v>80</v>
      </c>
      <c r="AB711">
        <v>2</v>
      </c>
      <c r="AC711">
        <v>8</v>
      </c>
      <c r="AD711">
        <v>3</v>
      </c>
      <c r="AE711">
        <v>3</v>
      </c>
      <c r="AF711">
        <v>3</v>
      </c>
      <c r="AG711">
        <v>2</v>
      </c>
      <c r="AH711">
        <v>0</v>
      </c>
      <c r="AI711">
        <v>2</v>
      </c>
    </row>
    <row r="712" spans="1:35" x14ac:dyDescent="0.3">
      <c r="A712">
        <v>29</v>
      </c>
      <c r="B712" t="s">
        <v>32</v>
      </c>
      <c r="C712" t="s">
        <v>33</v>
      </c>
      <c r="D712">
        <v>1092</v>
      </c>
      <c r="E712" t="s">
        <v>42</v>
      </c>
      <c r="F712">
        <v>1</v>
      </c>
      <c r="G712">
        <v>4</v>
      </c>
      <c r="H712" t="s">
        <v>48</v>
      </c>
      <c r="I712">
        <v>1</v>
      </c>
      <c r="J712">
        <v>2027</v>
      </c>
      <c r="K712">
        <v>1</v>
      </c>
      <c r="L712" s="17" t="s">
        <v>43</v>
      </c>
      <c r="M712">
        <v>36</v>
      </c>
      <c r="N712">
        <v>3</v>
      </c>
      <c r="O712">
        <v>1</v>
      </c>
      <c r="P712" t="s">
        <v>44</v>
      </c>
      <c r="Q712">
        <v>4</v>
      </c>
      <c r="R712" t="s">
        <v>45</v>
      </c>
      <c r="S712" s="6">
        <v>4787</v>
      </c>
      <c r="T712">
        <v>26124</v>
      </c>
      <c r="U712">
        <v>9</v>
      </c>
      <c r="V712" t="s">
        <v>39</v>
      </c>
      <c r="W712" t="s">
        <v>32</v>
      </c>
      <c r="X712">
        <v>14</v>
      </c>
      <c r="Y712">
        <v>3</v>
      </c>
      <c r="Z712">
        <v>2</v>
      </c>
      <c r="AA712">
        <v>80</v>
      </c>
      <c r="AB712">
        <v>3</v>
      </c>
      <c r="AC712">
        <v>4</v>
      </c>
      <c r="AD712">
        <v>3</v>
      </c>
      <c r="AE712">
        <v>4</v>
      </c>
      <c r="AF712">
        <v>2</v>
      </c>
      <c r="AG712">
        <v>2</v>
      </c>
      <c r="AH712">
        <v>2</v>
      </c>
      <c r="AI712">
        <v>2</v>
      </c>
    </row>
    <row r="713" spans="1:35" x14ac:dyDescent="0.3">
      <c r="A713">
        <v>35</v>
      </c>
      <c r="B713" t="s">
        <v>40</v>
      </c>
      <c r="C713" t="s">
        <v>33</v>
      </c>
      <c r="D713">
        <v>219</v>
      </c>
      <c r="E713" t="s">
        <v>42</v>
      </c>
      <c r="F713">
        <v>16</v>
      </c>
      <c r="G713">
        <v>2</v>
      </c>
      <c r="H713" t="s">
        <v>46</v>
      </c>
      <c r="I713">
        <v>1</v>
      </c>
      <c r="J713">
        <v>1886</v>
      </c>
      <c r="K713">
        <v>4</v>
      </c>
      <c r="L713" s="17" t="s">
        <v>36</v>
      </c>
      <c r="M713">
        <v>44</v>
      </c>
      <c r="N713">
        <v>2</v>
      </c>
      <c r="O713">
        <v>2</v>
      </c>
      <c r="P713" t="s">
        <v>50</v>
      </c>
      <c r="Q713">
        <v>2</v>
      </c>
      <c r="R713" t="s">
        <v>45</v>
      </c>
      <c r="S713" s="6">
        <v>4788</v>
      </c>
      <c r="T713">
        <v>25388</v>
      </c>
      <c r="U713">
        <v>0</v>
      </c>
      <c r="V713" t="s">
        <v>39</v>
      </c>
      <c r="W713" t="s">
        <v>32</v>
      </c>
      <c r="X713">
        <v>11</v>
      </c>
      <c r="Y713">
        <v>3</v>
      </c>
      <c r="Z713">
        <v>4</v>
      </c>
      <c r="AA713">
        <v>80</v>
      </c>
      <c r="AB713">
        <v>0</v>
      </c>
      <c r="AC713">
        <v>4</v>
      </c>
      <c r="AD713">
        <v>2</v>
      </c>
      <c r="AE713">
        <v>3</v>
      </c>
      <c r="AF713">
        <v>3</v>
      </c>
      <c r="AG713">
        <v>2</v>
      </c>
      <c r="AH713">
        <v>0</v>
      </c>
      <c r="AI713">
        <v>2</v>
      </c>
    </row>
    <row r="714" spans="1:35" x14ac:dyDescent="0.3">
      <c r="A714">
        <v>49</v>
      </c>
      <c r="B714" t="s">
        <v>40</v>
      </c>
      <c r="C714" t="s">
        <v>33</v>
      </c>
      <c r="D714">
        <v>271</v>
      </c>
      <c r="E714" t="s">
        <v>42</v>
      </c>
      <c r="F714">
        <v>3</v>
      </c>
      <c r="G714">
        <v>2</v>
      </c>
      <c r="H714" t="s">
        <v>48</v>
      </c>
      <c r="I714">
        <v>1</v>
      </c>
      <c r="J714">
        <v>1509</v>
      </c>
      <c r="K714">
        <v>3</v>
      </c>
      <c r="L714" s="17" t="s">
        <v>36</v>
      </c>
      <c r="M714">
        <v>43</v>
      </c>
      <c r="N714">
        <v>2</v>
      </c>
      <c r="O714">
        <v>2</v>
      </c>
      <c r="P714" t="s">
        <v>47</v>
      </c>
      <c r="Q714">
        <v>1</v>
      </c>
      <c r="R714" t="s">
        <v>45</v>
      </c>
      <c r="S714" s="6">
        <v>4789</v>
      </c>
      <c r="T714">
        <v>23070</v>
      </c>
      <c r="U714">
        <v>4</v>
      </c>
      <c r="V714" t="s">
        <v>39</v>
      </c>
      <c r="W714" t="s">
        <v>40</v>
      </c>
      <c r="X714">
        <v>25</v>
      </c>
      <c r="Y714">
        <v>4</v>
      </c>
      <c r="Z714">
        <v>1</v>
      </c>
      <c r="AA714">
        <v>80</v>
      </c>
      <c r="AB714">
        <v>1</v>
      </c>
      <c r="AC714">
        <v>10</v>
      </c>
      <c r="AD714">
        <v>3</v>
      </c>
      <c r="AE714">
        <v>3</v>
      </c>
      <c r="AF714">
        <v>3</v>
      </c>
      <c r="AG714">
        <v>2</v>
      </c>
      <c r="AH714">
        <v>1</v>
      </c>
      <c r="AI714">
        <v>2</v>
      </c>
    </row>
    <row r="715" spans="1:35" x14ac:dyDescent="0.3">
      <c r="A715">
        <v>45</v>
      </c>
      <c r="B715" t="s">
        <v>40</v>
      </c>
      <c r="C715" t="s">
        <v>33</v>
      </c>
      <c r="D715">
        <v>561</v>
      </c>
      <c r="E715" t="s">
        <v>34</v>
      </c>
      <c r="F715">
        <v>2</v>
      </c>
      <c r="G715">
        <v>3</v>
      </c>
      <c r="H715" t="s">
        <v>46</v>
      </c>
      <c r="I715">
        <v>1</v>
      </c>
      <c r="J715">
        <v>606</v>
      </c>
      <c r="K715">
        <v>4</v>
      </c>
      <c r="L715" s="17" t="s">
        <v>43</v>
      </c>
      <c r="M715">
        <v>61</v>
      </c>
      <c r="N715">
        <v>3</v>
      </c>
      <c r="O715">
        <v>2</v>
      </c>
      <c r="P715" t="s">
        <v>37</v>
      </c>
      <c r="Q715">
        <v>2</v>
      </c>
      <c r="R715" t="s">
        <v>45</v>
      </c>
      <c r="S715" s="6">
        <v>4805</v>
      </c>
      <c r="T715">
        <v>16177</v>
      </c>
      <c r="U715">
        <v>0</v>
      </c>
      <c r="V715" t="s">
        <v>39</v>
      </c>
      <c r="W715" t="s">
        <v>40</v>
      </c>
      <c r="X715">
        <v>19</v>
      </c>
      <c r="Y715">
        <v>3</v>
      </c>
      <c r="Z715">
        <v>2</v>
      </c>
      <c r="AA715">
        <v>80</v>
      </c>
      <c r="AB715">
        <v>1</v>
      </c>
      <c r="AC715">
        <v>9</v>
      </c>
      <c r="AD715">
        <v>3</v>
      </c>
      <c r="AE715">
        <v>4</v>
      </c>
      <c r="AF715">
        <v>8</v>
      </c>
      <c r="AG715">
        <v>7</v>
      </c>
      <c r="AH715">
        <v>3</v>
      </c>
      <c r="AI715">
        <v>7</v>
      </c>
    </row>
    <row r="716" spans="1:35" x14ac:dyDescent="0.3">
      <c r="A716">
        <v>34</v>
      </c>
      <c r="B716" t="s">
        <v>40</v>
      </c>
      <c r="C716" t="s">
        <v>33</v>
      </c>
      <c r="D716">
        <v>665</v>
      </c>
      <c r="E716" t="s">
        <v>42</v>
      </c>
      <c r="F716">
        <v>6</v>
      </c>
      <c r="G716">
        <v>4</v>
      </c>
      <c r="H716" t="s">
        <v>46</v>
      </c>
      <c r="I716">
        <v>1</v>
      </c>
      <c r="J716">
        <v>138</v>
      </c>
      <c r="K716">
        <v>1</v>
      </c>
      <c r="L716" s="17" t="s">
        <v>36</v>
      </c>
      <c r="M716">
        <v>41</v>
      </c>
      <c r="N716">
        <v>3</v>
      </c>
      <c r="O716">
        <v>2</v>
      </c>
      <c r="P716" t="s">
        <v>44</v>
      </c>
      <c r="Q716">
        <v>3</v>
      </c>
      <c r="R716" t="s">
        <v>38</v>
      </c>
      <c r="S716" s="6">
        <v>4809</v>
      </c>
      <c r="T716">
        <v>12482</v>
      </c>
      <c r="U716">
        <v>1</v>
      </c>
      <c r="V716" t="s">
        <v>39</v>
      </c>
      <c r="W716" t="s">
        <v>40</v>
      </c>
      <c r="X716">
        <v>14</v>
      </c>
      <c r="Y716">
        <v>3</v>
      </c>
      <c r="Z716">
        <v>3</v>
      </c>
      <c r="AA716">
        <v>80</v>
      </c>
      <c r="AB716">
        <v>0</v>
      </c>
      <c r="AC716">
        <v>16</v>
      </c>
      <c r="AD716">
        <v>3</v>
      </c>
      <c r="AE716">
        <v>3</v>
      </c>
      <c r="AF716">
        <v>16</v>
      </c>
      <c r="AG716">
        <v>13</v>
      </c>
      <c r="AH716">
        <v>2</v>
      </c>
      <c r="AI716">
        <v>10</v>
      </c>
    </row>
    <row r="717" spans="1:35" x14ac:dyDescent="0.3">
      <c r="A717">
        <v>46</v>
      </c>
      <c r="B717" t="s">
        <v>40</v>
      </c>
      <c r="C717" t="s">
        <v>33</v>
      </c>
      <c r="D717">
        <v>1485</v>
      </c>
      <c r="E717" t="s">
        <v>42</v>
      </c>
      <c r="F717">
        <v>18</v>
      </c>
      <c r="G717">
        <v>3</v>
      </c>
      <c r="H717" t="s">
        <v>48</v>
      </c>
      <c r="I717">
        <v>1</v>
      </c>
      <c r="J717">
        <v>550</v>
      </c>
      <c r="K717">
        <v>3</v>
      </c>
      <c r="L717" s="17" t="s">
        <v>36</v>
      </c>
      <c r="M717">
        <v>87</v>
      </c>
      <c r="N717">
        <v>3</v>
      </c>
      <c r="O717">
        <v>2</v>
      </c>
      <c r="P717" t="s">
        <v>50</v>
      </c>
      <c r="Q717">
        <v>3</v>
      </c>
      <c r="R717" t="s">
        <v>49</v>
      </c>
      <c r="S717" s="6">
        <v>4810</v>
      </c>
      <c r="T717">
        <v>26314</v>
      </c>
      <c r="U717">
        <v>2</v>
      </c>
      <c r="V717" t="s">
        <v>39</v>
      </c>
      <c r="W717" t="s">
        <v>40</v>
      </c>
      <c r="X717">
        <v>14</v>
      </c>
      <c r="Y717">
        <v>3</v>
      </c>
      <c r="Z717">
        <v>3</v>
      </c>
      <c r="AA717">
        <v>80</v>
      </c>
      <c r="AB717">
        <v>1</v>
      </c>
      <c r="AC717">
        <v>19</v>
      </c>
      <c r="AD717">
        <v>5</v>
      </c>
      <c r="AE717">
        <v>2</v>
      </c>
      <c r="AF717">
        <v>10</v>
      </c>
      <c r="AG717">
        <v>7</v>
      </c>
      <c r="AH717">
        <v>0</v>
      </c>
      <c r="AI717">
        <v>8</v>
      </c>
    </row>
    <row r="718" spans="1:35" x14ac:dyDescent="0.3">
      <c r="A718">
        <v>31</v>
      </c>
      <c r="B718" t="s">
        <v>40</v>
      </c>
      <c r="C718" t="s">
        <v>33</v>
      </c>
      <c r="D718">
        <v>691</v>
      </c>
      <c r="E718" t="s">
        <v>42</v>
      </c>
      <c r="F718">
        <v>5</v>
      </c>
      <c r="G718">
        <v>4</v>
      </c>
      <c r="H718" t="s">
        <v>57</v>
      </c>
      <c r="I718">
        <v>1</v>
      </c>
      <c r="J718">
        <v>423</v>
      </c>
      <c r="K718">
        <v>3</v>
      </c>
      <c r="L718" s="17" t="s">
        <v>43</v>
      </c>
      <c r="M718">
        <v>86</v>
      </c>
      <c r="N718">
        <v>3</v>
      </c>
      <c r="O718">
        <v>1</v>
      </c>
      <c r="P718" t="s">
        <v>44</v>
      </c>
      <c r="Q718">
        <v>4</v>
      </c>
      <c r="R718" t="s">
        <v>45</v>
      </c>
      <c r="S718" s="6">
        <v>4821</v>
      </c>
      <c r="T718">
        <v>10077</v>
      </c>
      <c r="U718">
        <v>0</v>
      </c>
      <c r="V718" t="s">
        <v>39</v>
      </c>
      <c r="W718" t="s">
        <v>32</v>
      </c>
      <c r="X718">
        <v>12</v>
      </c>
      <c r="Y718">
        <v>3</v>
      </c>
      <c r="Z718">
        <v>3</v>
      </c>
      <c r="AA718">
        <v>80</v>
      </c>
      <c r="AB718">
        <v>1</v>
      </c>
      <c r="AC718">
        <v>6</v>
      </c>
      <c r="AD718">
        <v>4</v>
      </c>
      <c r="AE718">
        <v>3</v>
      </c>
      <c r="AF718">
        <v>5</v>
      </c>
      <c r="AG718">
        <v>2</v>
      </c>
      <c r="AH718">
        <v>0</v>
      </c>
      <c r="AI718">
        <v>3</v>
      </c>
    </row>
    <row r="719" spans="1:35" x14ac:dyDescent="0.3">
      <c r="A719">
        <v>36</v>
      </c>
      <c r="B719" t="s">
        <v>32</v>
      </c>
      <c r="C719" t="s">
        <v>33</v>
      </c>
      <c r="D719">
        <v>660</v>
      </c>
      <c r="E719" t="s">
        <v>42</v>
      </c>
      <c r="F719">
        <v>15</v>
      </c>
      <c r="G719">
        <v>3</v>
      </c>
      <c r="H719" t="s">
        <v>46</v>
      </c>
      <c r="I719">
        <v>1</v>
      </c>
      <c r="J719">
        <v>1052</v>
      </c>
      <c r="K719">
        <v>1</v>
      </c>
      <c r="L719" s="17" t="s">
        <v>43</v>
      </c>
      <c r="M719">
        <v>81</v>
      </c>
      <c r="N719">
        <v>3</v>
      </c>
      <c r="O719">
        <v>2</v>
      </c>
      <c r="P719" t="s">
        <v>47</v>
      </c>
      <c r="Q719">
        <v>3</v>
      </c>
      <c r="R719" t="s">
        <v>49</v>
      </c>
      <c r="S719" s="6">
        <v>4834</v>
      </c>
      <c r="T719">
        <v>7858</v>
      </c>
      <c r="U719">
        <v>7</v>
      </c>
      <c r="V719" t="s">
        <v>39</v>
      </c>
      <c r="W719" t="s">
        <v>40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9</v>
      </c>
      <c r="AD719">
        <v>3</v>
      </c>
      <c r="AE719">
        <v>2</v>
      </c>
      <c r="AF719">
        <v>1</v>
      </c>
      <c r="AG719">
        <v>0</v>
      </c>
      <c r="AH719">
        <v>0</v>
      </c>
      <c r="AI719">
        <v>0</v>
      </c>
    </row>
    <row r="720" spans="1:35" x14ac:dyDescent="0.3">
      <c r="A720">
        <v>42</v>
      </c>
      <c r="B720" t="s">
        <v>40</v>
      </c>
      <c r="C720" t="s">
        <v>33</v>
      </c>
      <c r="D720">
        <v>1210</v>
      </c>
      <c r="E720" t="s">
        <v>42</v>
      </c>
      <c r="F720">
        <v>2</v>
      </c>
      <c r="G720">
        <v>3</v>
      </c>
      <c r="H720" t="s">
        <v>48</v>
      </c>
      <c r="I720">
        <v>1</v>
      </c>
      <c r="J720">
        <v>1542</v>
      </c>
      <c r="K720">
        <v>3</v>
      </c>
      <c r="L720" s="17" t="s">
        <v>43</v>
      </c>
      <c r="M720">
        <v>68</v>
      </c>
      <c r="N720">
        <v>2</v>
      </c>
      <c r="O720">
        <v>1</v>
      </c>
      <c r="P720" t="s">
        <v>47</v>
      </c>
      <c r="Q720">
        <v>2</v>
      </c>
      <c r="R720" t="s">
        <v>45</v>
      </c>
      <c r="S720" s="6">
        <v>4841</v>
      </c>
      <c r="T720">
        <v>24052</v>
      </c>
      <c r="U720">
        <v>4</v>
      </c>
      <c r="V720" t="s">
        <v>39</v>
      </c>
      <c r="W720" t="s">
        <v>40</v>
      </c>
      <c r="X720">
        <v>14</v>
      </c>
      <c r="Y720">
        <v>3</v>
      </c>
      <c r="Z720">
        <v>2</v>
      </c>
      <c r="AA720">
        <v>80</v>
      </c>
      <c r="AB720">
        <v>1</v>
      </c>
      <c r="AC720">
        <v>4</v>
      </c>
      <c r="AD720">
        <v>3</v>
      </c>
      <c r="AE720">
        <v>3</v>
      </c>
      <c r="AF720">
        <v>1</v>
      </c>
      <c r="AG720">
        <v>0</v>
      </c>
      <c r="AH720">
        <v>0</v>
      </c>
      <c r="AI720">
        <v>0</v>
      </c>
    </row>
    <row r="721" spans="1:35" x14ac:dyDescent="0.3">
      <c r="A721">
        <v>45</v>
      </c>
      <c r="B721" t="s">
        <v>40</v>
      </c>
      <c r="C721" t="s">
        <v>33</v>
      </c>
      <c r="D721">
        <v>374</v>
      </c>
      <c r="E721" t="s">
        <v>34</v>
      </c>
      <c r="F721">
        <v>20</v>
      </c>
      <c r="G721">
        <v>3</v>
      </c>
      <c r="H721" t="s">
        <v>35</v>
      </c>
      <c r="I721">
        <v>1</v>
      </c>
      <c r="J721">
        <v>2046</v>
      </c>
      <c r="K721">
        <v>4</v>
      </c>
      <c r="L721" s="17" t="s">
        <v>36</v>
      </c>
      <c r="M721">
        <v>50</v>
      </c>
      <c r="N721">
        <v>3</v>
      </c>
      <c r="O721">
        <v>2</v>
      </c>
      <c r="P721" t="s">
        <v>37</v>
      </c>
      <c r="Q721">
        <v>3</v>
      </c>
      <c r="R721" t="s">
        <v>38</v>
      </c>
      <c r="S721" s="6">
        <v>4850</v>
      </c>
      <c r="T721">
        <v>23333</v>
      </c>
      <c r="U721">
        <v>8</v>
      </c>
      <c r="V721" t="s">
        <v>39</v>
      </c>
      <c r="W721" t="s">
        <v>40</v>
      </c>
      <c r="X721">
        <v>15</v>
      </c>
      <c r="Y721">
        <v>3</v>
      </c>
      <c r="Z721">
        <v>3</v>
      </c>
      <c r="AA721">
        <v>80</v>
      </c>
      <c r="AB721">
        <v>0</v>
      </c>
      <c r="AC721">
        <v>8</v>
      </c>
      <c r="AD721">
        <v>3</v>
      </c>
      <c r="AE721">
        <v>3</v>
      </c>
      <c r="AF721">
        <v>5</v>
      </c>
      <c r="AG721">
        <v>3</v>
      </c>
      <c r="AH721">
        <v>0</v>
      </c>
      <c r="AI721">
        <v>1</v>
      </c>
    </row>
    <row r="722" spans="1:35" x14ac:dyDescent="0.3">
      <c r="A722">
        <v>25</v>
      </c>
      <c r="B722" t="s">
        <v>40</v>
      </c>
      <c r="C722" t="s">
        <v>33</v>
      </c>
      <c r="D722">
        <v>810</v>
      </c>
      <c r="E722" t="s">
        <v>34</v>
      </c>
      <c r="F722">
        <v>8</v>
      </c>
      <c r="G722">
        <v>3</v>
      </c>
      <c r="H722" t="s">
        <v>35</v>
      </c>
      <c r="I722">
        <v>1</v>
      </c>
      <c r="J722">
        <v>707</v>
      </c>
      <c r="K722">
        <v>4</v>
      </c>
      <c r="L722" s="17" t="s">
        <v>43</v>
      </c>
      <c r="M722">
        <v>57</v>
      </c>
      <c r="N722">
        <v>4</v>
      </c>
      <c r="O722">
        <v>2</v>
      </c>
      <c r="P722" t="s">
        <v>37</v>
      </c>
      <c r="Q722">
        <v>2</v>
      </c>
      <c r="R722" t="s">
        <v>45</v>
      </c>
      <c r="S722" s="6">
        <v>4851</v>
      </c>
      <c r="T722">
        <v>15678</v>
      </c>
      <c r="U722">
        <v>0</v>
      </c>
      <c r="V722" t="s">
        <v>39</v>
      </c>
      <c r="W722" t="s">
        <v>40</v>
      </c>
      <c r="X722">
        <v>22</v>
      </c>
      <c r="Y722">
        <v>4</v>
      </c>
      <c r="Z722">
        <v>3</v>
      </c>
      <c r="AA722">
        <v>80</v>
      </c>
      <c r="AB722">
        <v>1</v>
      </c>
      <c r="AC722">
        <v>4</v>
      </c>
      <c r="AD722">
        <v>4</v>
      </c>
      <c r="AE722">
        <v>3</v>
      </c>
      <c r="AF722">
        <v>3</v>
      </c>
      <c r="AG722">
        <v>2</v>
      </c>
      <c r="AH722">
        <v>1</v>
      </c>
      <c r="AI722">
        <v>2</v>
      </c>
    </row>
    <row r="723" spans="1:35" x14ac:dyDescent="0.3">
      <c r="A723">
        <v>38</v>
      </c>
      <c r="B723" t="s">
        <v>32</v>
      </c>
      <c r="C723" t="s">
        <v>33</v>
      </c>
      <c r="D723">
        <v>903</v>
      </c>
      <c r="E723" t="s">
        <v>42</v>
      </c>
      <c r="F723">
        <v>2</v>
      </c>
      <c r="G723">
        <v>3</v>
      </c>
      <c r="H723" t="s">
        <v>48</v>
      </c>
      <c r="I723">
        <v>1</v>
      </c>
      <c r="J723">
        <v>1573</v>
      </c>
      <c r="K723">
        <v>3</v>
      </c>
      <c r="L723" s="17" t="s">
        <v>43</v>
      </c>
      <c r="M723">
        <v>81</v>
      </c>
      <c r="N723">
        <v>3</v>
      </c>
      <c r="O723">
        <v>2</v>
      </c>
      <c r="P723" t="s">
        <v>50</v>
      </c>
      <c r="Q723">
        <v>2</v>
      </c>
      <c r="R723" t="s">
        <v>45</v>
      </c>
      <c r="S723" s="6">
        <v>4855</v>
      </c>
      <c r="T723">
        <v>7653</v>
      </c>
      <c r="U723">
        <v>4</v>
      </c>
      <c r="V723" t="s">
        <v>39</v>
      </c>
      <c r="W723" t="s">
        <v>40</v>
      </c>
      <c r="X723">
        <v>11</v>
      </c>
      <c r="Y723">
        <v>3</v>
      </c>
      <c r="Z723">
        <v>1</v>
      </c>
      <c r="AA723">
        <v>80</v>
      </c>
      <c r="AB723">
        <v>2</v>
      </c>
      <c r="AC723">
        <v>7</v>
      </c>
      <c r="AD723">
        <v>2</v>
      </c>
      <c r="AE723">
        <v>3</v>
      </c>
      <c r="AF723">
        <v>5</v>
      </c>
      <c r="AG723">
        <v>2</v>
      </c>
      <c r="AH723">
        <v>1</v>
      </c>
      <c r="AI723">
        <v>4</v>
      </c>
    </row>
    <row r="724" spans="1:35" x14ac:dyDescent="0.3">
      <c r="A724">
        <v>35</v>
      </c>
      <c r="B724" t="s">
        <v>40</v>
      </c>
      <c r="C724" t="s">
        <v>33</v>
      </c>
      <c r="D724">
        <v>195</v>
      </c>
      <c r="E724" t="s">
        <v>34</v>
      </c>
      <c r="F724">
        <v>1</v>
      </c>
      <c r="G724">
        <v>3</v>
      </c>
      <c r="H724" t="s">
        <v>48</v>
      </c>
      <c r="I724">
        <v>1</v>
      </c>
      <c r="J724">
        <v>620</v>
      </c>
      <c r="K724">
        <v>1</v>
      </c>
      <c r="L724" s="17" t="s">
        <v>36</v>
      </c>
      <c r="M724">
        <v>80</v>
      </c>
      <c r="N724">
        <v>3</v>
      </c>
      <c r="O724">
        <v>2</v>
      </c>
      <c r="P724" t="s">
        <v>37</v>
      </c>
      <c r="Q724">
        <v>3</v>
      </c>
      <c r="R724" t="s">
        <v>38</v>
      </c>
      <c r="S724" s="6">
        <v>4859</v>
      </c>
      <c r="T724">
        <v>6698</v>
      </c>
      <c r="U724">
        <v>1</v>
      </c>
      <c r="V724" t="s">
        <v>39</v>
      </c>
      <c r="W724" t="s">
        <v>40</v>
      </c>
      <c r="X724">
        <v>16</v>
      </c>
      <c r="Y724">
        <v>3</v>
      </c>
      <c r="Z724">
        <v>4</v>
      </c>
      <c r="AA724">
        <v>80</v>
      </c>
      <c r="AB724">
        <v>0</v>
      </c>
      <c r="AC724">
        <v>5</v>
      </c>
      <c r="AD724">
        <v>3</v>
      </c>
      <c r="AE724">
        <v>3</v>
      </c>
      <c r="AF724">
        <v>5</v>
      </c>
      <c r="AG724">
        <v>4</v>
      </c>
      <c r="AH724">
        <v>0</v>
      </c>
      <c r="AI724">
        <v>3</v>
      </c>
    </row>
    <row r="725" spans="1:35" x14ac:dyDescent="0.3">
      <c r="A725">
        <v>54</v>
      </c>
      <c r="B725" t="s">
        <v>40</v>
      </c>
      <c r="C725" t="s">
        <v>41</v>
      </c>
      <c r="D725">
        <v>928</v>
      </c>
      <c r="E725" t="s">
        <v>42</v>
      </c>
      <c r="F725">
        <v>20</v>
      </c>
      <c r="G725">
        <v>4</v>
      </c>
      <c r="H725" t="s">
        <v>35</v>
      </c>
      <c r="I725">
        <v>1</v>
      </c>
      <c r="J725">
        <v>450</v>
      </c>
      <c r="K725">
        <v>4</v>
      </c>
      <c r="L725" s="17" t="s">
        <v>36</v>
      </c>
      <c r="M725">
        <v>31</v>
      </c>
      <c r="N725">
        <v>3</v>
      </c>
      <c r="O725">
        <v>2</v>
      </c>
      <c r="P725" t="s">
        <v>44</v>
      </c>
      <c r="Q725">
        <v>3</v>
      </c>
      <c r="R725" t="s">
        <v>38</v>
      </c>
      <c r="S725" s="6">
        <v>4869</v>
      </c>
      <c r="T725">
        <v>16885</v>
      </c>
      <c r="U725">
        <v>3</v>
      </c>
      <c r="V725" t="s">
        <v>39</v>
      </c>
      <c r="W725" t="s">
        <v>40</v>
      </c>
      <c r="X725">
        <v>12</v>
      </c>
      <c r="Y725">
        <v>3</v>
      </c>
      <c r="Z725">
        <v>4</v>
      </c>
      <c r="AA725">
        <v>80</v>
      </c>
      <c r="AB725">
        <v>0</v>
      </c>
      <c r="AC725">
        <v>20</v>
      </c>
      <c r="AD725">
        <v>4</v>
      </c>
      <c r="AE725">
        <v>2</v>
      </c>
      <c r="AF725">
        <v>4</v>
      </c>
      <c r="AG725">
        <v>3</v>
      </c>
      <c r="AH725">
        <v>0</v>
      </c>
      <c r="AI725">
        <v>3</v>
      </c>
    </row>
    <row r="726" spans="1:35" x14ac:dyDescent="0.3">
      <c r="A726">
        <v>40</v>
      </c>
      <c r="B726" t="s">
        <v>40</v>
      </c>
      <c r="C726" t="s">
        <v>52</v>
      </c>
      <c r="D726">
        <v>1151</v>
      </c>
      <c r="E726" t="s">
        <v>42</v>
      </c>
      <c r="F726">
        <v>9</v>
      </c>
      <c r="G726">
        <v>5</v>
      </c>
      <c r="H726" t="s">
        <v>35</v>
      </c>
      <c r="I726">
        <v>1</v>
      </c>
      <c r="J726">
        <v>287</v>
      </c>
      <c r="K726">
        <v>4</v>
      </c>
      <c r="L726" s="17" t="s">
        <v>43</v>
      </c>
      <c r="M726">
        <v>63</v>
      </c>
      <c r="N726">
        <v>2</v>
      </c>
      <c r="O726">
        <v>2</v>
      </c>
      <c r="P726" t="s">
        <v>51</v>
      </c>
      <c r="Q726">
        <v>4</v>
      </c>
      <c r="R726" t="s">
        <v>45</v>
      </c>
      <c r="S726" s="6">
        <v>4876</v>
      </c>
      <c r="T726">
        <v>14242</v>
      </c>
      <c r="U726">
        <v>9</v>
      </c>
      <c r="V726" t="s">
        <v>39</v>
      </c>
      <c r="W726" t="s">
        <v>40</v>
      </c>
      <c r="X726">
        <v>14</v>
      </c>
      <c r="Y726">
        <v>3</v>
      </c>
      <c r="Z726">
        <v>4</v>
      </c>
      <c r="AA726">
        <v>80</v>
      </c>
      <c r="AB726">
        <v>1</v>
      </c>
      <c r="AC726">
        <v>5</v>
      </c>
      <c r="AD726">
        <v>5</v>
      </c>
      <c r="AE726">
        <v>1</v>
      </c>
      <c r="AF726">
        <v>3</v>
      </c>
      <c r="AG726">
        <v>2</v>
      </c>
      <c r="AH726">
        <v>0</v>
      </c>
      <c r="AI726">
        <v>2</v>
      </c>
    </row>
    <row r="727" spans="1:35" x14ac:dyDescent="0.3">
      <c r="A727">
        <v>43</v>
      </c>
      <c r="B727" t="s">
        <v>40</v>
      </c>
      <c r="C727" t="s">
        <v>33</v>
      </c>
      <c r="D727">
        <v>990</v>
      </c>
      <c r="E727" t="s">
        <v>42</v>
      </c>
      <c r="F727">
        <v>27</v>
      </c>
      <c r="G727">
        <v>3</v>
      </c>
      <c r="H727" t="s">
        <v>57</v>
      </c>
      <c r="I727">
        <v>1</v>
      </c>
      <c r="J727">
        <v>1599</v>
      </c>
      <c r="K727">
        <v>4</v>
      </c>
      <c r="L727" s="17" t="s">
        <v>43</v>
      </c>
      <c r="M727">
        <v>87</v>
      </c>
      <c r="N727">
        <v>4</v>
      </c>
      <c r="O727">
        <v>1</v>
      </c>
      <c r="P727" t="s">
        <v>47</v>
      </c>
      <c r="Q727">
        <v>2</v>
      </c>
      <c r="R727" t="s">
        <v>49</v>
      </c>
      <c r="S727" s="6">
        <v>4876</v>
      </c>
      <c r="T727">
        <v>5855</v>
      </c>
      <c r="U727">
        <v>5</v>
      </c>
      <c r="V727" t="s">
        <v>39</v>
      </c>
      <c r="W727" t="s">
        <v>40</v>
      </c>
      <c r="X727">
        <v>12</v>
      </c>
      <c r="Y727">
        <v>3</v>
      </c>
      <c r="Z727">
        <v>3</v>
      </c>
      <c r="AA727">
        <v>80</v>
      </c>
      <c r="AB727">
        <v>1</v>
      </c>
      <c r="AC727">
        <v>8</v>
      </c>
      <c r="AD727">
        <v>0</v>
      </c>
      <c r="AE727">
        <v>3</v>
      </c>
      <c r="AF727">
        <v>6</v>
      </c>
      <c r="AG727">
        <v>4</v>
      </c>
      <c r="AH727">
        <v>0</v>
      </c>
      <c r="AI727">
        <v>2</v>
      </c>
    </row>
    <row r="728" spans="1:35" x14ac:dyDescent="0.3">
      <c r="A728">
        <v>28</v>
      </c>
      <c r="B728" t="s">
        <v>40</v>
      </c>
      <c r="C728" t="s">
        <v>33</v>
      </c>
      <c r="D728">
        <v>580</v>
      </c>
      <c r="E728" t="s">
        <v>42</v>
      </c>
      <c r="F728">
        <v>27</v>
      </c>
      <c r="G728">
        <v>3</v>
      </c>
      <c r="H728" t="s">
        <v>48</v>
      </c>
      <c r="I728">
        <v>1</v>
      </c>
      <c r="J728">
        <v>1622</v>
      </c>
      <c r="K728">
        <v>2</v>
      </c>
      <c r="L728" s="17" t="s">
        <v>36</v>
      </c>
      <c r="M728">
        <v>39</v>
      </c>
      <c r="N728">
        <v>1</v>
      </c>
      <c r="O728">
        <v>2</v>
      </c>
      <c r="P728" t="s">
        <v>50</v>
      </c>
      <c r="Q728">
        <v>1</v>
      </c>
      <c r="R728" t="s">
        <v>49</v>
      </c>
      <c r="S728" s="6">
        <v>4877</v>
      </c>
      <c r="T728">
        <v>20460</v>
      </c>
      <c r="U728">
        <v>0</v>
      </c>
      <c r="V728" t="s">
        <v>39</v>
      </c>
      <c r="W728" t="s">
        <v>40</v>
      </c>
      <c r="X728">
        <v>21</v>
      </c>
      <c r="Y728">
        <v>4</v>
      </c>
      <c r="Z728">
        <v>2</v>
      </c>
      <c r="AA728">
        <v>80</v>
      </c>
      <c r="AB728">
        <v>1</v>
      </c>
      <c r="AC728">
        <v>6</v>
      </c>
      <c r="AD728">
        <v>5</v>
      </c>
      <c r="AE728">
        <v>2</v>
      </c>
      <c r="AF728">
        <v>5</v>
      </c>
      <c r="AG728">
        <v>3</v>
      </c>
      <c r="AH728">
        <v>0</v>
      </c>
      <c r="AI728">
        <v>0</v>
      </c>
    </row>
    <row r="729" spans="1:35" x14ac:dyDescent="0.3">
      <c r="A729">
        <v>33</v>
      </c>
      <c r="B729" t="s">
        <v>40</v>
      </c>
      <c r="C729" t="s">
        <v>33</v>
      </c>
      <c r="D729">
        <v>501</v>
      </c>
      <c r="E729" t="s">
        <v>42</v>
      </c>
      <c r="F729">
        <v>15</v>
      </c>
      <c r="G729">
        <v>2</v>
      </c>
      <c r="H729" t="s">
        <v>48</v>
      </c>
      <c r="I729">
        <v>1</v>
      </c>
      <c r="J729">
        <v>2009</v>
      </c>
      <c r="K729">
        <v>2</v>
      </c>
      <c r="L729" s="17" t="s">
        <v>36</v>
      </c>
      <c r="M729">
        <v>95</v>
      </c>
      <c r="N729">
        <v>3</v>
      </c>
      <c r="O729">
        <v>2</v>
      </c>
      <c r="P729" t="s">
        <v>51</v>
      </c>
      <c r="Q729">
        <v>4</v>
      </c>
      <c r="R729" t="s">
        <v>45</v>
      </c>
      <c r="S729" s="6">
        <v>4878</v>
      </c>
      <c r="T729">
        <v>21653</v>
      </c>
      <c r="U729">
        <v>0</v>
      </c>
      <c r="V729" t="s">
        <v>39</v>
      </c>
      <c r="W729" t="s">
        <v>32</v>
      </c>
      <c r="X729">
        <v>13</v>
      </c>
      <c r="Y729">
        <v>3</v>
      </c>
      <c r="Z729">
        <v>1</v>
      </c>
      <c r="AA729">
        <v>80</v>
      </c>
      <c r="AB729">
        <v>1</v>
      </c>
      <c r="AC729">
        <v>10</v>
      </c>
      <c r="AD729">
        <v>6</v>
      </c>
      <c r="AE729">
        <v>3</v>
      </c>
      <c r="AF729">
        <v>9</v>
      </c>
      <c r="AG729">
        <v>7</v>
      </c>
      <c r="AH729">
        <v>8</v>
      </c>
      <c r="AI729">
        <v>1</v>
      </c>
    </row>
    <row r="730" spans="1:35" x14ac:dyDescent="0.3">
      <c r="A730">
        <v>32</v>
      </c>
      <c r="B730" t="s">
        <v>32</v>
      </c>
      <c r="C730" t="s">
        <v>33</v>
      </c>
      <c r="D730">
        <v>1089</v>
      </c>
      <c r="E730" t="s">
        <v>42</v>
      </c>
      <c r="F730">
        <v>7</v>
      </c>
      <c r="G730">
        <v>2</v>
      </c>
      <c r="H730" t="s">
        <v>35</v>
      </c>
      <c r="I730">
        <v>1</v>
      </c>
      <c r="J730">
        <v>1309</v>
      </c>
      <c r="K730">
        <v>4</v>
      </c>
      <c r="L730" s="17" t="s">
        <v>43</v>
      </c>
      <c r="M730">
        <v>79</v>
      </c>
      <c r="N730">
        <v>3</v>
      </c>
      <c r="O730">
        <v>2</v>
      </c>
      <c r="P730" t="s">
        <v>47</v>
      </c>
      <c r="Q730">
        <v>3</v>
      </c>
      <c r="R730" t="s">
        <v>45</v>
      </c>
      <c r="S730" s="6">
        <v>4883</v>
      </c>
      <c r="T730">
        <v>22845</v>
      </c>
      <c r="U730">
        <v>1</v>
      </c>
      <c r="V730" t="s">
        <v>39</v>
      </c>
      <c r="W730" t="s">
        <v>40</v>
      </c>
      <c r="X730">
        <v>18</v>
      </c>
      <c r="Y730">
        <v>3</v>
      </c>
      <c r="Z730">
        <v>1</v>
      </c>
      <c r="AA730">
        <v>80</v>
      </c>
      <c r="AB730">
        <v>1</v>
      </c>
      <c r="AC730">
        <v>10</v>
      </c>
      <c r="AD730">
        <v>3</v>
      </c>
      <c r="AE730">
        <v>3</v>
      </c>
      <c r="AF730">
        <v>10</v>
      </c>
      <c r="AG730">
        <v>4</v>
      </c>
      <c r="AH730">
        <v>1</v>
      </c>
      <c r="AI730">
        <v>1</v>
      </c>
    </row>
    <row r="731" spans="1:35" x14ac:dyDescent="0.3">
      <c r="A731">
        <v>25</v>
      </c>
      <c r="B731" t="s">
        <v>40</v>
      </c>
      <c r="C731" t="s">
        <v>33</v>
      </c>
      <c r="D731">
        <v>685</v>
      </c>
      <c r="E731" t="s">
        <v>42</v>
      </c>
      <c r="F731">
        <v>1</v>
      </c>
      <c r="G731">
        <v>3</v>
      </c>
      <c r="H731" t="s">
        <v>35</v>
      </c>
      <c r="I731">
        <v>1</v>
      </c>
      <c r="J731">
        <v>350</v>
      </c>
      <c r="K731">
        <v>1</v>
      </c>
      <c r="L731" s="17" t="s">
        <v>36</v>
      </c>
      <c r="M731">
        <v>62</v>
      </c>
      <c r="N731">
        <v>3</v>
      </c>
      <c r="O731">
        <v>2</v>
      </c>
      <c r="P731" t="s">
        <v>50</v>
      </c>
      <c r="Q731">
        <v>3</v>
      </c>
      <c r="R731" t="s">
        <v>45</v>
      </c>
      <c r="S731" s="6">
        <v>4898</v>
      </c>
      <c r="T731">
        <v>7505</v>
      </c>
      <c r="U731">
        <v>0</v>
      </c>
      <c r="V731" t="s">
        <v>39</v>
      </c>
      <c r="W731" t="s">
        <v>40</v>
      </c>
      <c r="X731">
        <v>12</v>
      </c>
      <c r="Y731">
        <v>3</v>
      </c>
      <c r="Z731">
        <v>4</v>
      </c>
      <c r="AA731">
        <v>80</v>
      </c>
      <c r="AB731">
        <v>2</v>
      </c>
      <c r="AC731">
        <v>5</v>
      </c>
      <c r="AD731">
        <v>3</v>
      </c>
      <c r="AE731">
        <v>3</v>
      </c>
      <c r="AF731">
        <v>4</v>
      </c>
      <c r="AG731">
        <v>2</v>
      </c>
      <c r="AH731">
        <v>1</v>
      </c>
      <c r="AI731">
        <v>2</v>
      </c>
    </row>
    <row r="732" spans="1:35" x14ac:dyDescent="0.3">
      <c r="A732">
        <v>28</v>
      </c>
      <c r="B732" t="s">
        <v>40</v>
      </c>
      <c r="C732" t="s">
        <v>41</v>
      </c>
      <c r="D732">
        <v>467</v>
      </c>
      <c r="E732" t="s">
        <v>34</v>
      </c>
      <c r="F732">
        <v>7</v>
      </c>
      <c r="G732">
        <v>3</v>
      </c>
      <c r="H732" t="s">
        <v>35</v>
      </c>
      <c r="I732">
        <v>1</v>
      </c>
      <c r="J732">
        <v>1507</v>
      </c>
      <c r="K732">
        <v>3</v>
      </c>
      <c r="L732" s="17" t="s">
        <v>43</v>
      </c>
      <c r="M732">
        <v>55</v>
      </c>
      <c r="N732">
        <v>3</v>
      </c>
      <c r="O732">
        <v>2</v>
      </c>
      <c r="P732" t="s">
        <v>37</v>
      </c>
      <c r="Q732">
        <v>1</v>
      </c>
      <c r="R732" t="s">
        <v>38</v>
      </c>
      <c r="S732" s="6">
        <v>4898</v>
      </c>
      <c r="T732">
        <v>11827</v>
      </c>
      <c r="U732">
        <v>0</v>
      </c>
      <c r="V732" t="s">
        <v>39</v>
      </c>
      <c r="W732" t="s">
        <v>40</v>
      </c>
      <c r="X732">
        <v>14</v>
      </c>
      <c r="Y732">
        <v>3</v>
      </c>
      <c r="Z732">
        <v>4</v>
      </c>
      <c r="AA732">
        <v>80</v>
      </c>
      <c r="AB732">
        <v>0</v>
      </c>
      <c r="AC732">
        <v>5</v>
      </c>
      <c r="AD732">
        <v>5</v>
      </c>
      <c r="AE732">
        <v>3</v>
      </c>
      <c r="AF732">
        <v>4</v>
      </c>
      <c r="AG732">
        <v>2</v>
      </c>
      <c r="AH732">
        <v>1</v>
      </c>
      <c r="AI732">
        <v>3</v>
      </c>
    </row>
    <row r="733" spans="1:35" x14ac:dyDescent="0.3">
      <c r="A733">
        <v>57</v>
      </c>
      <c r="B733" t="s">
        <v>40</v>
      </c>
      <c r="C733" t="s">
        <v>33</v>
      </c>
      <c r="D733">
        <v>405</v>
      </c>
      <c r="E733" t="s">
        <v>42</v>
      </c>
      <c r="F733">
        <v>1</v>
      </c>
      <c r="G733">
        <v>2</v>
      </c>
      <c r="H733" t="s">
        <v>35</v>
      </c>
      <c r="I733">
        <v>1</v>
      </c>
      <c r="J733">
        <v>1483</v>
      </c>
      <c r="K733">
        <v>2</v>
      </c>
      <c r="L733" s="17" t="s">
        <v>43</v>
      </c>
      <c r="M733">
        <v>93</v>
      </c>
      <c r="N733">
        <v>4</v>
      </c>
      <c r="O733">
        <v>2</v>
      </c>
      <c r="P733" t="s">
        <v>44</v>
      </c>
      <c r="Q733">
        <v>3</v>
      </c>
      <c r="R733" t="s">
        <v>45</v>
      </c>
      <c r="S733" s="6">
        <v>4900</v>
      </c>
      <c r="T733">
        <v>2721</v>
      </c>
      <c r="U733">
        <v>0</v>
      </c>
      <c r="V733" t="s">
        <v>39</v>
      </c>
      <c r="W733" t="s">
        <v>40</v>
      </c>
      <c r="X733">
        <v>24</v>
      </c>
      <c r="Y733">
        <v>4</v>
      </c>
      <c r="Z733">
        <v>1</v>
      </c>
      <c r="AA733">
        <v>80</v>
      </c>
      <c r="AB733">
        <v>1</v>
      </c>
      <c r="AC733">
        <v>13</v>
      </c>
      <c r="AD733">
        <v>2</v>
      </c>
      <c r="AE733">
        <v>2</v>
      </c>
      <c r="AF733">
        <v>12</v>
      </c>
      <c r="AG733">
        <v>9</v>
      </c>
      <c r="AH733">
        <v>2</v>
      </c>
      <c r="AI733">
        <v>8</v>
      </c>
    </row>
    <row r="734" spans="1:35" x14ac:dyDescent="0.3">
      <c r="A734">
        <v>42</v>
      </c>
      <c r="B734" t="s">
        <v>40</v>
      </c>
      <c r="C734" t="s">
        <v>33</v>
      </c>
      <c r="D734">
        <v>635</v>
      </c>
      <c r="E734" t="s">
        <v>34</v>
      </c>
      <c r="F734">
        <v>1</v>
      </c>
      <c r="G734">
        <v>1</v>
      </c>
      <c r="H734" t="s">
        <v>35</v>
      </c>
      <c r="I734">
        <v>1</v>
      </c>
      <c r="J734">
        <v>387</v>
      </c>
      <c r="K734">
        <v>2</v>
      </c>
      <c r="L734" s="17" t="s">
        <v>43</v>
      </c>
      <c r="M734">
        <v>99</v>
      </c>
      <c r="N734">
        <v>3</v>
      </c>
      <c r="O734">
        <v>2</v>
      </c>
      <c r="P734" t="s">
        <v>37</v>
      </c>
      <c r="Q734">
        <v>3</v>
      </c>
      <c r="R734" t="s">
        <v>45</v>
      </c>
      <c r="S734" s="6">
        <v>4907</v>
      </c>
      <c r="T734">
        <v>24532</v>
      </c>
      <c r="U734">
        <v>1</v>
      </c>
      <c r="V734" t="s">
        <v>39</v>
      </c>
      <c r="W734" t="s">
        <v>40</v>
      </c>
      <c r="X734">
        <v>25</v>
      </c>
      <c r="Y734">
        <v>4</v>
      </c>
      <c r="Z734">
        <v>3</v>
      </c>
      <c r="AA734">
        <v>80</v>
      </c>
      <c r="AB734">
        <v>0</v>
      </c>
      <c r="AC734">
        <v>20</v>
      </c>
      <c r="AD734">
        <v>3</v>
      </c>
      <c r="AE734">
        <v>3</v>
      </c>
      <c r="AF734">
        <v>20</v>
      </c>
      <c r="AG734">
        <v>16</v>
      </c>
      <c r="AH734">
        <v>11</v>
      </c>
      <c r="AI734">
        <v>6</v>
      </c>
    </row>
    <row r="735" spans="1:35" x14ac:dyDescent="0.3">
      <c r="A735">
        <v>25</v>
      </c>
      <c r="B735" t="s">
        <v>40</v>
      </c>
      <c r="C735" t="s">
        <v>33</v>
      </c>
      <c r="D735">
        <v>1382</v>
      </c>
      <c r="E735" t="s">
        <v>34</v>
      </c>
      <c r="F735">
        <v>8</v>
      </c>
      <c r="G735">
        <v>2</v>
      </c>
      <c r="H735" t="s">
        <v>46</v>
      </c>
      <c r="I735">
        <v>1</v>
      </c>
      <c r="J735">
        <v>2018</v>
      </c>
      <c r="K735">
        <v>1</v>
      </c>
      <c r="L735" s="17" t="s">
        <v>36</v>
      </c>
      <c r="M735">
        <v>85</v>
      </c>
      <c r="N735">
        <v>3</v>
      </c>
      <c r="O735">
        <v>2</v>
      </c>
      <c r="P735" t="s">
        <v>37</v>
      </c>
      <c r="Q735">
        <v>3</v>
      </c>
      <c r="R735" t="s">
        <v>49</v>
      </c>
      <c r="S735" s="6">
        <v>4907</v>
      </c>
      <c r="T735">
        <v>13684</v>
      </c>
      <c r="U735">
        <v>0</v>
      </c>
      <c r="V735" t="s">
        <v>39</v>
      </c>
      <c r="W735" t="s">
        <v>32</v>
      </c>
      <c r="X735">
        <v>22</v>
      </c>
      <c r="Y735">
        <v>4</v>
      </c>
      <c r="Z735">
        <v>2</v>
      </c>
      <c r="AA735">
        <v>80</v>
      </c>
      <c r="AB735">
        <v>1</v>
      </c>
      <c r="AC735">
        <v>6</v>
      </c>
      <c r="AD735">
        <v>3</v>
      </c>
      <c r="AE735">
        <v>2</v>
      </c>
      <c r="AF735">
        <v>5</v>
      </c>
      <c r="AG735">
        <v>3</v>
      </c>
      <c r="AH735">
        <v>0</v>
      </c>
      <c r="AI735">
        <v>4</v>
      </c>
    </row>
    <row r="736" spans="1:35" x14ac:dyDescent="0.3">
      <c r="A736">
        <v>28</v>
      </c>
      <c r="B736" t="s">
        <v>40</v>
      </c>
      <c r="C736" t="s">
        <v>33</v>
      </c>
      <c r="D736">
        <v>821</v>
      </c>
      <c r="E736" t="s">
        <v>34</v>
      </c>
      <c r="F736">
        <v>5</v>
      </c>
      <c r="G736">
        <v>4</v>
      </c>
      <c r="H736" t="s">
        <v>48</v>
      </c>
      <c r="I736">
        <v>1</v>
      </c>
      <c r="J736">
        <v>916</v>
      </c>
      <c r="K736">
        <v>1</v>
      </c>
      <c r="L736" s="17" t="s">
        <v>43</v>
      </c>
      <c r="M736">
        <v>98</v>
      </c>
      <c r="N736">
        <v>3</v>
      </c>
      <c r="O736">
        <v>2</v>
      </c>
      <c r="P736" t="s">
        <v>37</v>
      </c>
      <c r="Q736">
        <v>4</v>
      </c>
      <c r="R736" t="s">
        <v>38</v>
      </c>
      <c r="S736" s="6">
        <v>4908</v>
      </c>
      <c r="T736">
        <v>24252</v>
      </c>
      <c r="U736">
        <v>1</v>
      </c>
      <c r="V736" t="s">
        <v>39</v>
      </c>
      <c r="W736" t="s">
        <v>40</v>
      </c>
      <c r="X736">
        <v>14</v>
      </c>
      <c r="Y736">
        <v>3</v>
      </c>
      <c r="Z736">
        <v>2</v>
      </c>
      <c r="AA736">
        <v>80</v>
      </c>
      <c r="AB736">
        <v>0</v>
      </c>
      <c r="AC736">
        <v>4</v>
      </c>
      <c r="AD736">
        <v>3</v>
      </c>
      <c r="AE736">
        <v>3</v>
      </c>
      <c r="AF736">
        <v>4</v>
      </c>
      <c r="AG736">
        <v>2</v>
      </c>
      <c r="AH736">
        <v>0</v>
      </c>
      <c r="AI736">
        <v>2</v>
      </c>
    </row>
    <row r="737" spans="1:35" x14ac:dyDescent="0.3">
      <c r="A737">
        <v>35</v>
      </c>
      <c r="B737" t="s">
        <v>40</v>
      </c>
      <c r="C737" t="s">
        <v>41</v>
      </c>
      <c r="D737">
        <v>146</v>
      </c>
      <c r="E737" t="s">
        <v>42</v>
      </c>
      <c r="F737">
        <v>2</v>
      </c>
      <c r="G737">
        <v>4</v>
      </c>
      <c r="H737" t="s">
        <v>48</v>
      </c>
      <c r="I737">
        <v>1</v>
      </c>
      <c r="J737">
        <v>1704</v>
      </c>
      <c r="K737">
        <v>1</v>
      </c>
      <c r="L737" s="17" t="s">
        <v>43</v>
      </c>
      <c r="M737">
        <v>79</v>
      </c>
      <c r="N737">
        <v>2</v>
      </c>
      <c r="O737">
        <v>1</v>
      </c>
      <c r="P737" t="s">
        <v>44</v>
      </c>
      <c r="Q737">
        <v>4</v>
      </c>
      <c r="R737" t="s">
        <v>38</v>
      </c>
      <c r="S737" s="6">
        <v>4930</v>
      </c>
      <c r="T737">
        <v>13970</v>
      </c>
      <c r="U737">
        <v>0</v>
      </c>
      <c r="V737" t="s">
        <v>39</v>
      </c>
      <c r="W737" t="s">
        <v>32</v>
      </c>
      <c r="X737">
        <v>14</v>
      </c>
      <c r="Y737">
        <v>3</v>
      </c>
      <c r="Z737">
        <v>3</v>
      </c>
      <c r="AA737">
        <v>80</v>
      </c>
      <c r="AB737">
        <v>0</v>
      </c>
      <c r="AC737">
        <v>6</v>
      </c>
      <c r="AD737">
        <v>2</v>
      </c>
      <c r="AE737">
        <v>4</v>
      </c>
      <c r="AF737">
        <v>5</v>
      </c>
      <c r="AG737">
        <v>4</v>
      </c>
      <c r="AH737">
        <v>1</v>
      </c>
      <c r="AI737">
        <v>4</v>
      </c>
    </row>
    <row r="738" spans="1:35" x14ac:dyDescent="0.3">
      <c r="A738">
        <v>51</v>
      </c>
      <c r="B738" t="s">
        <v>40</v>
      </c>
      <c r="C738" t="s">
        <v>33</v>
      </c>
      <c r="D738">
        <v>1178</v>
      </c>
      <c r="E738" t="s">
        <v>34</v>
      </c>
      <c r="F738">
        <v>14</v>
      </c>
      <c r="G738">
        <v>2</v>
      </c>
      <c r="H738" t="s">
        <v>35</v>
      </c>
      <c r="I738">
        <v>1</v>
      </c>
      <c r="J738">
        <v>500</v>
      </c>
      <c r="K738">
        <v>3</v>
      </c>
      <c r="L738" s="17" t="s">
        <v>36</v>
      </c>
      <c r="M738">
        <v>87</v>
      </c>
      <c r="N738">
        <v>3</v>
      </c>
      <c r="O738">
        <v>2</v>
      </c>
      <c r="P738" t="s">
        <v>37</v>
      </c>
      <c r="Q738">
        <v>4</v>
      </c>
      <c r="R738" t="s">
        <v>45</v>
      </c>
      <c r="S738" s="6">
        <v>4936</v>
      </c>
      <c r="T738">
        <v>14862</v>
      </c>
      <c r="U738">
        <v>4</v>
      </c>
      <c r="V738" t="s">
        <v>39</v>
      </c>
      <c r="W738" t="s">
        <v>40</v>
      </c>
      <c r="X738">
        <v>11</v>
      </c>
      <c r="Y738">
        <v>3</v>
      </c>
      <c r="Z738">
        <v>3</v>
      </c>
      <c r="AA738">
        <v>80</v>
      </c>
      <c r="AB738">
        <v>1</v>
      </c>
      <c r="AC738">
        <v>18</v>
      </c>
      <c r="AD738">
        <v>2</v>
      </c>
      <c r="AE738">
        <v>2</v>
      </c>
      <c r="AF738">
        <v>7</v>
      </c>
      <c r="AG738">
        <v>7</v>
      </c>
      <c r="AH738">
        <v>0</v>
      </c>
      <c r="AI738">
        <v>7</v>
      </c>
    </row>
    <row r="739" spans="1:35" x14ac:dyDescent="0.3">
      <c r="A739">
        <v>28</v>
      </c>
      <c r="B739" t="s">
        <v>40</v>
      </c>
      <c r="C739" t="s">
        <v>33</v>
      </c>
      <c r="D739">
        <v>1169</v>
      </c>
      <c r="E739" t="s">
        <v>58</v>
      </c>
      <c r="F739">
        <v>8</v>
      </c>
      <c r="G739">
        <v>2</v>
      </c>
      <c r="H739" t="s">
        <v>48</v>
      </c>
      <c r="I739">
        <v>1</v>
      </c>
      <c r="J739">
        <v>869</v>
      </c>
      <c r="K739">
        <v>2</v>
      </c>
      <c r="L739" s="17" t="s">
        <v>43</v>
      </c>
      <c r="M739">
        <v>63</v>
      </c>
      <c r="N739">
        <v>2</v>
      </c>
      <c r="O739">
        <v>1</v>
      </c>
      <c r="P739" t="s">
        <v>58</v>
      </c>
      <c r="Q739">
        <v>4</v>
      </c>
      <c r="R739" t="s">
        <v>49</v>
      </c>
      <c r="S739" s="6">
        <v>4936</v>
      </c>
      <c r="T739">
        <v>23965</v>
      </c>
      <c r="U739">
        <v>1</v>
      </c>
      <c r="V739" t="s">
        <v>39</v>
      </c>
      <c r="W739" t="s">
        <v>40</v>
      </c>
      <c r="X739">
        <v>13</v>
      </c>
      <c r="Y739">
        <v>3</v>
      </c>
      <c r="Z739">
        <v>4</v>
      </c>
      <c r="AA739">
        <v>80</v>
      </c>
      <c r="AB739">
        <v>1</v>
      </c>
      <c r="AC739">
        <v>6</v>
      </c>
      <c r="AD739">
        <v>6</v>
      </c>
      <c r="AE739">
        <v>3</v>
      </c>
      <c r="AF739">
        <v>5</v>
      </c>
      <c r="AG739">
        <v>1</v>
      </c>
      <c r="AH739">
        <v>0</v>
      </c>
      <c r="AI739">
        <v>4</v>
      </c>
    </row>
    <row r="740" spans="1:35" x14ac:dyDescent="0.3">
      <c r="A740">
        <v>36</v>
      </c>
      <c r="B740" t="s">
        <v>40</v>
      </c>
      <c r="C740" t="s">
        <v>33</v>
      </c>
      <c r="D740">
        <v>216</v>
      </c>
      <c r="E740" t="s">
        <v>42</v>
      </c>
      <c r="F740">
        <v>6</v>
      </c>
      <c r="G740">
        <v>2</v>
      </c>
      <c r="H740" t="s">
        <v>48</v>
      </c>
      <c r="I740">
        <v>1</v>
      </c>
      <c r="J740">
        <v>178</v>
      </c>
      <c r="K740">
        <v>2</v>
      </c>
      <c r="L740" s="17" t="s">
        <v>43</v>
      </c>
      <c r="M740">
        <v>84</v>
      </c>
      <c r="N740">
        <v>3</v>
      </c>
      <c r="O740">
        <v>2</v>
      </c>
      <c r="P740" t="s">
        <v>50</v>
      </c>
      <c r="Q740">
        <v>2</v>
      </c>
      <c r="R740" t="s">
        <v>49</v>
      </c>
      <c r="S740" s="6">
        <v>4941</v>
      </c>
      <c r="T740">
        <v>2819</v>
      </c>
      <c r="U740">
        <v>6</v>
      </c>
      <c r="V740" t="s">
        <v>39</v>
      </c>
      <c r="W740" t="s">
        <v>40</v>
      </c>
      <c r="X740">
        <v>20</v>
      </c>
      <c r="Y740">
        <v>4</v>
      </c>
      <c r="Z740">
        <v>4</v>
      </c>
      <c r="AA740">
        <v>80</v>
      </c>
      <c r="AB740">
        <v>2</v>
      </c>
      <c r="AC740">
        <v>7</v>
      </c>
      <c r="AD740">
        <v>0</v>
      </c>
      <c r="AE740">
        <v>3</v>
      </c>
      <c r="AF740">
        <v>3</v>
      </c>
      <c r="AG740">
        <v>2</v>
      </c>
      <c r="AH740">
        <v>0</v>
      </c>
      <c r="AI740">
        <v>1</v>
      </c>
    </row>
    <row r="741" spans="1:35" x14ac:dyDescent="0.3">
      <c r="A741">
        <v>52</v>
      </c>
      <c r="B741" t="s">
        <v>32</v>
      </c>
      <c r="C741" t="s">
        <v>33</v>
      </c>
      <c r="D741">
        <v>723</v>
      </c>
      <c r="E741" t="s">
        <v>42</v>
      </c>
      <c r="F741">
        <v>8</v>
      </c>
      <c r="G741">
        <v>4</v>
      </c>
      <c r="H741" t="s">
        <v>48</v>
      </c>
      <c r="I741">
        <v>1</v>
      </c>
      <c r="J741">
        <v>433</v>
      </c>
      <c r="K741">
        <v>3</v>
      </c>
      <c r="L741" s="17" t="s">
        <v>43</v>
      </c>
      <c r="M741">
        <v>85</v>
      </c>
      <c r="N741">
        <v>2</v>
      </c>
      <c r="O741">
        <v>2</v>
      </c>
      <c r="P741" t="s">
        <v>44</v>
      </c>
      <c r="Q741">
        <v>2</v>
      </c>
      <c r="R741" t="s">
        <v>45</v>
      </c>
      <c r="S741" s="6">
        <v>4941</v>
      </c>
      <c r="T741">
        <v>17747</v>
      </c>
      <c r="U741">
        <v>2</v>
      </c>
      <c r="V741" t="s">
        <v>39</v>
      </c>
      <c r="W741" t="s">
        <v>40</v>
      </c>
      <c r="X741">
        <v>15</v>
      </c>
      <c r="Y741">
        <v>3</v>
      </c>
      <c r="Z741">
        <v>1</v>
      </c>
      <c r="AA741">
        <v>80</v>
      </c>
      <c r="AB741">
        <v>0</v>
      </c>
      <c r="AC741">
        <v>11</v>
      </c>
      <c r="AD741">
        <v>3</v>
      </c>
      <c r="AE741">
        <v>2</v>
      </c>
      <c r="AF741">
        <v>8</v>
      </c>
      <c r="AG741">
        <v>2</v>
      </c>
      <c r="AH741">
        <v>7</v>
      </c>
      <c r="AI741">
        <v>7</v>
      </c>
    </row>
    <row r="742" spans="1:35" x14ac:dyDescent="0.3">
      <c r="A742">
        <v>25</v>
      </c>
      <c r="B742" t="s">
        <v>40</v>
      </c>
      <c r="C742" t="s">
        <v>33</v>
      </c>
      <c r="D742">
        <v>1356</v>
      </c>
      <c r="E742" t="s">
        <v>34</v>
      </c>
      <c r="F742">
        <v>10</v>
      </c>
      <c r="G742">
        <v>4</v>
      </c>
      <c r="H742" t="s">
        <v>35</v>
      </c>
      <c r="I742">
        <v>1</v>
      </c>
      <c r="J742">
        <v>1240</v>
      </c>
      <c r="K742">
        <v>3</v>
      </c>
      <c r="L742" s="17" t="s">
        <v>43</v>
      </c>
      <c r="M742">
        <v>57</v>
      </c>
      <c r="N742">
        <v>3</v>
      </c>
      <c r="O742">
        <v>2</v>
      </c>
      <c r="P742" t="s">
        <v>37</v>
      </c>
      <c r="Q742">
        <v>4</v>
      </c>
      <c r="R742" t="s">
        <v>38</v>
      </c>
      <c r="S742" s="6">
        <v>4950</v>
      </c>
      <c r="T742">
        <v>20623</v>
      </c>
      <c r="U742">
        <v>0</v>
      </c>
      <c r="V742" t="s">
        <v>39</v>
      </c>
      <c r="W742" t="s">
        <v>40</v>
      </c>
      <c r="X742">
        <v>14</v>
      </c>
      <c r="Y742">
        <v>3</v>
      </c>
      <c r="Z742">
        <v>2</v>
      </c>
      <c r="AA742">
        <v>80</v>
      </c>
      <c r="AB742">
        <v>0</v>
      </c>
      <c r="AC742">
        <v>5</v>
      </c>
      <c r="AD742">
        <v>4</v>
      </c>
      <c r="AE742">
        <v>3</v>
      </c>
      <c r="AF742">
        <v>4</v>
      </c>
      <c r="AG742">
        <v>3</v>
      </c>
      <c r="AH742">
        <v>1</v>
      </c>
      <c r="AI742">
        <v>1</v>
      </c>
    </row>
    <row r="743" spans="1:35" x14ac:dyDescent="0.3">
      <c r="A743">
        <v>47</v>
      </c>
      <c r="B743" t="s">
        <v>40</v>
      </c>
      <c r="C743" t="s">
        <v>33</v>
      </c>
      <c r="D743">
        <v>703</v>
      </c>
      <c r="E743" t="s">
        <v>34</v>
      </c>
      <c r="F743">
        <v>14</v>
      </c>
      <c r="G743">
        <v>4</v>
      </c>
      <c r="H743" t="s">
        <v>56</v>
      </c>
      <c r="I743">
        <v>1</v>
      </c>
      <c r="J743">
        <v>728</v>
      </c>
      <c r="K743">
        <v>4</v>
      </c>
      <c r="L743" s="17" t="s">
        <v>43</v>
      </c>
      <c r="M743">
        <v>42</v>
      </c>
      <c r="N743">
        <v>3</v>
      </c>
      <c r="O743">
        <v>2</v>
      </c>
      <c r="P743" t="s">
        <v>37</v>
      </c>
      <c r="Q743">
        <v>1</v>
      </c>
      <c r="R743" t="s">
        <v>38</v>
      </c>
      <c r="S743" s="6">
        <v>4960</v>
      </c>
      <c r="T743">
        <v>11825</v>
      </c>
      <c r="U743">
        <v>2</v>
      </c>
      <c r="V743" t="s">
        <v>39</v>
      </c>
      <c r="W743" t="s">
        <v>40</v>
      </c>
      <c r="X743">
        <v>12</v>
      </c>
      <c r="Y743">
        <v>3</v>
      </c>
      <c r="Z743">
        <v>4</v>
      </c>
      <c r="AA743">
        <v>80</v>
      </c>
      <c r="AB743">
        <v>0</v>
      </c>
      <c r="AC743">
        <v>20</v>
      </c>
      <c r="AD743">
        <v>2</v>
      </c>
      <c r="AE743">
        <v>3</v>
      </c>
      <c r="AF743">
        <v>7</v>
      </c>
      <c r="AG743">
        <v>7</v>
      </c>
      <c r="AH743">
        <v>1</v>
      </c>
      <c r="AI743">
        <v>7</v>
      </c>
    </row>
    <row r="744" spans="1:35" x14ac:dyDescent="0.3">
      <c r="A744">
        <v>56</v>
      </c>
      <c r="B744" t="s">
        <v>32</v>
      </c>
      <c r="C744" t="s">
        <v>33</v>
      </c>
      <c r="D744">
        <v>441</v>
      </c>
      <c r="E744" t="s">
        <v>42</v>
      </c>
      <c r="F744">
        <v>14</v>
      </c>
      <c r="G744">
        <v>4</v>
      </c>
      <c r="H744" t="s">
        <v>35</v>
      </c>
      <c r="I744">
        <v>1</v>
      </c>
      <c r="J744">
        <v>161</v>
      </c>
      <c r="K744">
        <v>2</v>
      </c>
      <c r="L744" s="17" t="s">
        <v>36</v>
      </c>
      <c r="M744">
        <v>72</v>
      </c>
      <c r="N744">
        <v>3</v>
      </c>
      <c r="O744">
        <v>1</v>
      </c>
      <c r="P744" t="s">
        <v>44</v>
      </c>
      <c r="Q744">
        <v>2</v>
      </c>
      <c r="R744" t="s">
        <v>45</v>
      </c>
      <c r="S744" s="6">
        <v>4963</v>
      </c>
      <c r="T744">
        <v>4510</v>
      </c>
      <c r="U744">
        <v>9</v>
      </c>
      <c r="V744" t="s">
        <v>39</v>
      </c>
      <c r="W744" t="s">
        <v>32</v>
      </c>
      <c r="X744">
        <v>18</v>
      </c>
      <c r="Y744">
        <v>3</v>
      </c>
      <c r="Z744">
        <v>1</v>
      </c>
      <c r="AA744">
        <v>80</v>
      </c>
      <c r="AB744">
        <v>3</v>
      </c>
      <c r="AC744">
        <v>7</v>
      </c>
      <c r="AD744">
        <v>2</v>
      </c>
      <c r="AE744">
        <v>3</v>
      </c>
      <c r="AF744">
        <v>5</v>
      </c>
      <c r="AG744">
        <v>4</v>
      </c>
      <c r="AH744">
        <v>4</v>
      </c>
      <c r="AI744">
        <v>3</v>
      </c>
    </row>
    <row r="745" spans="1:35" x14ac:dyDescent="0.3">
      <c r="A745">
        <v>35</v>
      </c>
      <c r="B745" t="s">
        <v>40</v>
      </c>
      <c r="C745" t="s">
        <v>41</v>
      </c>
      <c r="D745">
        <v>1182</v>
      </c>
      <c r="E745" t="s">
        <v>34</v>
      </c>
      <c r="F745">
        <v>11</v>
      </c>
      <c r="G745">
        <v>2</v>
      </c>
      <c r="H745" t="s">
        <v>56</v>
      </c>
      <c r="I745">
        <v>1</v>
      </c>
      <c r="J745">
        <v>1137</v>
      </c>
      <c r="K745">
        <v>4</v>
      </c>
      <c r="L745" s="17" t="s">
        <v>43</v>
      </c>
      <c r="M745">
        <v>54</v>
      </c>
      <c r="N745">
        <v>3</v>
      </c>
      <c r="O745">
        <v>2</v>
      </c>
      <c r="P745" t="s">
        <v>37</v>
      </c>
      <c r="Q745">
        <v>4</v>
      </c>
      <c r="R745" t="s">
        <v>49</v>
      </c>
      <c r="S745" s="6">
        <v>4968</v>
      </c>
      <c r="T745">
        <v>18500</v>
      </c>
      <c r="U745">
        <v>1</v>
      </c>
      <c r="V745" t="s">
        <v>39</v>
      </c>
      <c r="W745" t="s">
        <v>40</v>
      </c>
      <c r="X745">
        <v>11</v>
      </c>
      <c r="Y745">
        <v>3</v>
      </c>
      <c r="Z745">
        <v>4</v>
      </c>
      <c r="AA745">
        <v>80</v>
      </c>
      <c r="AB745">
        <v>1</v>
      </c>
      <c r="AC745">
        <v>5</v>
      </c>
      <c r="AD745">
        <v>3</v>
      </c>
      <c r="AE745">
        <v>3</v>
      </c>
      <c r="AF745">
        <v>5</v>
      </c>
      <c r="AG745">
        <v>2</v>
      </c>
      <c r="AH745">
        <v>0</v>
      </c>
      <c r="AI745">
        <v>2</v>
      </c>
    </row>
    <row r="746" spans="1:35" x14ac:dyDescent="0.3">
      <c r="A746">
        <v>30</v>
      </c>
      <c r="B746" t="s">
        <v>40</v>
      </c>
      <c r="C746" t="s">
        <v>41</v>
      </c>
      <c r="D746">
        <v>1312</v>
      </c>
      <c r="E746" t="s">
        <v>42</v>
      </c>
      <c r="F746">
        <v>2</v>
      </c>
      <c r="G746">
        <v>4</v>
      </c>
      <c r="H746" t="s">
        <v>57</v>
      </c>
      <c r="I746">
        <v>1</v>
      </c>
      <c r="J746">
        <v>1745</v>
      </c>
      <c r="K746">
        <v>4</v>
      </c>
      <c r="L746" s="17" t="s">
        <v>36</v>
      </c>
      <c r="M746">
        <v>78</v>
      </c>
      <c r="N746">
        <v>2</v>
      </c>
      <c r="O746">
        <v>1</v>
      </c>
      <c r="P746" t="s">
        <v>44</v>
      </c>
      <c r="Q746">
        <v>1</v>
      </c>
      <c r="R746" t="s">
        <v>38</v>
      </c>
      <c r="S746" s="6">
        <v>4968</v>
      </c>
      <c r="T746">
        <v>26427</v>
      </c>
      <c r="U746">
        <v>0</v>
      </c>
      <c r="V746" t="s">
        <v>39</v>
      </c>
      <c r="W746" t="s">
        <v>40</v>
      </c>
      <c r="X746">
        <v>16</v>
      </c>
      <c r="Y746">
        <v>3</v>
      </c>
      <c r="Z746">
        <v>4</v>
      </c>
      <c r="AA746">
        <v>80</v>
      </c>
      <c r="AB746">
        <v>0</v>
      </c>
      <c r="AC746">
        <v>10</v>
      </c>
      <c r="AD746">
        <v>2</v>
      </c>
      <c r="AE746">
        <v>3</v>
      </c>
      <c r="AF746">
        <v>9</v>
      </c>
      <c r="AG746">
        <v>7</v>
      </c>
      <c r="AH746">
        <v>0</v>
      </c>
      <c r="AI746">
        <v>7</v>
      </c>
    </row>
    <row r="747" spans="1:35" x14ac:dyDescent="0.3">
      <c r="A747">
        <v>26</v>
      </c>
      <c r="B747" t="s">
        <v>32</v>
      </c>
      <c r="C747" t="s">
        <v>52</v>
      </c>
      <c r="D747">
        <v>265</v>
      </c>
      <c r="E747" t="s">
        <v>34</v>
      </c>
      <c r="F747">
        <v>29</v>
      </c>
      <c r="G747">
        <v>2</v>
      </c>
      <c r="H747" t="s">
        <v>48</v>
      </c>
      <c r="I747">
        <v>1</v>
      </c>
      <c r="J747">
        <v>1037</v>
      </c>
      <c r="K747">
        <v>2</v>
      </c>
      <c r="L747" s="17" t="s">
        <v>43</v>
      </c>
      <c r="M747">
        <v>79</v>
      </c>
      <c r="N747">
        <v>1</v>
      </c>
      <c r="O747">
        <v>2</v>
      </c>
      <c r="P747" t="s">
        <v>37</v>
      </c>
      <c r="Q747">
        <v>1</v>
      </c>
      <c r="R747" t="s">
        <v>38</v>
      </c>
      <c r="S747" s="6">
        <v>4969</v>
      </c>
      <c r="T747">
        <v>21813</v>
      </c>
      <c r="U747">
        <v>8</v>
      </c>
      <c r="V747" t="s">
        <v>39</v>
      </c>
      <c r="W747" t="s">
        <v>40</v>
      </c>
      <c r="X747">
        <v>18</v>
      </c>
      <c r="Y747">
        <v>3</v>
      </c>
      <c r="Z747">
        <v>4</v>
      </c>
      <c r="AA747">
        <v>80</v>
      </c>
      <c r="AB747">
        <v>0</v>
      </c>
      <c r="AC747">
        <v>7</v>
      </c>
      <c r="AD747">
        <v>6</v>
      </c>
      <c r="AE747">
        <v>3</v>
      </c>
      <c r="AF747">
        <v>2</v>
      </c>
      <c r="AG747">
        <v>2</v>
      </c>
      <c r="AH747">
        <v>2</v>
      </c>
      <c r="AI747">
        <v>2</v>
      </c>
    </row>
    <row r="748" spans="1:35" x14ac:dyDescent="0.3">
      <c r="A748">
        <v>47</v>
      </c>
      <c r="B748" t="s">
        <v>40</v>
      </c>
      <c r="C748" t="s">
        <v>52</v>
      </c>
      <c r="D748">
        <v>543</v>
      </c>
      <c r="E748" t="s">
        <v>34</v>
      </c>
      <c r="F748">
        <v>2</v>
      </c>
      <c r="G748">
        <v>4</v>
      </c>
      <c r="H748" t="s">
        <v>56</v>
      </c>
      <c r="I748">
        <v>1</v>
      </c>
      <c r="J748">
        <v>1731</v>
      </c>
      <c r="K748">
        <v>3</v>
      </c>
      <c r="L748" s="17" t="s">
        <v>43</v>
      </c>
      <c r="M748">
        <v>87</v>
      </c>
      <c r="N748">
        <v>3</v>
      </c>
      <c r="O748">
        <v>2</v>
      </c>
      <c r="P748" t="s">
        <v>37</v>
      </c>
      <c r="Q748">
        <v>2</v>
      </c>
      <c r="R748" t="s">
        <v>45</v>
      </c>
      <c r="S748" s="6">
        <v>4978</v>
      </c>
      <c r="T748">
        <v>3536</v>
      </c>
      <c r="U748">
        <v>7</v>
      </c>
      <c r="V748" t="s">
        <v>39</v>
      </c>
      <c r="W748" t="s">
        <v>40</v>
      </c>
      <c r="X748">
        <v>11</v>
      </c>
      <c r="Y748">
        <v>3</v>
      </c>
      <c r="Z748">
        <v>4</v>
      </c>
      <c r="AA748">
        <v>80</v>
      </c>
      <c r="AB748">
        <v>1</v>
      </c>
      <c r="AC748">
        <v>4</v>
      </c>
      <c r="AD748">
        <v>3</v>
      </c>
      <c r="AE748">
        <v>1</v>
      </c>
      <c r="AF748">
        <v>1</v>
      </c>
      <c r="AG748">
        <v>0</v>
      </c>
      <c r="AH748">
        <v>0</v>
      </c>
      <c r="AI748">
        <v>0</v>
      </c>
    </row>
    <row r="749" spans="1:35" x14ac:dyDescent="0.3">
      <c r="A749">
        <v>32</v>
      </c>
      <c r="B749" t="s">
        <v>40</v>
      </c>
      <c r="C749" t="s">
        <v>41</v>
      </c>
      <c r="D749">
        <v>1316</v>
      </c>
      <c r="E749" t="s">
        <v>42</v>
      </c>
      <c r="F749">
        <v>2</v>
      </c>
      <c r="G749">
        <v>2</v>
      </c>
      <c r="H749" t="s">
        <v>35</v>
      </c>
      <c r="I749">
        <v>1</v>
      </c>
      <c r="J749">
        <v>1235</v>
      </c>
      <c r="K749">
        <v>4</v>
      </c>
      <c r="L749" s="17" t="s">
        <v>36</v>
      </c>
      <c r="M749">
        <v>38</v>
      </c>
      <c r="N749">
        <v>3</v>
      </c>
      <c r="O749">
        <v>2</v>
      </c>
      <c r="P749" t="s">
        <v>44</v>
      </c>
      <c r="Q749">
        <v>3</v>
      </c>
      <c r="R749" t="s">
        <v>38</v>
      </c>
      <c r="S749" s="6">
        <v>4998</v>
      </c>
      <c r="T749">
        <v>2338</v>
      </c>
      <c r="U749">
        <v>4</v>
      </c>
      <c r="V749" t="s">
        <v>39</v>
      </c>
      <c r="W749" t="s">
        <v>32</v>
      </c>
      <c r="X749">
        <v>14</v>
      </c>
      <c r="Y749">
        <v>3</v>
      </c>
      <c r="Z749">
        <v>4</v>
      </c>
      <c r="AA749">
        <v>80</v>
      </c>
      <c r="AB749">
        <v>0</v>
      </c>
      <c r="AC749">
        <v>10</v>
      </c>
      <c r="AD749">
        <v>2</v>
      </c>
      <c r="AE749">
        <v>3</v>
      </c>
      <c r="AF749">
        <v>8</v>
      </c>
      <c r="AG749">
        <v>7</v>
      </c>
      <c r="AH749">
        <v>0</v>
      </c>
      <c r="AI749">
        <v>7</v>
      </c>
    </row>
    <row r="750" spans="1:35" x14ac:dyDescent="0.3">
      <c r="A750">
        <v>24</v>
      </c>
      <c r="B750" t="s">
        <v>40</v>
      </c>
      <c r="C750" t="s">
        <v>33</v>
      </c>
      <c r="D750">
        <v>1353</v>
      </c>
      <c r="E750" t="s">
        <v>34</v>
      </c>
      <c r="F750">
        <v>3</v>
      </c>
      <c r="G750">
        <v>2</v>
      </c>
      <c r="H750" t="s">
        <v>46</v>
      </c>
      <c r="I750">
        <v>1</v>
      </c>
      <c r="J750">
        <v>128</v>
      </c>
      <c r="K750">
        <v>1</v>
      </c>
      <c r="L750" s="17" t="s">
        <v>36</v>
      </c>
      <c r="M750">
        <v>33</v>
      </c>
      <c r="N750">
        <v>3</v>
      </c>
      <c r="O750">
        <v>2</v>
      </c>
      <c r="P750" t="s">
        <v>37</v>
      </c>
      <c r="Q750">
        <v>3</v>
      </c>
      <c r="R750" t="s">
        <v>45</v>
      </c>
      <c r="S750" s="6">
        <v>4999</v>
      </c>
      <c r="T750">
        <v>17519</v>
      </c>
      <c r="U750">
        <v>0</v>
      </c>
      <c r="V750" t="s">
        <v>39</v>
      </c>
      <c r="W750" t="s">
        <v>40</v>
      </c>
      <c r="X750">
        <v>21</v>
      </c>
      <c r="Y750">
        <v>4</v>
      </c>
      <c r="Z750">
        <v>1</v>
      </c>
      <c r="AA750">
        <v>80</v>
      </c>
      <c r="AB750">
        <v>1</v>
      </c>
      <c r="AC750">
        <v>4</v>
      </c>
      <c r="AD750">
        <v>2</v>
      </c>
      <c r="AE750">
        <v>2</v>
      </c>
      <c r="AF750">
        <v>3</v>
      </c>
      <c r="AG750">
        <v>2</v>
      </c>
      <c r="AH750">
        <v>0</v>
      </c>
      <c r="AI750">
        <v>2</v>
      </c>
    </row>
    <row r="751" spans="1:35" x14ac:dyDescent="0.3">
      <c r="A751">
        <v>41</v>
      </c>
      <c r="B751" t="s">
        <v>40</v>
      </c>
      <c r="C751" t="s">
        <v>33</v>
      </c>
      <c r="D751">
        <v>549</v>
      </c>
      <c r="E751" t="s">
        <v>42</v>
      </c>
      <c r="F751">
        <v>7</v>
      </c>
      <c r="G751">
        <v>2</v>
      </c>
      <c r="H751" t="s">
        <v>48</v>
      </c>
      <c r="I751">
        <v>1</v>
      </c>
      <c r="J751">
        <v>1025</v>
      </c>
      <c r="K751">
        <v>4</v>
      </c>
      <c r="L751" s="17" t="s">
        <v>36</v>
      </c>
      <c r="M751">
        <v>42</v>
      </c>
      <c r="N751">
        <v>3</v>
      </c>
      <c r="O751">
        <v>2</v>
      </c>
      <c r="P751" t="s">
        <v>50</v>
      </c>
      <c r="Q751">
        <v>3</v>
      </c>
      <c r="R751" t="s">
        <v>38</v>
      </c>
      <c r="S751" s="6">
        <v>5003</v>
      </c>
      <c r="T751">
        <v>23371</v>
      </c>
      <c r="U751">
        <v>6</v>
      </c>
      <c r="V751" t="s">
        <v>39</v>
      </c>
      <c r="W751" t="s">
        <v>40</v>
      </c>
      <c r="X751">
        <v>14</v>
      </c>
      <c r="Y751">
        <v>3</v>
      </c>
      <c r="Z751">
        <v>2</v>
      </c>
      <c r="AA751">
        <v>80</v>
      </c>
      <c r="AB751">
        <v>0</v>
      </c>
      <c r="AC751">
        <v>8</v>
      </c>
      <c r="AD751">
        <v>6</v>
      </c>
      <c r="AE751">
        <v>3</v>
      </c>
      <c r="AF751">
        <v>2</v>
      </c>
      <c r="AG751">
        <v>2</v>
      </c>
      <c r="AH751">
        <v>2</v>
      </c>
      <c r="AI751">
        <v>1</v>
      </c>
    </row>
    <row r="752" spans="1:35" x14ac:dyDescent="0.3">
      <c r="A752">
        <v>31</v>
      </c>
      <c r="B752" t="s">
        <v>40</v>
      </c>
      <c r="C752" t="s">
        <v>41</v>
      </c>
      <c r="D752">
        <v>1125</v>
      </c>
      <c r="E752" t="s">
        <v>42</v>
      </c>
      <c r="F752">
        <v>1</v>
      </c>
      <c r="G752">
        <v>3</v>
      </c>
      <c r="H752" t="s">
        <v>35</v>
      </c>
      <c r="I752">
        <v>1</v>
      </c>
      <c r="J752">
        <v>1956</v>
      </c>
      <c r="K752">
        <v>4</v>
      </c>
      <c r="L752" s="17" t="s">
        <v>43</v>
      </c>
      <c r="M752">
        <v>48</v>
      </c>
      <c r="N752">
        <v>1</v>
      </c>
      <c r="O752">
        <v>2</v>
      </c>
      <c r="P752" t="s">
        <v>44</v>
      </c>
      <c r="Q752">
        <v>1</v>
      </c>
      <c r="R752" t="s">
        <v>45</v>
      </c>
      <c r="S752" s="6">
        <v>5003</v>
      </c>
      <c r="T752">
        <v>5771</v>
      </c>
      <c r="U752">
        <v>1</v>
      </c>
      <c r="V752" t="s">
        <v>39</v>
      </c>
      <c r="W752" t="s">
        <v>40</v>
      </c>
      <c r="X752">
        <v>21</v>
      </c>
      <c r="Y752">
        <v>4</v>
      </c>
      <c r="Z752">
        <v>2</v>
      </c>
      <c r="AA752">
        <v>80</v>
      </c>
      <c r="AB752">
        <v>0</v>
      </c>
      <c r="AC752">
        <v>10</v>
      </c>
      <c r="AD752">
        <v>6</v>
      </c>
      <c r="AE752">
        <v>3</v>
      </c>
      <c r="AF752">
        <v>10</v>
      </c>
      <c r="AG752">
        <v>8</v>
      </c>
      <c r="AH752">
        <v>8</v>
      </c>
      <c r="AI752">
        <v>7</v>
      </c>
    </row>
    <row r="753" spans="1:35" x14ac:dyDescent="0.3">
      <c r="A753">
        <v>45</v>
      </c>
      <c r="B753" t="s">
        <v>40</v>
      </c>
      <c r="C753" t="s">
        <v>33</v>
      </c>
      <c r="D753">
        <v>1268</v>
      </c>
      <c r="E753" t="s">
        <v>34</v>
      </c>
      <c r="F753">
        <v>4</v>
      </c>
      <c r="G753">
        <v>2</v>
      </c>
      <c r="H753" t="s">
        <v>35</v>
      </c>
      <c r="I753">
        <v>1</v>
      </c>
      <c r="J753">
        <v>240</v>
      </c>
      <c r="K753">
        <v>3</v>
      </c>
      <c r="L753" s="17" t="s">
        <v>36</v>
      </c>
      <c r="M753">
        <v>30</v>
      </c>
      <c r="N753">
        <v>3</v>
      </c>
      <c r="O753">
        <v>2</v>
      </c>
      <c r="P753" t="s">
        <v>37</v>
      </c>
      <c r="Q753">
        <v>1</v>
      </c>
      <c r="R753" t="s">
        <v>49</v>
      </c>
      <c r="S753" s="6">
        <v>5006</v>
      </c>
      <c r="T753">
        <v>6319</v>
      </c>
      <c r="U753">
        <v>4</v>
      </c>
      <c r="V753" t="s">
        <v>39</v>
      </c>
      <c r="W753" t="s">
        <v>32</v>
      </c>
      <c r="X753">
        <v>11</v>
      </c>
      <c r="Y753">
        <v>3</v>
      </c>
      <c r="Z753">
        <v>1</v>
      </c>
      <c r="AA753">
        <v>80</v>
      </c>
      <c r="AB753">
        <v>1</v>
      </c>
      <c r="AC753">
        <v>9</v>
      </c>
      <c r="AD753">
        <v>3</v>
      </c>
      <c r="AE753">
        <v>4</v>
      </c>
      <c r="AF753">
        <v>5</v>
      </c>
      <c r="AG753">
        <v>4</v>
      </c>
      <c r="AH753">
        <v>0</v>
      </c>
      <c r="AI753">
        <v>3</v>
      </c>
    </row>
    <row r="754" spans="1:35" x14ac:dyDescent="0.3">
      <c r="A754">
        <v>32</v>
      </c>
      <c r="B754" t="s">
        <v>40</v>
      </c>
      <c r="C754" t="s">
        <v>33</v>
      </c>
      <c r="D754">
        <v>1093</v>
      </c>
      <c r="E754" t="s">
        <v>34</v>
      </c>
      <c r="F754">
        <v>6</v>
      </c>
      <c r="G754">
        <v>4</v>
      </c>
      <c r="H754" t="s">
        <v>48</v>
      </c>
      <c r="I754">
        <v>1</v>
      </c>
      <c r="J754">
        <v>125</v>
      </c>
      <c r="K754">
        <v>2</v>
      </c>
      <c r="L754" s="17" t="s">
        <v>43</v>
      </c>
      <c r="M754">
        <v>87</v>
      </c>
      <c r="N754">
        <v>3</v>
      </c>
      <c r="O754">
        <v>2</v>
      </c>
      <c r="P754" t="s">
        <v>37</v>
      </c>
      <c r="Q754">
        <v>3</v>
      </c>
      <c r="R754" t="s">
        <v>38</v>
      </c>
      <c r="S754" s="6">
        <v>5010</v>
      </c>
      <c r="T754">
        <v>24301</v>
      </c>
      <c r="U754">
        <v>1</v>
      </c>
      <c r="V754" t="s">
        <v>39</v>
      </c>
      <c r="W754" t="s">
        <v>40</v>
      </c>
      <c r="X754">
        <v>16</v>
      </c>
      <c r="Y754">
        <v>3</v>
      </c>
      <c r="Z754">
        <v>1</v>
      </c>
      <c r="AA754">
        <v>80</v>
      </c>
      <c r="AB754">
        <v>0</v>
      </c>
      <c r="AC754">
        <v>12</v>
      </c>
      <c r="AD754">
        <v>0</v>
      </c>
      <c r="AE754">
        <v>3</v>
      </c>
      <c r="AF754">
        <v>11</v>
      </c>
      <c r="AG754">
        <v>8</v>
      </c>
      <c r="AH754">
        <v>5</v>
      </c>
      <c r="AI754">
        <v>7</v>
      </c>
    </row>
    <row r="755" spans="1:35" x14ac:dyDescent="0.3">
      <c r="A755">
        <v>46</v>
      </c>
      <c r="B755" t="s">
        <v>40</v>
      </c>
      <c r="C755" t="s">
        <v>33</v>
      </c>
      <c r="D755">
        <v>945</v>
      </c>
      <c r="E755" t="s">
        <v>58</v>
      </c>
      <c r="F755">
        <v>5</v>
      </c>
      <c r="G755">
        <v>2</v>
      </c>
      <c r="H755" t="s">
        <v>48</v>
      </c>
      <c r="I755">
        <v>1</v>
      </c>
      <c r="J755">
        <v>103</v>
      </c>
      <c r="K755">
        <v>2</v>
      </c>
      <c r="L755" s="17" t="s">
        <v>43</v>
      </c>
      <c r="M755">
        <v>80</v>
      </c>
      <c r="N755">
        <v>3</v>
      </c>
      <c r="O755">
        <v>2</v>
      </c>
      <c r="P755" t="s">
        <v>58</v>
      </c>
      <c r="Q755">
        <v>2</v>
      </c>
      <c r="R755" t="s">
        <v>49</v>
      </c>
      <c r="S755" s="6">
        <v>5021</v>
      </c>
      <c r="T755">
        <v>10425</v>
      </c>
      <c r="U755">
        <v>8</v>
      </c>
      <c r="V755" t="s">
        <v>39</v>
      </c>
      <c r="W755" t="s">
        <v>32</v>
      </c>
      <c r="X755">
        <v>22</v>
      </c>
      <c r="Y755">
        <v>4</v>
      </c>
      <c r="Z755">
        <v>4</v>
      </c>
      <c r="AA755">
        <v>80</v>
      </c>
      <c r="AB755">
        <v>1</v>
      </c>
      <c r="AC755">
        <v>16</v>
      </c>
      <c r="AD755">
        <v>2</v>
      </c>
      <c r="AE755">
        <v>3</v>
      </c>
      <c r="AF755">
        <v>4</v>
      </c>
      <c r="AG755">
        <v>2</v>
      </c>
      <c r="AH755">
        <v>0</v>
      </c>
      <c r="AI755">
        <v>2</v>
      </c>
    </row>
    <row r="756" spans="1:35" x14ac:dyDescent="0.3">
      <c r="A756">
        <v>44</v>
      </c>
      <c r="B756" t="s">
        <v>40</v>
      </c>
      <c r="C756" t="s">
        <v>33</v>
      </c>
      <c r="D756">
        <v>170</v>
      </c>
      <c r="E756" t="s">
        <v>42</v>
      </c>
      <c r="F756">
        <v>1</v>
      </c>
      <c r="G756">
        <v>4</v>
      </c>
      <c r="H756" t="s">
        <v>35</v>
      </c>
      <c r="I756">
        <v>1</v>
      </c>
      <c r="J756">
        <v>1903</v>
      </c>
      <c r="K756">
        <v>2</v>
      </c>
      <c r="L756" s="17" t="s">
        <v>43</v>
      </c>
      <c r="M756">
        <v>78</v>
      </c>
      <c r="N756">
        <v>4</v>
      </c>
      <c r="O756">
        <v>2</v>
      </c>
      <c r="P756" t="s">
        <v>51</v>
      </c>
      <c r="Q756">
        <v>1</v>
      </c>
      <c r="R756" t="s">
        <v>45</v>
      </c>
      <c r="S756" s="6">
        <v>5033</v>
      </c>
      <c r="T756">
        <v>9364</v>
      </c>
      <c r="U756">
        <v>2</v>
      </c>
      <c r="V756" t="s">
        <v>39</v>
      </c>
      <c r="W756" t="s">
        <v>40</v>
      </c>
      <c r="X756">
        <v>15</v>
      </c>
      <c r="Y756">
        <v>3</v>
      </c>
      <c r="Z756">
        <v>4</v>
      </c>
      <c r="AA756">
        <v>80</v>
      </c>
      <c r="AB756">
        <v>1</v>
      </c>
      <c r="AC756">
        <v>10</v>
      </c>
      <c r="AD756">
        <v>5</v>
      </c>
      <c r="AE756">
        <v>3</v>
      </c>
      <c r="AF756">
        <v>2</v>
      </c>
      <c r="AG756">
        <v>0</v>
      </c>
      <c r="AH756">
        <v>2</v>
      </c>
      <c r="AI756">
        <v>2</v>
      </c>
    </row>
    <row r="757" spans="1:35" x14ac:dyDescent="0.3">
      <c r="A757">
        <v>39</v>
      </c>
      <c r="B757" t="s">
        <v>40</v>
      </c>
      <c r="C757" t="s">
        <v>41</v>
      </c>
      <c r="D757">
        <v>711</v>
      </c>
      <c r="E757" t="s">
        <v>42</v>
      </c>
      <c r="F757">
        <v>4</v>
      </c>
      <c r="G757">
        <v>3</v>
      </c>
      <c r="H757" t="s">
        <v>48</v>
      </c>
      <c r="I757">
        <v>1</v>
      </c>
      <c r="J757">
        <v>1633</v>
      </c>
      <c r="K757">
        <v>1</v>
      </c>
      <c r="L757" s="17" t="s">
        <v>36</v>
      </c>
      <c r="M757">
        <v>81</v>
      </c>
      <c r="N757">
        <v>3</v>
      </c>
      <c r="O757">
        <v>2</v>
      </c>
      <c r="P757" t="s">
        <v>50</v>
      </c>
      <c r="Q757">
        <v>3</v>
      </c>
      <c r="R757" t="s">
        <v>38</v>
      </c>
      <c r="S757" s="6">
        <v>5042</v>
      </c>
      <c r="T757">
        <v>3140</v>
      </c>
      <c r="U757">
        <v>0</v>
      </c>
      <c r="V757" t="s">
        <v>39</v>
      </c>
      <c r="W757" t="s">
        <v>40</v>
      </c>
      <c r="X757">
        <v>13</v>
      </c>
      <c r="Y757">
        <v>3</v>
      </c>
      <c r="Z757">
        <v>4</v>
      </c>
      <c r="AA757">
        <v>80</v>
      </c>
      <c r="AB757">
        <v>0</v>
      </c>
      <c r="AC757">
        <v>10</v>
      </c>
      <c r="AD757">
        <v>2</v>
      </c>
      <c r="AE757">
        <v>1</v>
      </c>
      <c r="AF757">
        <v>9</v>
      </c>
      <c r="AG757">
        <v>2</v>
      </c>
      <c r="AH757">
        <v>3</v>
      </c>
      <c r="AI757">
        <v>8</v>
      </c>
    </row>
    <row r="758" spans="1:35" x14ac:dyDescent="0.3">
      <c r="A758">
        <v>32</v>
      </c>
      <c r="B758" t="s">
        <v>40</v>
      </c>
      <c r="C758" t="s">
        <v>33</v>
      </c>
      <c r="D758">
        <v>1018</v>
      </c>
      <c r="E758" t="s">
        <v>42</v>
      </c>
      <c r="F758">
        <v>2</v>
      </c>
      <c r="G758">
        <v>4</v>
      </c>
      <c r="H758" t="s">
        <v>48</v>
      </c>
      <c r="I758">
        <v>1</v>
      </c>
      <c r="J758">
        <v>439</v>
      </c>
      <c r="K758">
        <v>1</v>
      </c>
      <c r="L758" s="17" t="s">
        <v>36</v>
      </c>
      <c r="M758">
        <v>74</v>
      </c>
      <c r="N758">
        <v>4</v>
      </c>
      <c r="O758">
        <v>2</v>
      </c>
      <c r="P758" t="s">
        <v>44</v>
      </c>
      <c r="Q758">
        <v>4</v>
      </c>
      <c r="R758" t="s">
        <v>38</v>
      </c>
      <c r="S758" s="6">
        <v>5055</v>
      </c>
      <c r="T758">
        <v>10557</v>
      </c>
      <c r="U758">
        <v>7</v>
      </c>
      <c r="V758" t="s">
        <v>39</v>
      </c>
      <c r="W758" t="s">
        <v>40</v>
      </c>
      <c r="X758">
        <v>16</v>
      </c>
      <c r="Y758">
        <v>3</v>
      </c>
      <c r="Z758">
        <v>3</v>
      </c>
      <c r="AA758">
        <v>80</v>
      </c>
      <c r="AB758">
        <v>0</v>
      </c>
      <c r="AC758">
        <v>10</v>
      </c>
      <c r="AD758">
        <v>0</v>
      </c>
      <c r="AE758">
        <v>2</v>
      </c>
      <c r="AF758">
        <v>7</v>
      </c>
      <c r="AG758">
        <v>7</v>
      </c>
      <c r="AH758">
        <v>0</v>
      </c>
      <c r="AI758">
        <v>7</v>
      </c>
    </row>
    <row r="759" spans="1:35" x14ac:dyDescent="0.3">
      <c r="A759">
        <v>29</v>
      </c>
      <c r="B759" t="s">
        <v>40</v>
      </c>
      <c r="C759" t="s">
        <v>33</v>
      </c>
      <c r="D759">
        <v>718</v>
      </c>
      <c r="E759" t="s">
        <v>42</v>
      </c>
      <c r="F759">
        <v>8</v>
      </c>
      <c r="G759">
        <v>1</v>
      </c>
      <c r="H759" t="s">
        <v>48</v>
      </c>
      <c r="I759">
        <v>1</v>
      </c>
      <c r="J759">
        <v>1150</v>
      </c>
      <c r="K759">
        <v>2</v>
      </c>
      <c r="L759" s="17" t="s">
        <v>43</v>
      </c>
      <c r="M759">
        <v>79</v>
      </c>
      <c r="N759">
        <v>2</v>
      </c>
      <c r="O759">
        <v>2</v>
      </c>
      <c r="P759" t="s">
        <v>50</v>
      </c>
      <c r="Q759">
        <v>4</v>
      </c>
      <c r="R759" t="s">
        <v>45</v>
      </c>
      <c r="S759" s="6">
        <v>5056</v>
      </c>
      <c r="T759">
        <v>17689</v>
      </c>
      <c r="U759">
        <v>1</v>
      </c>
      <c r="V759" t="s">
        <v>39</v>
      </c>
      <c r="W759" t="s">
        <v>32</v>
      </c>
      <c r="X759">
        <v>15</v>
      </c>
      <c r="Y759">
        <v>3</v>
      </c>
      <c r="Z759">
        <v>3</v>
      </c>
      <c r="AA759">
        <v>80</v>
      </c>
      <c r="AB759">
        <v>1</v>
      </c>
      <c r="AC759">
        <v>10</v>
      </c>
      <c r="AD759">
        <v>2</v>
      </c>
      <c r="AE759">
        <v>2</v>
      </c>
      <c r="AF759">
        <v>10</v>
      </c>
      <c r="AG759">
        <v>7</v>
      </c>
      <c r="AH759">
        <v>1</v>
      </c>
      <c r="AI759">
        <v>2</v>
      </c>
    </row>
    <row r="760" spans="1:35" x14ac:dyDescent="0.3">
      <c r="A760">
        <v>34</v>
      </c>
      <c r="B760" t="s">
        <v>40</v>
      </c>
      <c r="C760" t="s">
        <v>41</v>
      </c>
      <c r="D760">
        <v>653</v>
      </c>
      <c r="E760" t="s">
        <v>42</v>
      </c>
      <c r="F760">
        <v>10</v>
      </c>
      <c r="G760">
        <v>4</v>
      </c>
      <c r="H760" t="s">
        <v>57</v>
      </c>
      <c r="I760">
        <v>1</v>
      </c>
      <c r="J760">
        <v>1597</v>
      </c>
      <c r="K760">
        <v>4</v>
      </c>
      <c r="L760" s="17" t="s">
        <v>43</v>
      </c>
      <c r="M760">
        <v>92</v>
      </c>
      <c r="N760">
        <v>2</v>
      </c>
      <c r="O760">
        <v>2</v>
      </c>
      <c r="P760" t="s">
        <v>51</v>
      </c>
      <c r="Q760">
        <v>3</v>
      </c>
      <c r="R760" t="s">
        <v>45</v>
      </c>
      <c r="S760" s="6">
        <v>5063</v>
      </c>
      <c r="T760">
        <v>15332</v>
      </c>
      <c r="U760">
        <v>1</v>
      </c>
      <c r="V760" t="s">
        <v>39</v>
      </c>
      <c r="W760" t="s">
        <v>40</v>
      </c>
      <c r="X760">
        <v>14</v>
      </c>
      <c r="Y760">
        <v>3</v>
      </c>
      <c r="Z760">
        <v>2</v>
      </c>
      <c r="AA760">
        <v>80</v>
      </c>
      <c r="AB760">
        <v>1</v>
      </c>
      <c r="AC760">
        <v>8</v>
      </c>
      <c r="AD760">
        <v>3</v>
      </c>
      <c r="AE760">
        <v>2</v>
      </c>
      <c r="AF760">
        <v>8</v>
      </c>
      <c r="AG760">
        <v>2</v>
      </c>
      <c r="AH760">
        <v>7</v>
      </c>
      <c r="AI760">
        <v>7</v>
      </c>
    </row>
    <row r="761" spans="1:35" x14ac:dyDescent="0.3">
      <c r="A761">
        <v>47</v>
      </c>
      <c r="B761" t="s">
        <v>40</v>
      </c>
      <c r="C761" t="s">
        <v>41</v>
      </c>
      <c r="D761">
        <v>1379</v>
      </c>
      <c r="E761" t="s">
        <v>42</v>
      </c>
      <c r="F761">
        <v>16</v>
      </c>
      <c r="G761">
        <v>4</v>
      </c>
      <c r="H761" t="s">
        <v>48</v>
      </c>
      <c r="I761">
        <v>1</v>
      </c>
      <c r="J761">
        <v>987</v>
      </c>
      <c r="K761">
        <v>3</v>
      </c>
      <c r="L761" s="17" t="s">
        <v>43</v>
      </c>
      <c r="M761">
        <v>64</v>
      </c>
      <c r="N761">
        <v>4</v>
      </c>
      <c r="O761">
        <v>2</v>
      </c>
      <c r="P761" t="s">
        <v>50</v>
      </c>
      <c r="Q761">
        <v>3</v>
      </c>
      <c r="R761" t="s">
        <v>49</v>
      </c>
      <c r="S761" s="6">
        <v>5067</v>
      </c>
      <c r="T761">
        <v>6759</v>
      </c>
      <c r="U761">
        <v>1</v>
      </c>
      <c r="V761" t="s">
        <v>39</v>
      </c>
      <c r="W761" t="s">
        <v>32</v>
      </c>
      <c r="X761">
        <v>19</v>
      </c>
      <c r="Y761">
        <v>3</v>
      </c>
      <c r="Z761">
        <v>3</v>
      </c>
      <c r="AA761">
        <v>80</v>
      </c>
      <c r="AB761">
        <v>0</v>
      </c>
      <c r="AC761">
        <v>20</v>
      </c>
      <c r="AD761">
        <v>3</v>
      </c>
      <c r="AE761">
        <v>4</v>
      </c>
      <c r="AF761">
        <v>19</v>
      </c>
      <c r="AG761">
        <v>10</v>
      </c>
      <c r="AH761">
        <v>2</v>
      </c>
      <c r="AI761">
        <v>7</v>
      </c>
    </row>
    <row r="762" spans="1:35" x14ac:dyDescent="0.3">
      <c r="A762">
        <v>47</v>
      </c>
      <c r="B762" t="s">
        <v>40</v>
      </c>
      <c r="C762" t="s">
        <v>33</v>
      </c>
      <c r="D762">
        <v>983</v>
      </c>
      <c r="E762" t="s">
        <v>42</v>
      </c>
      <c r="F762">
        <v>2</v>
      </c>
      <c r="G762">
        <v>2</v>
      </c>
      <c r="H762" t="s">
        <v>48</v>
      </c>
      <c r="I762">
        <v>1</v>
      </c>
      <c r="J762">
        <v>574</v>
      </c>
      <c r="K762">
        <v>1</v>
      </c>
      <c r="L762" s="17" t="s">
        <v>36</v>
      </c>
      <c r="M762">
        <v>65</v>
      </c>
      <c r="N762">
        <v>3</v>
      </c>
      <c r="O762">
        <v>2</v>
      </c>
      <c r="P762" t="s">
        <v>50</v>
      </c>
      <c r="Q762">
        <v>4</v>
      </c>
      <c r="R762" t="s">
        <v>49</v>
      </c>
      <c r="S762" s="6">
        <v>5070</v>
      </c>
      <c r="T762">
        <v>7389</v>
      </c>
      <c r="U762">
        <v>5</v>
      </c>
      <c r="V762" t="s">
        <v>39</v>
      </c>
      <c r="W762" t="s">
        <v>40</v>
      </c>
      <c r="X762">
        <v>13</v>
      </c>
      <c r="Y762">
        <v>3</v>
      </c>
      <c r="Z762">
        <v>3</v>
      </c>
      <c r="AA762">
        <v>80</v>
      </c>
      <c r="AB762">
        <v>3</v>
      </c>
      <c r="AC762">
        <v>20</v>
      </c>
      <c r="AD762">
        <v>2</v>
      </c>
      <c r="AE762">
        <v>3</v>
      </c>
      <c r="AF762">
        <v>5</v>
      </c>
      <c r="AG762">
        <v>0</v>
      </c>
      <c r="AH762">
        <v>0</v>
      </c>
      <c r="AI762">
        <v>4</v>
      </c>
    </row>
    <row r="763" spans="1:35" x14ac:dyDescent="0.3">
      <c r="A763">
        <v>27</v>
      </c>
      <c r="B763" t="s">
        <v>40</v>
      </c>
      <c r="C763" t="s">
        <v>41</v>
      </c>
      <c r="D763">
        <v>793</v>
      </c>
      <c r="E763" t="s">
        <v>34</v>
      </c>
      <c r="F763">
        <v>2</v>
      </c>
      <c r="G763">
        <v>1</v>
      </c>
      <c r="H763" t="s">
        <v>35</v>
      </c>
      <c r="I763">
        <v>1</v>
      </c>
      <c r="J763">
        <v>1371</v>
      </c>
      <c r="K763">
        <v>4</v>
      </c>
      <c r="L763" s="17" t="s">
        <v>43</v>
      </c>
      <c r="M763">
        <v>43</v>
      </c>
      <c r="N763">
        <v>1</v>
      </c>
      <c r="O763">
        <v>2</v>
      </c>
      <c r="P763" t="s">
        <v>37</v>
      </c>
      <c r="Q763">
        <v>4</v>
      </c>
      <c r="R763" t="s">
        <v>38</v>
      </c>
      <c r="S763" s="6">
        <v>5071</v>
      </c>
      <c r="T763">
        <v>20392</v>
      </c>
      <c r="U763">
        <v>3</v>
      </c>
      <c r="V763" t="s">
        <v>39</v>
      </c>
      <c r="W763" t="s">
        <v>40</v>
      </c>
      <c r="X763">
        <v>20</v>
      </c>
      <c r="Y763">
        <v>4</v>
      </c>
      <c r="Z763">
        <v>2</v>
      </c>
      <c r="AA763">
        <v>80</v>
      </c>
      <c r="AB763">
        <v>0</v>
      </c>
      <c r="AC763">
        <v>8</v>
      </c>
      <c r="AD763">
        <v>3</v>
      </c>
      <c r="AE763">
        <v>3</v>
      </c>
      <c r="AF763">
        <v>6</v>
      </c>
      <c r="AG763">
        <v>2</v>
      </c>
      <c r="AH763">
        <v>0</v>
      </c>
      <c r="AI763">
        <v>0</v>
      </c>
    </row>
    <row r="764" spans="1:35" x14ac:dyDescent="0.3">
      <c r="A764">
        <v>36</v>
      </c>
      <c r="B764" t="s">
        <v>40</v>
      </c>
      <c r="C764" t="s">
        <v>52</v>
      </c>
      <c r="D764">
        <v>1229</v>
      </c>
      <c r="E764" t="s">
        <v>34</v>
      </c>
      <c r="F764">
        <v>8</v>
      </c>
      <c r="G764">
        <v>4</v>
      </c>
      <c r="H764" t="s">
        <v>57</v>
      </c>
      <c r="I764">
        <v>1</v>
      </c>
      <c r="J764">
        <v>990</v>
      </c>
      <c r="K764">
        <v>1</v>
      </c>
      <c r="L764" s="17" t="s">
        <v>43</v>
      </c>
      <c r="M764">
        <v>84</v>
      </c>
      <c r="N764">
        <v>3</v>
      </c>
      <c r="O764">
        <v>2</v>
      </c>
      <c r="P764" t="s">
        <v>37</v>
      </c>
      <c r="Q764">
        <v>4</v>
      </c>
      <c r="R764" t="s">
        <v>49</v>
      </c>
      <c r="S764" s="6">
        <v>5079</v>
      </c>
      <c r="T764">
        <v>25952</v>
      </c>
      <c r="U764">
        <v>4</v>
      </c>
      <c r="V764" t="s">
        <v>39</v>
      </c>
      <c r="W764" t="s">
        <v>40</v>
      </c>
      <c r="X764">
        <v>13</v>
      </c>
      <c r="Y764">
        <v>3</v>
      </c>
      <c r="Z764">
        <v>4</v>
      </c>
      <c r="AA764">
        <v>80</v>
      </c>
      <c r="AB764">
        <v>2</v>
      </c>
      <c r="AC764">
        <v>12</v>
      </c>
      <c r="AD764">
        <v>3</v>
      </c>
      <c r="AE764">
        <v>3</v>
      </c>
      <c r="AF764">
        <v>7</v>
      </c>
      <c r="AG764">
        <v>7</v>
      </c>
      <c r="AH764">
        <v>0</v>
      </c>
      <c r="AI764">
        <v>7</v>
      </c>
    </row>
    <row r="765" spans="1:35" x14ac:dyDescent="0.3">
      <c r="A765">
        <v>42</v>
      </c>
      <c r="B765" t="s">
        <v>40</v>
      </c>
      <c r="C765" t="s">
        <v>33</v>
      </c>
      <c r="D765">
        <v>419</v>
      </c>
      <c r="E765" t="s">
        <v>34</v>
      </c>
      <c r="F765">
        <v>12</v>
      </c>
      <c r="G765">
        <v>4</v>
      </c>
      <c r="H765" t="s">
        <v>56</v>
      </c>
      <c r="I765">
        <v>1</v>
      </c>
      <c r="J765">
        <v>1943</v>
      </c>
      <c r="K765">
        <v>2</v>
      </c>
      <c r="L765" s="17" t="s">
        <v>43</v>
      </c>
      <c r="M765">
        <v>77</v>
      </c>
      <c r="N765">
        <v>3</v>
      </c>
      <c r="O765">
        <v>2</v>
      </c>
      <c r="P765" t="s">
        <v>37</v>
      </c>
      <c r="Q765">
        <v>4</v>
      </c>
      <c r="R765" t="s">
        <v>49</v>
      </c>
      <c r="S765" s="6">
        <v>5087</v>
      </c>
      <c r="T765">
        <v>2900</v>
      </c>
      <c r="U765">
        <v>3</v>
      </c>
      <c r="V765" t="s">
        <v>39</v>
      </c>
      <c r="W765" t="s">
        <v>32</v>
      </c>
      <c r="X765">
        <v>12</v>
      </c>
      <c r="Y765">
        <v>3</v>
      </c>
      <c r="Z765">
        <v>3</v>
      </c>
      <c r="AA765">
        <v>80</v>
      </c>
      <c r="AB765">
        <v>2</v>
      </c>
      <c r="AC765">
        <v>14</v>
      </c>
      <c r="AD765">
        <v>4</v>
      </c>
      <c r="AE765">
        <v>3</v>
      </c>
      <c r="AF765">
        <v>0</v>
      </c>
      <c r="AG765">
        <v>0</v>
      </c>
      <c r="AH765">
        <v>0</v>
      </c>
      <c r="AI765">
        <v>0</v>
      </c>
    </row>
    <row r="766" spans="1:35" x14ac:dyDescent="0.3">
      <c r="A766">
        <v>35</v>
      </c>
      <c r="B766" t="s">
        <v>40</v>
      </c>
      <c r="C766" t="s">
        <v>52</v>
      </c>
      <c r="D766">
        <v>1225</v>
      </c>
      <c r="E766" t="s">
        <v>42</v>
      </c>
      <c r="F766">
        <v>2</v>
      </c>
      <c r="G766">
        <v>4</v>
      </c>
      <c r="H766" t="s">
        <v>35</v>
      </c>
      <c r="I766">
        <v>1</v>
      </c>
      <c r="J766">
        <v>771</v>
      </c>
      <c r="K766">
        <v>4</v>
      </c>
      <c r="L766" s="17" t="s">
        <v>36</v>
      </c>
      <c r="M766">
        <v>61</v>
      </c>
      <c r="N766">
        <v>3</v>
      </c>
      <c r="O766">
        <v>2</v>
      </c>
      <c r="P766" t="s">
        <v>51</v>
      </c>
      <c r="Q766">
        <v>1</v>
      </c>
      <c r="R766" t="s">
        <v>49</v>
      </c>
      <c r="S766" s="6">
        <v>5093</v>
      </c>
      <c r="T766">
        <v>4761</v>
      </c>
      <c r="U766">
        <v>2</v>
      </c>
      <c r="V766" t="s">
        <v>39</v>
      </c>
      <c r="W766" t="s">
        <v>40</v>
      </c>
      <c r="X766">
        <v>11</v>
      </c>
      <c r="Y766">
        <v>3</v>
      </c>
      <c r="Z766">
        <v>1</v>
      </c>
      <c r="AA766">
        <v>80</v>
      </c>
      <c r="AB766">
        <v>1</v>
      </c>
      <c r="AC766">
        <v>16</v>
      </c>
      <c r="AD766">
        <v>2</v>
      </c>
      <c r="AE766">
        <v>4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40</v>
      </c>
      <c r="B767" t="s">
        <v>40</v>
      </c>
      <c r="C767" t="s">
        <v>41</v>
      </c>
      <c r="D767">
        <v>720</v>
      </c>
      <c r="E767" t="s">
        <v>42</v>
      </c>
      <c r="F767">
        <v>16</v>
      </c>
      <c r="G767">
        <v>4</v>
      </c>
      <c r="H767" t="s">
        <v>48</v>
      </c>
      <c r="I767">
        <v>1</v>
      </c>
      <c r="J767">
        <v>832</v>
      </c>
      <c r="K767">
        <v>1</v>
      </c>
      <c r="L767" s="17" t="s">
        <v>43</v>
      </c>
      <c r="M767">
        <v>51</v>
      </c>
      <c r="N767">
        <v>2</v>
      </c>
      <c r="O767">
        <v>2</v>
      </c>
      <c r="P767" t="s">
        <v>47</v>
      </c>
      <c r="Q767">
        <v>3</v>
      </c>
      <c r="R767" t="s">
        <v>38</v>
      </c>
      <c r="S767" s="6">
        <v>5094</v>
      </c>
      <c r="T767">
        <v>11983</v>
      </c>
      <c r="U767">
        <v>6</v>
      </c>
      <c r="V767" t="s">
        <v>39</v>
      </c>
      <c r="W767" t="s">
        <v>40</v>
      </c>
      <c r="X767">
        <v>14</v>
      </c>
      <c r="Y767">
        <v>3</v>
      </c>
      <c r="Z767">
        <v>4</v>
      </c>
      <c r="AA767">
        <v>80</v>
      </c>
      <c r="AB767">
        <v>0</v>
      </c>
      <c r="AC767">
        <v>10</v>
      </c>
      <c r="AD767">
        <v>6</v>
      </c>
      <c r="AE767">
        <v>3</v>
      </c>
      <c r="AF767">
        <v>1</v>
      </c>
      <c r="AG767">
        <v>0</v>
      </c>
      <c r="AH767">
        <v>0</v>
      </c>
      <c r="AI767">
        <v>0</v>
      </c>
    </row>
    <row r="768" spans="1:35" x14ac:dyDescent="0.3">
      <c r="A768">
        <v>35</v>
      </c>
      <c r="B768" t="s">
        <v>40</v>
      </c>
      <c r="C768" t="s">
        <v>33</v>
      </c>
      <c r="D768">
        <v>1395</v>
      </c>
      <c r="E768" t="s">
        <v>42</v>
      </c>
      <c r="F768">
        <v>9</v>
      </c>
      <c r="G768">
        <v>4</v>
      </c>
      <c r="H768" t="s">
        <v>48</v>
      </c>
      <c r="I768">
        <v>1</v>
      </c>
      <c r="J768">
        <v>2008</v>
      </c>
      <c r="K768">
        <v>2</v>
      </c>
      <c r="L768" s="17" t="s">
        <v>43</v>
      </c>
      <c r="M768">
        <v>48</v>
      </c>
      <c r="N768">
        <v>3</v>
      </c>
      <c r="O768">
        <v>2</v>
      </c>
      <c r="P768" t="s">
        <v>44</v>
      </c>
      <c r="Q768">
        <v>3</v>
      </c>
      <c r="R768" t="s">
        <v>38</v>
      </c>
      <c r="S768" s="6">
        <v>5098</v>
      </c>
      <c r="T768">
        <v>18698</v>
      </c>
      <c r="U768">
        <v>1</v>
      </c>
      <c r="V768" t="s">
        <v>39</v>
      </c>
      <c r="W768" t="s">
        <v>40</v>
      </c>
      <c r="X768">
        <v>19</v>
      </c>
      <c r="Y768">
        <v>3</v>
      </c>
      <c r="Z768">
        <v>2</v>
      </c>
      <c r="AA768">
        <v>80</v>
      </c>
      <c r="AB768">
        <v>0</v>
      </c>
      <c r="AC768">
        <v>10</v>
      </c>
      <c r="AD768">
        <v>5</v>
      </c>
      <c r="AE768">
        <v>3</v>
      </c>
      <c r="AF768">
        <v>10</v>
      </c>
      <c r="AG768">
        <v>7</v>
      </c>
      <c r="AH768">
        <v>0</v>
      </c>
      <c r="AI768">
        <v>8</v>
      </c>
    </row>
    <row r="769" spans="1:35" x14ac:dyDescent="0.3">
      <c r="A769">
        <v>34</v>
      </c>
      <c r="B769" t="s">
        <v>40</v>
      </c>
      <c r="C769" t="s">
        <v>33</v>
      </c>
      <c r="D769">
        <v>167</v>
      </c>
      <c r="E769" t="s">
        <v>42</v>
      </c>
      <c r="F769">
        <v>8</v>
      </c>
      <c r="G769">
        <v>5</v>
      </c>
      <c r="H769" t="s">
        <v>35</v>
      </c>
      <c r="I769">
        <v>1</v>
      </c>
      <c r="J769">
        <v>775</v>
      </c>
      <c r="K769">
        <v>2</v>
      </c>
      <c r="L769" s="17" t="s">
        <v>36</v>
      </c>
      <c r="M769">
        <v>32</v>
      </c>
      <c r="N769">
        <v>3</v>
      </c>
      <c r="O769">
        <v>2</v>
      </c>
      <c r="P769" t="s">
        <v>50</v>
      </c>
      <c r="Q769">
        <v>1</v>
      </c>
      <c r="R769" t="s">
        <v>49</v>
      </c>
      <c r="S769" s="6">
        <v>5121</v>
      </c>
      <c r="T769">
        <v>4187</v>
      </c>
      <c r="U769">
        <v>3</v>
      </c>
      <c r="V769" t="s">
        <v>39</v>
      </c>
      <c r="W769" t="s">
        <v>40</v>
      </c>
      <c r="X769">
        <v>14</v>
      </c>
      <c r="Y769">
        <v>3</v>
      </c>
      <c r="Z769">
        <v>3</v>
      </c>
      <c r="AA769">
        <v>80</v>
      </c>
      <c r="AB769">
        <v>1</v>
      </c>
      <c r="AC769">
        <v>7</v>
      </c>
      <c r="AD769">
        <v>3</v>
      </c>
      <c r="AE769">
        <v>3</v>
      </c>
      <c r="AF769">
        <v>0</v>
      </c>
      <c r="AG769">
        <v>0</v>
      </c>
      <c r="AH769">
        <v>0</v>
      </c>
      <c r="AI769">
        <v>0</v>
      </c>
    </row>
    <row r="770" spans="1:35" x14ac:dyDescent="0.3">
      <c r="A770">
        <v>30</v>
      </c>
      <c r="B770" t="s">
        <v>40</v>
      </c>
      <c r="C770" t="s">
        <v>33</v>
      </c>
      <c r="D770">
        <v>852</v>
      </c>
      <c r="E770" t="s">
        <v>42</v>
      </c>
      <c r="F770">
        <v>1</v>
      </c>
      <c r="G770">
        <v>1</v>
      </c>
      <c r="H770" t="s">
        <v>35</v>
      </c>
      <c r="I770">
        <v>1</v>
      </c>
      <c r="J770">
        <v>104</v>
      </c>
      <c r="K770">
        <v>4</v>
      </c>
      <c r="L770" s="17" t="s">
        <v>43</v>
      </c>
      <c r="M770">
        <v>55</v>
      </c>
      <c r="N770">
        <v>2</v>
      </c>
      <c r="O770">
        <v>2</v>
      </c>
      <c r="P770" t="s">
        <v>47</v>
      </c>
      <c r="Q770">
        <v>4</v>
      </c>
      <c r="R770" t="s">
        <v>45</v>
      </c>
      <c r="S770" s="6">
        <v>5126</v>
      </c>
      <c r="T770">
        <v>15998</v>
      </c>
      <c r="U770">
        <v>1</v>
      </c>
      <c r="V770" t="s">
        <v>39</v>
      </c>
      <c r="W770" t="s">
        <v>32</v>
      </c>
      <c r="X770">
        <v>12</v>
      </c>
      <c r="Y770">
        <v>3</v>
      </c>
      <c r="Z770">
        <v>3</v>
      </c>
      <c r="AA770">
        <v>80</v>
      </c>
      <c r="AB770">
        <v>2</v>
      </c>
      <c r="AC770">
        <v>10</v>
      </c>
      <c r="AD770">
        <v>1</v>
      </c>
      <c r="AE770">
        <v>2</v>
      </c>
      <c r="AF770">
        <v>10</v>
      </c>
      <c r="AG770">
        <v>8</v>
      </c>
      <c r="AH770">
        <v>3</v>
      </c>
      <c r="AI770">
        <v>0</v>
      </c>
    </row>
    <row r="771" spans="1:35" x14ac:dyDescent="0.3">
      <c r="A771">
        <v>49</v>
      </c>
      <c r="B771" t="s">
        <v>40</v>
      </c>
      <c r="C771" t="s">
        <v>41</v>
      </c>
      <c r="D771">
        <v>279</v>
      </c>
      <c r="E771" t="s">
        <v>42</v>
      </c>
      <c r="F771">
        <v>8</v>
      </c>
      <c r="G771">
        <v>1</v>
      </c>
      <c r="H771" t="s">
        <v>35</v>
      </c>
      <c r="I771">
        <v>1</v>
      </c>
      <c r="J771">
        <v>2</v>
      </c>
      <c r="K771">
        <v>3</v>
      </c>
      <c r="L771" s="17" t="s">
        <v>43</v>
      </c>
      <c r="M771">
        <v>61</v>
      </c>
      <c r="N771">
        <v>2</v>
      </c>
      <c r="O771">
        <v>2</v>
      </c>
      <c r="P771" t="s">
        <v>44</v>
      </c>
      <c r="Q771">
        <v>2</v>
      </c>
      <c r="R771" t="s">
        <v>45</v>
      </c>
      <c r="S771" s="6">
        <v>5130</v>
      </c>
      <c r="T771">
        <v>24907</v>
      </c>
      <c r="U771">
        <v>1</v>
      </c>
      <c r="V771" t="s">
        <v>39</v>
      </c>
      <c r="W771" t="s">
        <v>40</v>
      </c>
      <c r="X771">
        <v>23</v>
      </c>
      <c r="Y771">
        <v>4</v>
      </c>
      <c r="Z771">
        <v>4</v>
      </c>
      <c r="AA771">
        <v>80</v>
      </c>
      <c r="AB771">
        <v>1</v>
      </c>
      <c r="AC771">
        <v>10</v>
      </c>
      <c r="AD771">
        <v>3</v>
      </c>
      <c r="AE771">
        <v>3</v>
      </c>
      <c r="AF771">
        <v>10</v>
      </c>
      <c r="AG771">
        <v>7</v>
      </c>
      <c r="AH771">
        <v>1</v>
      </c>
      <c r="AI771">
        <v>7</v>
      </c>
    </row>
    <row r="772" spans="1:35" x14ac:dyDescent="0.3">
      <c r="A772">
        <v>36</v>
      </c>
      <c r="B772" t="s">
        <v>40</v>
      </c>
      <c r="C772" t="s">
        <v>41</v>
      </c>
      <c r="D772">
        <v>688</v>
      </c>
      <c r="E772" t="s">
        <v>42</v>
      </c>
      <c r="F772">
        <v>4</v>
      </c>
      <c r="G772">
        <v>2</v>
      </c>
      <c r="H772" t="s">
        <v>35</v>
      </c>
      <c r="I772">
        <v>1</v>
      </c>
      <c r="J772">
        <v>2025</v>
      </c>
      <c r="K772">
        <v>4</v>
      </c>
      <c r="L772" s="17" t="s">
        <v>36</v>
      </c>
      <c r="M772">
        <v>97</v>
      </c>
      <c r="N772">
        <v>3</v>
      </c>
      <c r="O772">
        <v>2</v>
      </c>
      <c r="P772" t="s">
        <v>50</v>
      </c>
      <c r="Q772">
        <v>2</v>
      </c>
      <c r="R772" t="s">
        <v>49</v>
      </c>
      <c r="S772" s="6">
        <v>5131</v>
      </c>
      <c r="T772">
        <v>9192</v>
      </c>
      <c r="U772">
        <v>7</v>
      </c>
      <c r="V772" t="s">
        <v>39</v>
      </c>
      <c r="W772" t="s">
        <v>40</v>
      </c>
      <c r="X772">
        <v>13</v>
      </c>
      <c r="Y772">
        <v>3</v>
      </c>
      <c r="Z772">
        <v>2</v>
      </c>
      <c r="AA772">
        <v>80</v>
      </c>
      <c r="AB772">
        <v>3</v>
      </c>
      <c r="AC772">
        <v>18</v>
      </c>
      <c r="AD772">
        <v>3</v>
      </c>
      <c r="AE772">
        <v>3</v>
      </c>
      <c r="AF772">
        <v>4</v>
      </c>
      <c r="AG772">
        <v>2</v>
      </c>
      <c r="AH772">
        <v>0</v>
      </c>
      <c r="AI772">
        <v>2</v>
      </c>
    </row>
    <row r="773" spans="1:35" x14ac:dyDescent="0.3">
      <c r="A773">
        <v>33</v>
      </c>
      <c r="B773" t="s">
        <v>40</v>
      </c>
      <c r="C773" t="s">
        <v>52</v>
      </c>
      <c r="D773">
        <v>1283</v>
      </c>
      <c r="E773" t="s">
        <v>34</v>
      </c>
      <c r="F773">
        <v>2</v>
      </c>
      <c r="G773">
        <v>3</v>
      </c>
      <c r="H773" t="s">
        <v>56</v>
      </c>
      <c r="I773">
        <v>1</v>
      </c>
      <c r="J773">
        <v>1756</v>
      </c>
      <c r="K773">
        <v>4</v>
      </c>
      <c r="L773" s="17" t="s">
        <v>36</v>
      </c>
      <c r="M773">
        <v>62</v>
      </c>
      <c r="N773">
        <v>3</v>
      </c>
      <c r="O773">
        <v>2</v>
      </c>
      <c r="P773" t="s">
        <v>37</v>
      </c>
      <c r="Q773">
        <v>2</v>
      </c>
      <c r="R773" t="s">
        <v>38</v>
      </c>
      <c r="S773" s="6">
        <v>5147</v>
      </c>
      <c r="T773">
        <v>10697</v>
      </c>
      <c r="U773">
        <v>8</v>
      </c>
      <c r="V773" t="s">
        <v>39</v>
      </c>
      <c r="W773" t="s">
        <v>40</v>
      </c>
      <c r="X773">
        <v>15</v>
      </c>
      <c r="Y773">
        <v>3</v>
      </c>
      <c r="Z773">
        <v>4</v>
      </c>
      <c r="AA773">
        <v>80</v>
      </c>
      <c r="AB773">
        <v>0</v>
      </c>
      <c r="AC773">
        <v>13</v>
      </c>
      <c r="AD773">
        <v>2</v>
      </c>
      <c r="AE773">
        <v>2</v>
      </c>
      <c r="AF773">
        <v>11</v>
      </c>
      <c r="AG773">
        <v>7</v>
      </c>
      <c r="AH773">
        <v>1</v>
      </c>
      <c r="AI773">
        <v>7</v>
      </c>
    </row>
    <row r="774" spans="1:35" x14ac:dyDescent="0.3">
      <c r="A774">
        <v>39</v>
      </c>
      <c r="B774" t="s">
        <v>40</v>
      </c>
      <c r="C774" t="s">
        <v>33</v>
      </c>
      <c r="D774">
        <v>867</v>
      </c>
      <c r="E774" t="s">
        <v>42</v>
      </c>
      <c r="F774">
        <v>9</v>
      </c>
      <c r="G774">
        <v>2</v>
      </c>
      <c r="H774" t="s">
        <v>48</v>
      </c>
      <c r="I774">
        <v>1</v>
      </c>
      <c r="J774">
        <v>1936</v>
      </c>
      <c r="K774">
        <v>1</v>
      </c>
      <c r="L774" s="17" t="s">
        <v>43</v>
      </c>
      <c r="M774">
        <v>87</v>
      </c>
      <c r="N774">
        <v>3</v>
      </c>
      <c r="O774">
        <v>2</v>
      </c>
      <c r="P774" t="s">
        <v>50</v>
      </c>
      <c r="Q774">
        <v>1</v>
      </c>
      <c r="R774" t="s">
        <v>45</v>
      </c>
      <c r="S774" s="6">
        <v>5151</v>
      </c>
      <c r="T774">
        <v>12315</v>
      </c>
      <c r="U774">
        <v>1</v>
      </c>
      <c r="V774" t="s">
        <v>39</v>
      </c>
      <c r="W774" t="s">
        <v>40</v>
      </c>
      <c r="X774">
        <v>25</v>
      </c>
      <c r="Y774">
        <v>4</v>
      </c>
      <c r="Z774">
        <v>4</v>
      </c>
      <c r="AA774">
        <v>80</v>
      </c>
      <c r="AB774">
        <v>1</v>
      </c>
      <c r="AC774">
        <v>10</v>
      </c>
      <c r="AD774">
        <v>3</v>
      </c>
      <c r="AE774">
        <v>3</v>
      </c>
      <c r="AF774">
        <v>10</v>
      </c>
      <c r="AG774">
        <v>0</v>
      </c>
      <c r="AH774">
        <v>7</v>
      </c>
      <c r="AI774">
        <v>9</v>
      </c>
    </row>
    <row r="775" spans="1:35" x14ac:dyDescent="0.3">
      <c r="A775">
        <v>45</v>
      </c>
      <c r="B775" t="s">
        <v>40</v>
      </c>
      <c r="C775" t="s">
        <v>52</v>
      </c>
      <c r="D775">
        <v>589</v>
      </c>
      <c r="E775" t="s">
        <v>34</v>
      </c>
      <c r="F775">
        <v>2</v>
      </c>
      <c r="G775">
        <v>4</v>
      </c>
      <c r="H775" t="s">
        <v>35</v>
      </c>
      <c r="I775">
        <v>1</v>
      </c>
      <c r="J775">
        <v>1845</v>
      </c>
      <c r="K775">
        <v>3</v>
      </c>
      <c r="L775" s="17" t="s">
        <v>36</v>
      </c>
      <c r="M775">
        <v>67</v>
      </c>
      <c r="N775">
        <v>3</v>
      </c>
      <c r="O775">
        <v>2</v>
      </c>
      <c r="P775" t="s">
        <v>37</v>
      </c>
      <c r="Q775">
        <v>3</v>
      </c>
      <c r="R775" t="s">
        <v>45</v>
      </c>
      <c r="S775" s="6">
        <v>5154</v>
      </c>
      <c r="T775">
        <v>19665</v>
      </c>
      <c r="U775">
        <v>4</v>
      </c>
      <c r="V775" t="s">
        <v>39</v>
      </c>
      <c r="W775" t="s">
        <v>40</v>
      </c>
      <c r="X775">
        <v>22</v>
      </c>
      <c r="Y775">
        <v>4</v>
      </c>
      <c r="Z775">
        <v>2</v>
      </c>
      <c r="AA775">
        <v>80</v>
      </c>
      <c r="AB775">
        <v>2</v>
      </c>
      <c r="AC775">
        <v>10</v>
      </c>
      <c r="AD775">
        <v>3</v>
      </c>
      <c r="AE775">
        <v>4</v>
      </c>
      <c r="AF775">
        <v>8</v>
      </c>
      <c r="AG775">
        <v>7</v>
      </c>
      <c r="AH775">
        <v>5</v>
      </c>
      <c r="AI775">
        <v>7</v>
      </c>
    </row>
    <row r="776" spans="1:35" x14ac:dyDescent="0.3">
      <c r="A776">
        <v>42</v>
      </c>
      <c r="B776" t="s">
        <v>40</v>
      </c>
      <c r="C776" t="s">
        <v>33</v>
      </c>
      <c r="D776">
        <v>647</v>
      </c>
      <c r="E776" t="s">
        <v>34</v>
      </c>
      <c r="F776">
        <v>4</v>
      </c>
      <c r="G776">
        <v>4</v>
      </c>
      <c r="H776" t="s">
        <v>56</v>
      </c>
      <c r="I776">
        <v>1</v>
      </c>
      <c r="J776">
        <v>1171</v>
      </c>
      <c r="K776">
        <v>2</v>
      </c>
      <c r="L776" s="17" t="s">
        <v>43</v>
      </c>
      <c r="M776">
        <v>45</v>
      </c>
      <c r="N776">
        <v>3</v>
      </c>
      <c r="O776">
        <v>2</v>
      </c>
      <c r="P776" t="s">
        <v>37</v>
      </c>
      <c r="Q776">
        <v>1</v>
      </c>
      <c r="R776" t="s">
        <v>38</v>
      </c>
      <c r="S776" s="6">
        <v>5155</v>
      </c>
      <c r="T776">
        <v>2253</v>
      </c>
      <c r="U776">
        <v>7</v>
      </c>
      <c r="V776" t="s">
        <v>39</v>
      </c>
      <c r="W776" t="s">
        <v>40</v>
      </c>
      <c r="X776">
        <v>13</v>
      </c>
      <c r="Y776">
        <v>3</v>
      </c>
      <c r="Z776">
        <v>4</v>
      </c>
      <c r="AA776">
        <v>80</v>
      </c>
      <c r="AB776">
        <v>0</v>
      </c>
      <c r="AC776">
        <v>9</v>
      </c>
      <c r="AD776">
        <v>3</v>
      </c>
      <c r="AE776">
        <v>4</v>
      </c>
      <c r="AF776">
        <v>6</v>
      </c>
      <c r="AG776">
        <v>4</v>
      </c>
      <c r="AH776">
        <v>1</v>
      </c>
      <c r="AI776">
        <v>5</v>
      </c>
    </row>
    <row r="777" spans="1:35" x14ac:dyDescent="0.3">
      <c r="A777">
        <v>55</v>
      </c>
      <c r="B777" t="s">
        <v>32</v>
      </c>
      <c r="C777" t="s">
        <v>33</v>
      </c>
      <c r="D777">
        <v>436</v>
      </c>
      <c r="E777" t="s">
        <v>34</v>
      </c>
      <c r="F777">
        <v>2</v>
      </c>
      <c r="G777">
        <v>1</v>
      </c>
      <c r="H777" t="s">
        <v>48</v>
      </c>
      <c r="I777">
        <v>1</v>
      </c>
      <c r="J777">
        <v>842</v>
      </c>
      <c r="K777">
        <v>3</v>
      </c>
      <c r="L777" s="17" t="s">
        <v>43</v>
      </c>
      <c r="M777">
        <v>37</v>
      </c>
      <c r="N777">
        <v>3</v>
      </c>
      <c r="O777">
        <v>2</v>
      </c>
      <c r="P777" t="s">
        <v>37</v>
      </c>
      <c r="Q777">
        <v>4</v>
      </c>
      <c r="R777" t="s">
        <v>38</v>
      </c>
      <c r="S777" s="6">
        <v>5160</v>
      </c>
      <c r="T777">
        <v>21519</v>
      </c>
      <c r="U777">
        <v>4</v>
      </c>
      <c r="V777" t="s">
        <v>39</v>
      </c>
      <c r="W777" t="s">
        <v>40</v>
      </c>
      <c r="X777">
        <v>16</v>
      </c>
      <c r="Y777">
        <v>3</v>
      </c>
      <c r="Z777">
        <v>3</v>
      </c>
      <c r="AA777">
        <v>80</v>
      </c>
      <c r="AB777">
        <v>0</v>
      </c>
      <c r="AC777">
        <v>12</v>
      </c>
      <c r="AD777">
        <v>3</v>
      </c>
      <c r="AE777">
        <v>2</v>
      </c>
      <c r="AF777">
        <v>9</v>
      </c>
      <c r="AG777">
        <v>7</v>
      </c>
      <c r="AH777">
        <v>7</v>
      </c>
      <c r="AI777">
        <v>3</v>
      </c>
    </row>
    <row r="778" spans="1:35" x14ac:dyDescent="0.3">
      <c r="A778">
        <v>37</v>
      </c>
      <c r="B778" t="s">
        <v>40</v>
      </c>
      <c r="C778" t="s">
        <v>52</v>
      </c>
      <c r="D778">
        <v>1040</v>
      </c>
      <c r="E778" t="s">
        <v>42</v>
      </c>
      <c r="F778">
        <v>2</v>
      </c>
      <c r="G778">
        <v>2</v>
      </c>
      <c r="H778" t="s">
        <v>35</v>
      </c>
      <c r="I778">
        <v>1</v>
      </c>
      <c r="J778">
        <v>139</v>
      </c>
      <c r="K778">
        <v>3</v>
      </c>
      <c r="L778" s="17" t="s">
        <v>43</v>
      </c>
      <c r="M778">
        <v>100</v>
      </c>
      <c r="N778">
        <v>2</v>
      </c>
      <c r="O778">
        <v>2</v>
      </c>
      <c r="P778" t="s">
        <v>51</v>
      </c>
      <c r="Q778">
        <v>4</v>
      </c>
      <c r="R778" t="s">
        <v>49</v>
      </c>
      <c r="S778" s="6">
        <v>5163</v>
      </c>
      <c r="T778">
        <v>15850</v>
      </c>
      <c r="U778">
        <v>5</v>
      </c>
      <c r="V778" t="s">
        <v>39</v>
      </c>
      <c r="W778" t="s">
        <v>40</v>
      </c>
      <c r="X778">
        <v>14</v>
      </c>
      <c r="Y778">
        <v>3</v>
      </c>
      <c r="Z778">
        <v>4</v>
      </c>
      <c r="AA778">
        <v>80</v>
      </c>
      <c r="AB778">
        <v>1</v>
      </c>
      <c r="AC778">
        <v>17</v>
      </c>
      <c r="AD778">
        <v>2</v>
      </c>
      <c r="AE778">
        <v>4</v>
      </c>
      <c r="AF778">
        <v>1</v>
      </c>
      <c r="AG778">
        <v>0</v>
      </c>
      <c r="AH778">
        <v>0</v>
      </c>
      <c r="AI778">
        <v>0</v>
      </c>
    </row>
    <row r="779" spans="1:35" x14ac:dyDescent="0.3">
      <c r="A779">
        <v>59</v>
      </c>
      <c r="B779" t="s">
        <v>40</v>
      </c>
      <c r="C779" t="s">
        <v>33</v>
      </c>
      <c r="D779">
        <v>326</v>
      </c>
      <c r="E779" t="s">
        <v>34</v>
      </c>
      <c r="F779">
        <v>3</v>
      </c>
      <c r="G779">
        <v>3</v>
      </c>
      <c r="H779" t="s">
        <v>35</v>
      </c>
      <c r="I779">
        <v>1</v>
      </c>
      <c r="J779">
        <v>1254</v>
      </c>
      <c r="K779">
        <v>3</v>
      </c>
      <c r="L779" s="17" t="s">
        <v>36</v>
      </c>
      <c r="M779">
        <v>48</v>
      </c>
      <c r="N779">
        <v>2</v>
      </c>
      <c r="O779">
        <v>2</v>
      </c>
      <c r="P779" t="s">
        <v>37</v>
      </c>
      <c r="Q779">
        <v>4</v>
      </c>
      <c r="R779" t="s">
        <v>38</v>
      </c>
      <c r="S779" s="6">
        <v>5171</v>
      </c>
      <c r="T779">
        <v>16490</v>
      </c>
      <c r="U779">
        <v>5</v>
      </c>
      <c r="V779" t="s">
        <v>39</v>
      </c>
      <c r="W779" t="s">
        <v>40</v>
      </c>
      <c r="X779">
        <v>17</v>
      </c>
      <c r="Y779">
        <v>3</v>
      </c>
      <c r="Z779">
        <v>4</v>
      </c>
      <c r="AA779">
        <v>80</v>
      </c>
      <c r="AB779">
        <v>0</v>
      </c>
      <c r="AC779">
        <v>13</v>
      </c>
      <c r="AD779">
        <v>2</v>
      </c>
      <c r="AE779">
        <v>3</v>
      </c>
      <c r="AF779">
        <v>6</v>
      </c>
      <c r="AG779">
        <v>1</v>
      </c>
      <c r="AH779">
        <v>0</v>
      </c>
      <c r="AI779">
        <v>5</v>
      </c>
    </row>
    <row r="780" spans="1:35" x14ac:dyDescent="0.3">
      <c r="A780">
        <v>32</v>
      </c>
      <c r="B780" t="s">
        <v>40</v>
      </c>
      <c r="C780" t="s">
        <v>33</v>
      </c>
      <c r="D780">
        <v>638</v>
      </c>
      <c r="E780" t="s">
        <v>42</v>
      </c>
      <c r="F780">
        <v>8</v>
      </c>
      <c r="G780">
        <v>2</v>
      </c>
      <c r="H780" t="s">
        <v>48</v>
      </c>
      <c r="I780">
        <v>1</v>
      </c>
      <c r="J780">
        <v>865</v>
      </c>
      <c r="K780">
        <v>3</v>
      </c>
      <c r="L780" s="17" t="s">
        <v>36</v>
      </c>
      <c r="M780">
        <v>91</v>
      </c>
      <c r="N780">
        <v>4</v>
      </c>
      <c r="O780">
        <v>2</v>
      </c>
      <c r="P780" t="s">
        <v>44</v>
      </c>
      <c r="Q780">
        <v>3</v>
      </c>
      <c r="R780" t="s">
        <v>45</v>
      </c>
      <c r="S780" s="6">
        <v>5175</v>
      </c>
      <c r="T780">
        <v>22162</v>
      </c>
      <c r="U780">
        <v>5</v>
      </c>
      <c r="V780" t="s">
        <v>39</v>
      </c>
      <c r="W780" t="s">
        <v>40</v>
      </c>
      <c r="X780">
        <v>12</v>
      </c>
      <c r="Y780">
        <v>3</v>
      </c>
      <c r="Z780">
        <v>3</v>
      </c>
      <c r="AA780">
        <v>80</v>
      </c>
      <c r="AB780">
        <v>1</v>
      </c>
      <c r="AC780">
        <v>9</v>
      </c>
      <c r="AD780">
        <v>3</v>
      </c>
      <c r="AE780">
        <v>2</v>
      </c>
      <c r="AF780">
        <v>5</v>
      </c>
      <c r="AG780">
        <v>3</v>
      </c>
      <c r="AH780">
        <v>1</v>
      </c>
      <c r="AI780">
        <v>3</v>
      </c>
    </row>
    <row r="781" spans="1:35" x14ac:dyDescent="0.3">
      <c r="A781">
        <v>39</v>
      </c>
      <c r="B781" t="s">
        <v>40</v>
      </c>
      <c r="C781" t="s">
        <v>33</v>
      </c>
      <c r="D781">
        <v>1383</v>
      </c>
      <c r="E781" t="s">
        <v>58</v>
      </c>
      <c r="F781">
        <v>2</v>
      </c>
      <c r="G781">
        <v>3</v>
      </c>
      <c r="H781" t="s">
        <v>35</v>
      </c>
      <c r="I781">
        <v>1</v>
      </c>
      <c r="J781">
        <v>909</v>
      </c>
      <c r="K781">
        <v>4</v>
      </c>
      <c r="L781" s="17" t="s">
        <v>36</v>
      </c>
      <c r="M781">
        <v>42</v>
      </c>
      <c r="N781">
        <v>2</v>
      </c>
      <c r="O781">
        <v>2</v>
      </c>
      <c r="P781" t="s">
        <v>58</v>
      </c>
      <c r="Q781">
        <v>4</v>
      </c>
      <c r="R781" t="s">
        <v>45</v>
      </c>
      <c r="S781" s="6">
        <v>5204</v>
      </c>
      <c r="T781">
        <v>7790</v>
      </c>
      <c r="U781">
        <v>8</v>
      </c>
      <c r="V781" t="s">
        <v>39</v>
      </c>
      <c r="W781" t="s">
        <v>40</v>
      </c>
      <c r="X781">
        <v>11</v>
      </c>
      <c r="Y781">
        <v>3</v>
      </c>
      <c r="Z781">
        <v>3</v>
      </c>
      <c r="AA781">
        <v>80</v>
      </c>
      <c r="AB781">
        <v>2</v>
      </c>
      <c r="AC781">
        <v>13</v>
      </c>
      <c r="AD781">
        <v>2</v>
      </c>
      <c r="AE781">
        <v>3</v>
      </c>
      <c r="AF781">
        <v>5</v>
      </c>
      <c r="AG781">
        <v>4</v>
      </c>
      <c r="AH781">
        <v>0</v>
      </c>
      <c r="AI781">
        <v>4</v>
      </c>
    </row>
    <row r="782" spans="1:35" x14ac:dyDescent="0.3">
      <c r="A782">
        <v>35</v>
      </c>
      <c r="B782" t="s">
        <v>40</v>
      </c>
      <c r="C782" t="s">
        <v>33</v>
      </c>
      <c r="D782">
        <v>1224</v>
      </c>
      <c r="E782" t="s">
        <v>34</v>
      </c>
      <c r="F782">
        <v>7</v>
      </c>
      <c r="G782">
        <v>4</v>
      </c>
      <c r="H782" t="s">
        <v>35</v>
      </c>
      <c r="I782">
        <v>1</v>
      </c>
      <c r="J782">
        <v>1962</v>
      </c>
      <c r="K782">
        <v>3</v>
      </c>
      <c r="L782" s="17" t="s">
        <v>36</v>
      </c>
      <c r="M782">
        <v>55</v>
      </c>
      <c r="N782">
        <v>3</v>
      </c>
      <c r="O782">
        <v>2</v>
      </c>
      <c r="P782" t="s">
        <v>37</v>
      </c>
      <c r="Q782">
        <v>4</v>
      </c>
      <c r="R782" t="s">
        <v>45</v>
      </c>
      <c r="S782" s="6">
        <v>5204</v>
      </c>
      <c r="T782">
        <v>13586</v>
      </c>
      <c r="U782">
        <v>1</v>
      </c>
      <c r="V782" t="s">
        <v>39</v>
      </c>
      <c r="W782" t="s">
        <v>32</v>
      </c>
      <c r="X782">
        <v>11</v>
      </c>
      <c r="Y782">
        <v>3</v>
      </c>
      <c r="Z782">
        <v>4</v>
      </c>
      <c r="AA782">
        <v>80</v>
      </c>
      <c r="AB782">
        <v>0</v>
      </c>
      <c r="AC782">
        <v>10</v>
      </c>
      <c r="AD782">
        <v>2</v>
      </c>
      <c r="AE782">
        <v>3</v>
      </c>
      <c r="AF782">
        <v>10</v>
      </c>
      <c r="AG782">
        <v>8</v>
      </c>
      <c r="AH782">
        <v>0</v>
      </c>
      <c r="AI782">
        <v>9</v>
      </c>
    </row>
    <row r="783" spans="1:35" x14ac:dyDescent="0.3">
      <c r="A783">
        <v>25</v>
      </c>
      <c r="B783" t="s">
        <v>40</v>
      </c>
      <c r="C783" t="s">
        <v>41</v>
      </c>
      <c r="D783">
        <v>772</v>
      </c>
      <c r="E783" t="s">
        <v>42</v>
      </c>
      <c r="F783">
        <v>2</v>
      </c>
      <c r="G783">
        <v>1</v>
      </c>
      <c r="H783" t="s">
        <v>35</v>
      </c>
      <c r="I783">
        <v>1</v>
      </c>
      <c r="J783">
        <v>1653</v>
      </c>
      <c r="K783">
        <v>4</v>
      </c>
      <c r="L783" s="17" t="s">
        <v>43</v>
      </c>
      <c r="M783">
        <v>77</v>
      </c>
      <c r="N783">
        <v>4</v>
      </c>
      <c r="O783">
        <v>2</v>
      </c>
      <c r="P783" t="s">
        <v>50</v>
      </c>
      <c r="Q783">
        <v>3</v>
      </c>
      <c r="R783" t="s">
        <v>49</v>
      </c>
      <c r="S783" s="6">
        <v>5206</v>
      </c>
      <c r="T783">
        <v>4973</v>
      </c>
      <c r="U783">
        <v>1</v>
      </c>
      <c r="V783" t="s">
        <v>39</v>
      </c>
      <c r="W783" t="s">
        <v>40</v>
      </c>
      <c r="X783">
        <v>17</v>
      </c>
      <c r="Y783">
        <v>3</v>
      </c>
      <c r="Z783">
        <v>3</v>
      </c>
      <c r="AA783">
        <v>80</v>
      </c>
      <c r="AB783">
        <v>2</v>
      </c>
      <c r="AC783">
        <v>7</v>
      </c>
      <c r="AD783">
        <v>6</v>
      </c>
      <c r="AE783">
        <v>3</v>
      </c>
      <c r="AF783">
        <v>7</v>
      </c>
      <c r="AG783">
        <v>7</v>
      </c>
      <c r="AH783">
        <v>0</v>
      </c>
      <c r="AI783">
        <v>7</v>
      </c>
    </row>
    <row r="784" spans="1:35" x14ac:dyDescent="0.3">
      <c r="A784">
        <v>33</v>
      </c>
      <c r="B784" t="s">
        <v>40</v>
      </c>
      <c r="C784" t="s">
        <v>33</v>
      </c>
      <c r="D784">
        <v>589</v>
      </c>
      <c r="E784" t="s">
        <v>42</v>
      </c>
      <c r="F784">
        <v>28</v>
      </c>
      <c r="G784">
        <v>4</v>
      </c>
      <c r="H784" t="s">
        <v>35</v>
      </c>
      <c r="I784">
        <v>1</v>
      </c>
      <c r="J784">
        <v>1549</v>
      </c>
      <c r="K784">
        <v>2</v>
      </c>
      <c r="L784" s="17" t="s">
        <v>43</v>
      </c>
      <c r="M784">
        <v>79</v>
      </c>
      <c r="N784">
        <v>3</v>
      </c>
      <c r="O784">
        <v>2</v>
      </c>
      <c r="P784" t="s">
        <v>47</v>
      </c>
      <c r="Q784">
        <v>3</v>
      </c>
      <c r="R784" t="s">
        <v>45</v>
      </c>
      <c r="S784" s="6">
        <v>5207</v>
      </c>
      <c r="T784">
        <v>22949</v>
      </c>
      <c r="U784">
        <v>1</v>
      </c>
      <c r="V784" t="s">
        <v>39</v>
      </c>
      <c r="W784" t="s">
        <v>32</v>
      </c>
      <c r="X784">
        <v>12</v>
      </c>
      <c r="Y784">
        <v>3</v>
      </c>
      <c r="Z784">
        <v>2</v>
      </c>
      <c r="AA784">
        <v>80</v>
      </c>
      <c r="AB784">
        <v>1</v>
      </c>
      <c r="AC784">
        <v>15</v>
      </c>
      <c r="AD784">
        <v>3</v>
      </c>
      <c r="AE784">
        <v>3</v>
      </c>
      <c r="AF784">
        <v>15</v>
      </c>
      <c r="AG784">
        <v>14</v>
      </c>
      <c r="AH784">
        <v>5</v>
      </c>
      <c r="AI784">
        <v>7</v>
      </c>
    </row>
    <row r="785" spans="1:35" x14ac:dyDescent="0.3">
      <c r="A785">
        <v>35</v>
      </c>
      <c r="B785" t="s">
        <v>40</v>
      </c>
      <c r="C785" t="s">
        <v>33</v>
      </c>
      <c r="D785">
        <v>819</v>
      </c>
      <c r="E785" t="s">
        <v>42</v>
      </c>
      <c r="F785">
        <v>18</v>
      </c>
      <c r="G785">
        <v>5</v>
      </c>
      <c r="H785" t="s">
        <v>35</v>
      </c>
      <c r="I785">
        <v>1</v>
      </c>
      <c r="J785">
        <v>1621</v>
      </c>
      <c r="K785">
        <v>2</v>
      </c>
      <c r="L785" s="17" t="s">
        <v>43</v>
      </c>
      <c r="M785">
        <v>48</v>
      </c>
      <c r="N785">
        <v>4</v>
      </c>
      <c r="O785">
        <v>2</v>
      </c>
      <c r="P785" t="s">
        <v>44</v>
      </c>
      <c r="Q785">
        <v>1</v>
      </c>
      <c r="R785" t="s">
        <v>45</v>
      </c>
      <c r="S785" s="6">
        <v>5208</v>
      </c>
      <c r="T785">
        <v>26312</v>
      </c>
      <c r="U785">
        <v>1</v>
      </c>
      <c r="V785" t="s">
        <v>39</v>
      </c>
      <c r="W785" t="s">
        <v>40</v>
      </c>
      <c r="X785">
        <v>11</v>
      </c>
      <c r="Y785">
        <v>3</v>
      </c>
      <c r="Z785">
        <v>4</v>
      </c>
      <c r="AA785">
        <v>80</v>
      </c>
      <c r="AB785">
        <v>0</v>
      </c>
      <c r="AC785">
        <v>16</v>
      </c>
      <c r="AD785">
        <v>2</v>
      </c>
      <c r="AE785">
        <v>3</v>
      </c>
      <c r="AF785">
        <v>16</v>
      </c>
      <c r="AG785">
        <v>15</v>
      </c>
      <c r="AH785">
        <v>1</v>
      </c>
      <c r="AI785">
        <v>10</v>
      </c>
    </row>
    <row r="786" spans="1:35" x14ac:dyDescent="0.3">
      <c r="A786">
        <v>30</v>
      </c>
      <c r="B786" t="s">
        <v>40</v>
      </c>
      <c r="C786" t="s">
        <v>33</v>
      </c>
      <c r="D786">
        <v>1334</v>
      </c>
      <c r="E786" t="s">
        <v>34</v>
      </c>
      <c r="F786">
        <v>4</v>
      </c>
      <c r="G786">
        <v>2</v>
      </c>
      <c r="H786" t="s">
        <v>48</v>
      </c>
      <c r="I786">
        <v>1</v>
      </c>
      <c r="J786">
        <v>121</v>
      </c>
      <c r="K786">
        <v>3</v>
      </c>
      <c r="L786" s="17" t="s">
        <v>36</v>
      </c>
      <c r="M786">
        <v>63</v>
      </c>
      <c r="N786">
        <v>2</v>
      </c>
      <c r="O786">
        <v>2</v>
      </c>
      <c r="P786" t="s">
        <v>37</v>
      </c>
      <c r="Q786">
        <v>2</v>
      </c>
      <c r="R786" t="s">
        <v>49</v>
      </c>
      <c r="S786" s="6">
        <v>5209</v>
      </c>
      <c r="T786">
        <v>19760</v>
      </c>
      <c r="U786">
        <v>1</v>
      </c>
      <c r="V786" t="s">
        <v>39</v>
      </c>
      <c r="W786" t="s">
        <v>32</v>
      </c>
      <c r="X786">
        <v>12</v>
      </c>
      <c r="Y786">
        <v>3</v>
      </c>
      <c r="Z786">
        <v>2</v>
      </c>
      <c r="AA786">
        <v>80</v>
      </c>
      <c r="AB786">
        <v>3</v>
      </c>
      <c r="AC786">
        <v>11</v>
      </c>
      <c r="AD786">
        <v>4</v>
      </c>
      <c r="AE786">
        <v>2</v>
      </c>
      <c r="AF786">
        <v>11</v>
      </c>
      <c r="AG786">
        <v>8</v>
      </c>
      <c r="AH786">
        <v>2</v>
      </c>
      <c r="AI786">
        <v>7</v>
      </c>
    </row>
    <row r="787" spans="1:35" x14ac:dyDescent="0.3">
      <c r="A787">
        <v>45</v>
      </c>
      <c r="B787" t="s">
        <v>40</v>
      </c>
      <c r="C787" t="s">
        <v>41</v>
      </c>
      <c r="D787">
        <v>1249</v>
      </c>
      <c r="E787" t="s">
        <v>42</v>
      </c>
      <c r="F787">
        <v>7</v>
      </c>
      <c r="G787">
        <v>3</v>
      </c>
      <c r="H787" t="s">
        <v>35</v>
      </c>
      <c r="I787">
        <v>1</v>
      </c>
      <c r="J787">
        <v>425</v>
      </c>
      <c r="K787">
        <v>1</v>
      </c>
      <c r="L787" s="17" t="s">
        <v>43</v>
      </c>
      <c r="M787">
        <v>97</v>
      </c>
      <c r="N787">
        <v>3</v>
      </c>
      <c r="O787">
        <v>3</v>
      </c>
      <c r="P787" t="s">
        <v>47</v>
      </c>
      <c r="Q787">
        <v>1</v>
      </c>
      <c r="R787" t="s">
        <v>49</v>
      </c>
      <c r="S787" s="6">
        <v>5210</v>
      </c>
      <c r="T787">
        <v>20308</v>
      </c>
      <c r="U787">
        <v>1</v>
      </c>
      <c r="V787" t="s">
        <v>39</v>
      </c>
      <c r="W787" t="s">
        <v>40</v>
      </c>
      <c r="X787">
        <v>18</v>
      </c>
      <c r="Y787">
        <v>3</v>
      </c>
      <c r="Z787">
        <v>1</v>
      </c>
      <c r="AA787">
        <v>80</v>
      </c>
      <c r="AB787">
        <v>1</v>
      </c>
      <c r="AC787">
        <v>24</v>
      </c>
      <c r="AD787">
        <v>2</v>
      </c>
      <c r="AE787">
        <v>3</v>
      </c>
      <c r="AF787">
        <v>24</v>
      </c>
      <c r="AG787">
        <v>9</v>
      </c>
      <c r="AH787">
        <v>9</v>
      </c>
      <c r="AI787">
        <v>11</v>
      </c>
    </row>
    <row r="788" spans="1:35" x14ac:dyDescent="0.3">
      <c r="A788">
        <v>60</v>
      </c>
      <c r="B788" t="s">
        <v>40</v>
      </c>
      <c r="C788" t="s">
        <v>33</v>
      </c>
      <c r="D788">
        <v>696</v>
      </c>
      <c r="E788" t="s">
        <v>34</v>
      </c>
      <c r="F788">
        <v>7</v>
      </c>
      <c r="G788">
        <v>4</v>
      </c>
      <c r="H788" t="s">
        <v>56</v>
      </c>
      <c r="I788">
        <v>1</v>
      </c>
      <c r="J788">
        <v>1233</v>
      </c>
      <c r="K788">
        <v>2</v>
      </c>
      <c r="L788" s="17" t="s">
        <v>43</v>
      </c>
      <c r="M788">
        <v>52</v>
      </c>
      <c r="N788">
        <v>4</v>
      </c>
      <c r="O788">
        <v>2</v>
      </c>
      <c r="P788" t="s">
        <v>37</v>
      </c>
      <c r="Q788">
        <v>4</v>
      </c>
      <c r="R788" t="s">
        <v>49</v>
      </c>
      <c r="S788" s="6">
        <v>5220</v>
      </c>
      <c r="T788">
        <v>10893</v>
      </c>
      <c r="U788">
        <v>0</v>
      </c>
      <c r="V788" t="s">
        <v>39</v>
      </c>
      <c r="W788" t="s">
        <v>32</v>
      </c>
      <c r="X788">
        <v>18</v>
      </c>
      <c r="Y788">
        <v>3</v>
      </c>
      <c r="Z788">
        <v>2</v>
      </c>
      <c r="AA788">
        <v>80</v>
      </c>
      <c r="AB788">
        <v>1</v>
      </c>
      <c r="AC788">
        <v>12</v>
      </c>
      <c r="AD788">
        <v>3</v>
      </c>
      <c r="AE788">
        <v>3</v>
      </c>
      <c r="AF788">
        <v>11</v>
      </c>
      <c r="AG788">
        <v>7</v>
      </c>
      <c r="AH788">
        <v>1</v>
      </c>
      <c r="AI788">
        <v>9</v>
      </c>
    </row>
    <row r="789" spans="1:35" x14ac:dyDescent="0.3">
      <c r="A789">
        <v>32</v>
      </c>
      <c r="B789" t="s">
        <v>40</v>
      </c>
      <c r="C789" t="s">
        <v>33</v>
      </c>
      <c r="D789">
        <v>588</v>
      </c>
      <c r="E789" t="s">
        <v>34</v>
      </c>
      <c r="F789">
        <v>8</v>
      </c>
      <c r="G789">
        <v>2</v>
      </c>
      <c r="H789" t="s">
        <v>57</v>
      </c>
      <c r="I789">
        <v>1</v>
      </c>
      <c r="J789">
        <v>436</v>
      </c>
      <c r="K789">
        <v>3</v>
      </c>
      <c r="L789" s="17" t="s">
        <v>36</v>
      </c>
      <c r="M789">
        <v>65</v>
      </c>
      <c r="N789">
        <v>2</v>
      </c>
      <c r="O789">
        <v>2</v>
      </c>
      <c r="P789" t="s">
        <v>37</v>
      </c>
      <c r="Q789">
        <v>2</v>
      </c>
      <c r="R789" t="s">
        <v>45</v>
      </c>
      <c r="S789" s="6">
        <v>5228</v>
      </c>
      <c r="T789">
        <v>24624</v>
      </c>
      <c r="U789">
        <v>1</v>
      </c>
      <c r="V789" t="s">
        <v>39</v>
      </c>
      <c r="W789" t="s">
        <v>32</v>
      </c>
      <c r="X789">
        <v>11</v>
      </c>
      <c r="Y789">
        <v>3</v>
      </c>
      <c r="Z789">
        <v>4</v>
      </c>
      <c r="AA789">
        <v>80</v>
      </c>
      <c r="AB789">
        <v>0</v>
      </c>
      <c r="AC789">
        <v>13</v>
      </c>
      <c r="AD789">
        <v>2</v>
      </c>
      <c r="AE789">
        <v>3</v>
      </c>
      <c r="AF789">
        <v>13</v>
      </c>
      <c r="AG789">
        <v>12</v>
      </c>
      <c r="AH789">
        <v>11</v>
      </c>
      <c r="AI789">
        <v>9</v>
      </c>
    </row>
    <row r="790" spans="1:35" x14ac:dyDescent="0.3">
      <c r="A790">
        <v>36</v>
      </c>
      <c r="B790" t="s">
        <v>40</v>
      </c>
      <c r="C790" t="s">
        <v>33</v>
      </c>
      <c r="D790">
        <v>676</v>
      </c>
      <c r="E790" t="s">
        <v>42</v>
      </c>
      <c r="F790">
        <v>1</v>
      </c>
      <c r="G790">
        <v>3</v>
      </c>
      <c r="H790" t="s">
        <v>46</v>
      </c>
      <c r="I790">
        <v>1</v>
      </c>
      <c r="J790">
        <v>823</v>
      </c>
      <c r="K790">
        <v>3</v>
      </c>
      <c r="L790" s="17" t="s">
        <v>36</v>
      </c>
      <c r="M790">
        <v>35</v>
      </c>
      <c r="N790">
        <v>3</v>
      </c>
      <c r="O790">
        <v>2</v>
      </c>
      <c r="P790" t="s">
        <v>50</v>
      </c>
      <c r="Q790">
        <v>2</v>
      </c>
      <c r="R790" t="s">
        <v>45</v>
      </c>
      <c r="S790" s="6">
        <v>5228</v>
      </c>
      <c r="T790">
        <v>23361</v>
      </c>
      <c r="U790">
        <v>0</v>
      </c>
      <c r="V790" t="s">
        <v>39</v>
      </c>
      <c r="W790" t="s">
        <v>40</v>
      </c>
      <c r="X790">
        <v>15</v>
      </c>
      <c r="Y790">
        <v>3</v>
      </c>
      <c r="Z790">
        <v>1</v>
      </c>
      <c r="AA790">
        <v>80</v>
      </c>
      <c r="AB790">
        <v>1</v>
      </c>
      <c r="AC790">
        <v>10</v>
      </c>
      <c r="AD790">
        <v>2</v>
      </c>
      <c r="AE790">
        <v>3</v>
      </c>
      <c r="AF790">
        <v>9</v>
      </c>
      <c r="AG790">
        <v>7</v>
      </c>
      <c r="AH790">
        <v>0</v>
      </c>
      <c r="AI790">
        <v>5</v>
      </c>
    </row>
    <row r="791" spans="1:35" x14ac:dyDescent="0.3">
      <c r="A791">
        <v>42</v>
      </c>
      <c r="B791" t="s">
        <v>40</v>
      </c>
      <c r="C791" t="s">
        <v>33</v>
      </c>
      <c r="D791">
        <v>1265</v>
      </c>
      <c r="E791" t="s">
        <v>42</v>
      </c>
      <c r="F791">
        <v>3</v>
      </c>
      <c r="G791">
        <v>3</v>
      </c>
      <c r="H791" t="s">
        <v>35</v>
      </c>
      <c r="I791">
        <v>1</v>
      </c>
      <c r="J791">
        <v>894</v>
      </c>
      <c r="K791">
        <v>3</v>
      </c>
      <c r="L791" s="17" t="s">
        <v>36</v>
      </c>
      <c r="M791">
        <v>95</v>
      </c>
      <c r="N791">
        <v>4</v>
      </c>
      <c r="O791">
        <v>2</v>
      </c>
      <c r="P791" t="s">
        <v>47</v>
      </c>
      <c r="Q791">
        <v>4</v>
      </c>
      <c r="R791" t="s">
        <v>45</v>
      </c>
      <c r="S791" s="6">
        <v>5231</v>
      </c>
      <c r="T791">
        <v>23726</v>
      </c>
      <c r="U791">
        <v>2</v>
      </c>
      <c r="V791" t="s">
        <v>39</v>
      </c>
      <c r="W791" t="s">
        <v>32</v>
      </c>
      <c r="X791">
        <v>13</v>
      </c>
      <c r="Y791">
        <v>3</v>
      </c>
      <c r="Z791">
        <v>2</v>
      </c>
      <c r="AA791">
        <v>80</v>
      </c>
      <c r="AB791">
        <v>1</v>
      </c>
      <c r="AC791">
        <v>17</v>
      </c>
      <c r="AD791">
        <v>1</v>
      </c>
      <c r="AE791">
        <v>2</v>
      </c>
      <c r="AF791">
        <v>5</v>
      </c>
      <c r="AG791">
        <v>3</v>
      </c>
      <c r="AH791">
        <v>1</v>
      </c>
      <c r="AI791">
        <v>3</v>
      </c>
    </row>
    <row r="792" spans="1:35" x14ac:dyDescent="0.3">
      <c r="A792">
        <v>36</v>
      </c>
      <c r="B792" t="s">
        <v>40</v>
      </c>
      <c r="C792" t="s">
        <v>33</v>
      </c>
      <c r="D792">
        <v>1299</v>
      </c>
      <c r="E792" t="s">
        <v>42</v>
      </c>
      <c r="F792">
        <v>27</v>
      </c>
      <c r="G792">
        <v>3</v>
      </c>
      <c r="H792" t="s">
        <v>48</v>
      </c>
      <c r="I792">
        <v>1</v>
      </c>
      <c r="J792">
        <v>13</v>
      </c>
      <c r="K792">
        <v>3</v>
      </c>
      <c r="L792" s="17" t="s">
        <v>43</v>
      </c>
      <c r="M792">
        <v>94</v>
      </c>
      <c r="N792">
        <v>3</v>
      </c>
      <c r="O792">
        <v>2</v>
      </c>
      <c r="P792" t="s">
        <v>51</v>
      </c>
      <c r="Q792">
        <v>3</v>
      </c>
      <c r="R792" t="s">
        <v>45</v>
      </c>
      <c r="S792" s="6">
        <v>5237</v>
      </c>
      <c r="T792">
        <v>16577</v>
      </c>
      <c r="U792">
        <v>6</v>
      </c>
      <c r="V792" t="s">
        <v>39</v>
      </c>
      <c r="W792" t="s">
        <v>40</v>
      </c>
      <c r="X792">
        <v>13</v>
      </c>
      <c r="Y792">
        <v>3</v>
      </c>
      <c r="Z792">
        <v>2</v>
      </c>
      <c r="AA792">
        <v>80</v>
      </c>
      <c r="AB792">
        <v>2</v>
      </c>
      <c r="AC792">
        <v>17</v>
      </c>
      <c r="AD792">
        <v>3</v>
      </c>
      <c r="AE792">
        <v>2</v>
      </c>
      <c r="AF792">
        <v>7</v>
      </c>
      <c r="AG792">
        <v>7</v>
      </c>
      <c r="AH792">
        <v>7</v>
      </c>
      <c r="AI792">
        <v>7</v>
      </c>
    </row>
    <row r="793" spans="1:35" x14ac:dyDescent="0.3">
      <c r="A793">
        <v>39</v>
      </c>
      <c r="B793" t="s">
        <v>32</v>
      </c>
      <c r="C793" t="s">
        <v>33</v>
      </c>
      <c r="D793">
        <v>1162</v>
      </c>
      <c r="E793" t="s">
        <v>34</v>
      </c>
      <c r="F793">
        <v>3</v>
      </c>
      <c r="G793">
        <v>2</v>
      </c>
      <c r="H793" t="s">
        <v>48</v>
      </c>
      <c r="I793">
        <v>1</v>
      </c>
      <c r="J793">
        <v>445</v>
      </c>
      <c r="K793">
        <v>4</v>
      </c>
      <c r="L793" s="17" t="s">
        <v>36</v>
      </c>
      <c r="M793">
        <v>41</v>
      </c>
      <c r="N793">
        <v>3</v>
      </c>
      <c r="O793">
        <v>2</v>
      </c>
      <c r="P793" t="s">
        <v>37</v>
      </c>
      <c r="Q793">
        <v>3</v>
      </c>
      <c r="R793" t="s">
        <v>45</v>
      </c>
      <c r="S793" s="6">
        <v>5238</v>
      </c>
      <c r="T793">
        <v>17778</v>
      </c>
      <c r="U793">
        <v>4</v>
      </c>
      <c r="V793" t="s">
        <v>39</v>
      </c>
      <c r="W793" t="s">
        <v>32</v>
      </c>
      <c r="X793">
        <v>18</v>
      </c>
      <c r="Y793">
        <v>3</v>
      </c>
      <c r="Z793">
        <v>1</v>
      </c>
      <c r="AA793">
        <v>80</v>
      </c>
      <c r="AB793">
        <v>0</v>
      </c>
      <c r="AC793">
        <v>12</v>
      </c>
      <c r="AD793">
        <v>3</v>
      </c>
      <c r="AE793">
        <v>2</v>
      </c>
      <c r="AF793">
        <v>1</v>
      </c>
      <c r="AG793">
        <v>0</v>
      </c>
      <c r="AH793">
        <v>0</v>
      </c>
      <c r="AI793">
        <v>0</v>
      </c>
    </row>
    <row r="794" spans="1:35" x14ac:dyDescent="0.3">
      <c r="A794">
        <v>31</v>
      </c>
      <c r="B794" t="s">
        <v>40</v>
      </c>
      <c r="C794" t="s">
        <v>41</v>
      </c>
      <c r="D794">
        <v>163</v>
      </c>
      <c r="E794" t="s">
        <v>42</v>
      </c>
      <c r="F794">
        <v>24</v>
      </c>
      <c r="G794">
        <v>1</v>
      </c>
      <c r="H794" t="s">
        <v>57</v>
      </c>
      <c r="I794">
        <v>1</v>
      </c>
      <c r="J794">
        <v>1736</v>
      </c>
      <c r="K794">
        <v>4</v>
      </c>
      <c r="L794" s="17" t="s">
        <v>36</v>
      </c>
      <c r="M794">
        <v>30</v>
      </c>
      <c r="N794">
        <v>3</v>
      </c>
      <c r="O794">
        <v>2</v>
      </c>
      <c r="P794" t="s">
        <v>50</v>
      </c>
      <c r="Q794">
        <v>4</v>
      </c>
      <c r="R794" t="s">
        <v>38</v>
      </c>
      <c r="S794" s="6">
        <v>5238</v>
      </c>
      <c r="T794">
        <v>6670</v>
      </c>
      <c r="U794">
        <v>2</v>
      </c>
      <c r="V794" t="s">
        <v>39</v>
      </c>
      <c r="W794" t="s">
        <v>40</v>
      </c>
      <c r="X794">
        <v>20</v>
      </c>
      <c r="Y794">
        <v>4</v>
      </c>
      <c r="Z794">
        <v>4</v>
      </c>
      <c r="AA794">
        <v>80</v>
      </c>
      <c r="AB794">
        <v>0</v>
      </c>
      <c r="AC794">
        <v>9</v>
      </c>
      <c r="AD794">
        <v>3</v>
      </c>
      <c r="AE794">
        <v>2</v>
      </c>
      <c r="AF794">
        <v>5</v>
      </c>
      <c r="AG794">
        <v>4</v>
      </c>
      <c r="AH794">
        <v>1</v>
      </c>
      <c r="AI794">
        <v>4</v>
      </c>
    </row>
    <row r="795" spans="1:35" x14ac:dyDescent="0.3">
      <c r="A795">
        <v>38</v>
      </c>
      <c r="B795" t="s">
        <v>40</v>
      </c>
      <c r="C795" t="s">
        <v>52</v>
      </c>
      <c r="D795">
        <v>1327</v>
      </c>
      <c r="E795" t="s">
        <v>34</v>
      </c>
      <c r="F795">
        <v>2</v>
      </c>
      <c r="G795">
        <v>2</v>
      </c>
      <c r="H795" t="s">
        <v>35</v>
      </c>
      <c r="I795">
        <v>1</v>
      </c>
      <c r="J795">
        <v>361</v>
      </c>
      <c r="K795">
        <v>4</v>
      </c>
      <c r="L795" s="17" t="s">
        <v>43</v>
      </c>
      <c r="M795">
        <v>39</v>
      </c>
      <c r="N795">
        <v>2</v>
      </c>
      <c r="O795">
        <v>2</v>
      </c>
      <c r="P795" t="s">
        <v>37</v>
      </c>
      <c r="Q795">
        <v>4</v>
      </c>
      <c r="R795" t="s">
        <v>45</v>
      </c>
      <c r="S795" s="6">
        <v>5249</v>
      </c>
      <c r="T795">
        <v>19682</v>
      </c>
      <c r="U795">
        <v>3</v>
      </c>
      <c r="V795" t="s">
        <v>39</v>
      </c>
      <c r="W795" t="s">
        <v>40</v>
      </c>
      <c r="X795">
        <v>18</v>
      </c>
      <c r="Y795">
        <v>3</v>
      </c>
      <c r="Z795">
        <v>4</v>
      </c>
      <c r="AA795">
        <v>80</v>
      </c>
      <c r="AB795">
        <v>1</v>
      </c>
      <c r="AC795">
        <v>13</v>
      </c>
      <c r="AD795">
        <v>0</v>
      </c>
      <c r="AE795">
        <v>3</v>
      </c>
      <c r="AF795">
        <v>8</v>
      </c>
      <c r="AG795">
        <v>7</v>
      </c>
      <c r="AH795">
        <v>7</v>
      </c>
      <c r="AI795">
        <v>5</v>
      </c>
    </row>
    <row r="796" spans="1:35" x14ac:dyDescent="0.3">
      <c r="A796">
        <v>28</v>
      </c>
      <c r="B796" t="s">
        <v>40</v>
      </c>
      <c r="C796" t="s">
        <v>33</v>
      </c>
      <c r="D796">
        <v>304</v>
      </c>
      <c r="E796" t="s">
        <v>34</v>
      </c>
      <c r="F796">
        <v>9</v>
      </c>
      <c r="G796">
        <v>4</v>
      </c>
      <c r="H796" t="s">
        <v>35</v>
      </c>
      <c r="I796">
        <v>1</v>
      </c>
      <c r="J796">
        <v>498</v>
      </c>
      <c r="K796">
        <v>2</v>
      </c>
      <c r="L796" s="17" t="s">
        <v>43</v>
      </c>
      <c r="M796">
        <v>92</v>
      </c>
      <c r="N796">
        <v>3</v>
      </c>
      <c r="O796">
        <v>2</v>
      </c>
      <c r="P796" t="s">
        <v>37</v>
      </c>
      <c r="Q796">
        <v>4</v>
      </c>
      <c r="R796" t="s">
        <v>38</v>
      </c>
      <c r="S796" s="6">
        <v>5253</v>
      </c>
      <c r="T796">
        <v>20750</v>
      </c>
      <c r="U796">
        <v>1</v>
      </c>
      <c r="V796" t="s">
        <v>39</v>
      </c>
      <c r="W796" t="s">
        <v>40</v>
      </c>
      <c r="X796">
        <v>16</v>
      </c>
      <c r="Y796">
        <v>3</v>
      </c>
      <c r="Z796">
        <v>4</v>
      </c>
      <c r="AA796">
        <v>80</v>
      </c>
      <c r="AB796">
        <v>0</v>
      </c>
      <c r="AC796">
        <v>7</v>
      </c>
      <c r="AD796">
        <v>1</v>
      </c>
      <c r="AE796">
        <v>3</v>
      </c>
      <c r="AF796">
        <v>7</v>
      </c>
      <c r="AG796">
        <v>5</v>
      </c>
      <c r="AH796">
        <v>0</v>
      </c>
      <c r="AI796">
        <v>7</v>
      </c>
    </row>
    <row r="797" spans="1:35" x14ac:dyDescent="0.3">
      <c r="A797">
        <v>43</v>
      </c>
      <c r="B797" t="s">
        <v>40</v>
      </c>
      <c r="C797" t="s">
        <v>41</v>
      </c>
      <c r="D797">
        <v>559</v>
      </c>
      <c r="E797" t="s">
        <v>42</v>
      </c>
      <c r="F797">
        <v>10</v>
      </c>
      <c r="G797">
        <v>4</v>
      </c>
      <c r="H797" t="s">
        <v>35</v>
      </c>
      <c r="I797">
        <v>1</v>
      </c>
      <c r="J797">
        <v>448</v>
      </c>
      <c r="K797">
        <v>3</v>
      </c>
      <c r="L797" s="17" t="s">
        <v>36</v>
      </c>
      <c r="M797">
        <v>82</v>
      </c>
      <c r="N797">
        <v>2</v>
      </c>
      <c r="O797">
        <v>2</v>
      </c>
      <c r="P797" t="s">
        <v>47</v>
      </c>
      <c r="Q797">
        <v>3</v>
      </c>
      <c r="R797" t="s">
        <v>49</v>
      </c>
      <c r="S797" s="6">
        <v>5257</v>
      </c>
      <c r="T797">
        <v>6227</v>
      </c>
      <c r="U797">
        <v>1</v>
      </c>
      <c r="V797" t="s">
        <v>39</v>
      </c>
      <c r="W797" t="s">
        <v>40</v>
      </c>
      <c r="X797">
        <v>11</v>
      </c>
      <c r="Y797">
        <v>3</v>
      </c>
      <c r="Z797">
        <v>2</v>
      </c>
      <c r="AA797">
        <v>80</v>
      </c>
      <c r="AB797">
        <v>1</v>
      </c>
      <c r="AC797">
        <v>9</v>
      </c>
      <c r="AD797">
        <v>3</v>
      </c>
      <c r="AE797">
        <v>4</v>
      </c>
      <c r="AF797">
        <v>9</v>
      </c>
      <c r="AG797">
        <v>7</v>
      </c>
      <c r="AH797">
        <v>0</v>
      </c>
      <c r="AI797">
        <v>0</v>
      </c>
    </row>
    <row r="798" spans="1:35" x14ac:dyDescent="0.3">
      <c r="A798">
        <v>46</v>
      </c>
      <c r="B798" t="s">
        <v>40</v>
      </c>
      <c r="C798" t="s">
        <v>52</v>
      </c>
      <c r="D798">
        <v>1144</v>
      </c>
      <c r="E798" t="s">
        <v>42</v>
      </c>
      <c r="F798">
        <v>7</v>
      </c>
      <c r="G798">
        <v>4</v>
      </c>
      <c r="H798" t="s">
        <v>48</v>
      </c>
      <c r="I798">
        <v>1</v>
      </c>
      <c r="J798">
        <v>487</v>
      </c>
      <c r="K798">
        <v>3</v>
      </c>
      <c r="L798" s="17" t="s">
        <v>36</v>
      </c>
      <c r="M798">
        <v>30</v>
      </c>
      <c r="N798">
        <v>3</v>
      </c>
      <c r="O798">
        <v>2</v>
      </c>
      <c r="P798" t="s">
        <v>50</v>
      </c>
      <c r="Q798">
        <v>3</v>
      </c>
      <c r="R798" t="s">
        <v>45</v>
      </c>
      <c r="S798" s="6">
        <v>5258</v>
      </c>
      <c r="T798">
        <v>16044</v>
      </c>
      <c r="U798">
        <v>2</v>
      </c>
      <c r="V798" t="s">
        <v>39</v>
      </c>
      <c r="W798" t="s">
        <v>40</v>
      </c>
      <c r="X798">
        <v>14</v>
      </c>
      <c r="Y798">
        <v>3</v>
      </c>
      <c r="Z798">
        <v>3</v>
      </c>
      <c r="AA798">
        <v>80</v>
      </c>
      <c r="AB798">
        <v>0</v>
      </c>
      <c r="AC798">
        <v>7</v>
      </c>
      <c r="AD798">
        <v>2</v>
      </c>
      <c r="AE798">
        <v>4</v>
      </c>
      <c r="AF798">
        <v>1</v>
      </c>
      <c r="AG798">
        <v>0</v>
      </c>
      <c r="AH798">
        <v>0</v>
      </c>
      <c r="AI798">
        <v>0</v>
      </c>
    </row>
    <row r="799" spans="1:35" x14ac:dyDescent="0.3">
      <c r="A799">
        <v>42</v>
      </c>
      <c r="B799" t="s">
        <v>40</v>
      </c>
      <c r="C799" t="s">
        <v>52</v>
      </c>
      <c r="D799">
        <v>926</v>
      </c>
      <c r="E799" t="s">
        <v>42</v>
      </c>
      <c r="F799">
        <v>21</v>
      </c>
      <c r="G799">
        <v>2</v>
      </c>
      <c r="H799" t="s">
        <v>48</v>
      </c>
      <c r="I799">
        <v>1</v>
      </c>
      <c r="J799">
        <v>270</v>
      </c>
      <c r="K799">
        <v>3</v>
      </c>
      <c r="L799" s="17" t="s">
        <v>36</v>
      </c>
      <c r="M799">
        <v>36</v>
      </c>
      <c r="N799">
        <v>3</v>
      </c>
      <c r="O799">
        <v>2</v>
      </c>
      <c r="P799" t="s">
        <v>50</v>
      </c>
      <c r="Q799">
        <v>3</v>
      </c>
      <c r="R799" t="s">
        <v>49</v>
      </c>
      <c r="S799" s="6">
        <v>5265</v>
      </c>
      <c r="T799">
        <v>16439</v>
      </c>
      <c r="U799">
        <v>2</v>
      </c>
      <c r="V799" t="s">
        <v>39</v>
      </c>
      <c r="W799" t="s">
        <v>40</v>
      </c>
      <c r="X799">
        <v>16</v>
      </c>
      <c r="Y799">
        <v>3</v>
      </c>
      <c r="Z799">
        <v>2</v>
      </c>
      <c r="AA799">
        <v>80</v>
      </c>
      <c r="AB799">
        <v>1</v>
      </c>
      <c r="AC799">
        <v>11</v>
      </c>
      <c r="AD799">
        <v>5</v>
      </c>
      <c r="AE799">
        <v>3</v>
      </c>
      <c r="AF799">
        <v>5</v>
      </c>
      <c r="AG799">
        <v>3</v>
      </c>
      <c r="AH799">
        <v>0</v>
      </c>
      <c r="AI799">
        <v>2</v>
      </c>
    </row>
    <row r="800" spans="1:35" x14ac:dyDescent="0.3">
      <c r="A800">
        <v>30</v>
      </c>
      <c r="B800" t="s">
        <v>40</v>
      </c>
      <c r="C800" t="s">
        <v>33</v>
      </c>
      <c r="D800">
        <v>305</v>
      </c>
      <c r="E800" t="s">
        <v>42</v>
      </c>
      <c r="F800">
        <v>16</v>
      </c>
      <c r="G800">
        <v>3</v>
      </c>
      <c r="H800" t="s">
        <v>35</v>
      </c>
      <c r="I800">
        <v>1</v>
      </c>
      <c r="J800">
        <v>1763</v>
      </c>
      <c r="K800">
        <v>3</v>
      </c>
      <c r="L800" s="17" t="s">
        <v>43</v>
      </c>
      <c r="M800">
        <v>58</v>
      </c>
      <c r="N800">
        <v>4</v>
      </c>
      <c r="O800">
        <v>2</v>
      </c>
      <c r="P800" t="s">
        <v>51</v>
      </c>
      <c r="Q800">
        <v>3</v>
      </c>
      <c r="R800" t="s">
        <v>45</v>
      </c>
      <c r="S800" s="6">
        <v>5294</v>
      </c>
      <c r="T800">
        <v>9128</v>
      </c>
      <c r="U800">
        <v>3</v>
      </c>
      <c r="V800" t="s">
        <v>39</v>
      </c>
      <c r="W800" t="s">
        <v>40</v>
      </c>
      <c r="X800">
        <v>16</v>
      </c>
      <c r="Y800">
        <v>3</v>
      </c>
      <c r="Z800">
        <v>3</v>
      </c>
      <c r="AA800">
        <v>80</v>
      </c>
      <c r="AB800">
        <v>1</v>
      </c>
      <c r="AC800">
        <v>10</v>
      </c>
      <c r="AD800">
        <v>3</v>
      </c>
      <c r="AE800">
        <v>3</v>
      </c>
      <c r="AF800">
        <v>7</v>
      </c>
      <c r="AG800">
        <v>0</v>
      </c>
      <c r="AH800">
        <v>1</v>
      </c>
      <c r="AI800">
        <v>7</v>
      </c>
    </row>
    <row r="801" spans="1:35" x14ac:dyDescent="0.3">
      <c r="A801">
        <v>39</v>
      </c>
      <c r="B801" t="s">
        <v>40</v>
      </c>
      <c r="C801" t="s">
        <v>33</v>
      </c>
      <c r="D801">
        <v>492</v>
      </c>
      <c r="E801" t="s">
        <v>42</v>
      </c>
      <c r="F801">
        <v>12</v>
      </c>
      <c r="G801">
        <v>3</v>
      </c>
      <c r="H801" t="s">
        <v>48</v>
      </c>
      <c r="I801">
        <v>1</v>
      </c>
      <c r="J801">
        <v>1654</v>
      </c>
      <c r="K801">
        <v>4</v>
      </c>
      <c r="L801" s="17" t="s">
        <v>43</v>
      </c>
      <c r="M801">
        <v>66</v>
      </c>
      <c r="N801">
        <v>3</v>
      </c>
      <c r="O801">
        <v>2</v>
      </c>
      <c r="P801" t="s">
        <v>50</v>
      </c>
      <c r="Q801">
        <v>2</v>
      </c>
      <c r="R801" t="s">
        <v>45</v>
      </c>
      <c r="S801" s="6">
        <v>5295</v>
      </c>
      <c r="T801">
        <v>7693</v>
      </c>
      <c r="U801">
        <v>4</v>
      </c>
      <c r="V801" t="s">
        <v>39</v>
      </c>
      <c r="W801" t="s">
        <v>40</v>
      </c>
      <c r="X801">
        <v>21</v>
      </c>
      <c r="Y801">
        <v>4</v>
      </c>
      <c r="Z801">
        <v>3</v>
      </c>
      <c r="AA801">
        <v>80</v>
      </c>
      <c r="AB801">
        <v>0</v>
      </c>
      <c r="AC801">
        <v>7</v>
      </c>
      <c r="AD801">
        <v>3</v>
      </c>
      <c r="AE801">
        <v>3</v>
      </c>
      <c r="AF801">
        <v>5</v>
      </c>
      <c r="AG801">
        <v>4</v>
      </c>
      <c r="AH801">
        <v>1</v>
      </c>
      <c r="AI801">
        <v>0</v>
      </c>
    </row>
    <row r="802" spans="1:35" x14ac:dyDescent="0.3">
      <c r="A802">
        <v>26</v>
      </c>
      <c r="B802" t="s">
        <v>40</v>
      </c>
      <c r="C802" t="s">
        <v>33</v>
      </c>
      <c r="D802">
        <v>933</v>
      </c>
      <c r="E802" t="s">
        <v>34</v>
      </c>
      <c r="F802">
        <v>1</v>
      </c>
      <c r="G802">
        <v>3</v>
      </c>
      <c r="H802" t="s">
        <v>35</v>
      </c>
      <c r="I802">
        <v>1</v>
      </c>
      <c r="J802">
        <v>476</v>
      </c>
      <c r="K802">
        <v>3</v>
      </c>
      <c r="L802" s="17" t="s">
        <v>43</v>
      </c>
      <c r="M802">
        <v>57</v>
      </c>
      <c r="N802">
        <v>3</v>
      </c>
      <c r="O802">
        <v>2</v>
      </c>
      <c r="P802" t="s">
        <v>37</v>
      </c>
      <c r="Q802">
        <v>3</v>
      </c>
      <c r="R802" t="s">
        <v>45</v>
      </c>
      <c r="S802" s="6">
        <v>5296</v>
      </c>
      <c r="T802">
        <v>20156</v>
      </c>
      <c r="U802">
        <v>1</v>
      </c>
      <c r="V802" t="s">
        <v>39</v>
      </c>
      <c r="W802" t="s">
        <v>40</v>
      </c>
      <c r="X802">
        <v>17</v>
      </c>
      <c r="Y802">
        <v>3</v>
      </c>
      <c r="Z802">
        <v>2</v>
      </c>
      <c r="AA802">
        <v>80</v>
      </c>
      <c r="AB802">
        <v>1</v>
      </c>
      <c r="AC802">
        <v>8</v>
      </c>
      <c r="AD802">
        <v>3</v>
      </c>
      <c r="AE802">
        <v>3</v>
      </c>
      <c r="AF802">
        <v>8</v>
      </c>
      <c r="AG802">
        <v>7</v>
      </c>
      <c r="AH802">
        <v>7</v>
      </c>
      <c r="AI802">
        <v>7</v>
      </c>
    </row>
    <row r="803" spans="1:35" x14ac:dyDescent="0.3">
      <c r="A803">
        <v>30</v>
      </c>
      <c r="B803" t="s">
        <v>40</v>
      </c>
      <c r="C803" t="s">
        <v>33</v>
      </c>
      <c r="D803">
        <v>1358</v>
      </c>
      <c r="E803" t="s">
        <v>34</v>
      </c>
      <c r="F803">
        <v>16</v>
      </c>
      <c r="G803">
        <v>1</v>
      </c>
      <c r="H803" t="s">
        <v>35</v>
      </c>
      <c r="I803">
        <v>1</v>
      </c>
      <c r="J803">
        <v>1479</v>
      </c>
      <c r="K803">
        <v>4</v>
      </c>
      <c r="L803" s="17" t="s">
        <v>43</v>
      </c>
      <c r="M803">
        <v>96</v>
      </c>
      <c r="N803">
        <v>3</v>
      </c>
      <c r="O803">
        <v>2</v>
      </c>
      <c r="P803" t="s">
        <v>37</v>
      </c>
      <c r="Q803">
        <v>3</v>
      </c>
      <c r="R803" t="s">
        <v>45</v>
      </c>
      <c r="S803" s="6">
        <v>5301</v>
      </c>
      <c r="T803">
        <v>2939</v>
      </c>
      <c r="U803">
        <v>8</v>
      </c>
      <c r="V803" t="s">
        <v>39</v>
      </c>
      <c r="W803" t="s">
        <v>40</v>
      </c>
      <c r="X803">
        <v>15</v>
      </c>
      <c r="Y803">
        <v>3</v>
      </c>
      <c r="Z803">
        <v>3</v>
      </c>
      <c r="AA803">
        <v>80</v>
      </c>
      <c r="AB803">
        <v>2</v>
      </c>
      <c r="AC803">
        <v>4</v>
      </c>
      <c r="AD803">
        <v>2</v>
      </c>
      <c r="AE803">
        <v>2</v>
      </c>
      <c r="AF803">
        <v>2</v>
      </c>
      <c r="AG803">
        <v>1</v>
      </c>
      <c r="AH803">
        <v>2</v>
      </c>
      <c r="AI803">
        <v>2</v>
      </c>
    </row>
    <row r="804" spans="1:35" x14ac:dyDescent="0.3">
      <c r="A804">
        <v>34</v>
      </c>
      <c r="B804" t="s">
        <v>32</v>
      </c>
      <c r="C804" t="s">
        <v>52</v>
      </c>
      <c r="D804">
        <v>1362</v>
      </c>
      <c r="E804" t="s">
        <v>34</v>
      </c>
      <c r="F804">
        <v>19</v>
      </c>
      <c r="G804">
        <v>3</v>
      </c>
      <c r="H804" t="s">
        <v>56</v>
      </c>
      <c r="I804">
        <v>1</v>
      </c>
      <c r="J804">
        <v>502</v>
      </c>
      <c r="K804">
        <v>1</v>
      </c>
      <c r="L804" s="17" t="s">
        <v>43</v>
      </c>
      <c r="M804">
        <v>67</v>
      </c>
      <c r="N804">
        <v>4</v>
      </c>
      <c r="O804">
        <v>2</v>
      </c>
      <c r="P804" t="s">
        <v>37</v>
      </c>
      <c r="Q804">
        <v>4</v>
      </c>
      <c r="R804" t="s">
        <v>38</v>
      </c>
      <c r="S804" s="6">
        <v>5304</v>
      </c>
      <c r="T804">
        <v>4652</v>
      </c>
      <c r="U804">
        <v>8</v>
      </c>
      <c r="V804" t="s">
        <v>39</v>
      </c>
      <c r="W804" t="s">
        <v>32</v>
      </c>
      <c r="X804">
        <v>13</v>
      </c>
      <c r="Y804">
        <v>3</v>
      </c>
      <c r="Z804">
        <v>2</v>
      </c>
      <c r="AA804">
        <v>80</v>
      </c>
      <c r="AB804">
        <v>0</v>
      </c>
      <c r="AC804">
        <v>9</v>
      </c>
      <c r="AD804">
        <v>3</v>
      </c>
      <c r="AE804">
        <v>2</v>
      </c>
      <c r="AF804">
        <v>5</v>
      </c>
      <c r="AG804">
        <v>2</v>
      </c>
      <c r="AH804">
        <v>0</v>
      </c>
      <c r="AI804">
        <v>4</v>
      </c>
    </row>
    <row r="805" spans="1:35" x14ac:dyDescent="0.3">
      <c r="A805">
        <v>30</v>
      </c>
      <c r="B805" t="s">
        <v>40</v>
      </c>
      <c r="C805" t="s">
        <v>33</v>
      </c>
      <c r="D805">
        <v>501</v>
      </c>
      <c r="E805" t="s">
        <v>34</v>
      </c>
      <c r="F805">
        <v>27</v>
      </c>
      <c r="G805">
        <v>5</v>
      </c>
      <c r="H805" t="s">
        <v>56</v>
      </c>
      <c r="I805">
        <v>1</v>
      </c>
      <c r="J805">
        <v>747</v>
      </c>
      <c r="K805">
        <v>3</v>
      </c>
      <c r="L805" s="17" t="s">
        <v>43</v>
      </c>
      <c r="M805">
        <v>99</v>
      </c>
      <c r="N805">
        <v>3</v>
      </c>
      <c r="O805">
        <v>2</v>
      </c>
      <c r="P805" t="s">
        <v>37</v>
      </c>
      <c r="Q805">
        <v>4</v>
      </c>
      <c r="R805" t="s">
        <v>49</v>
      </c>
      <c r="S805" s="6">
        <v>5304</v>
      </c>
      <c r="T805">
        <v>25275</v>
      </c>
      <c r="U805">
        <v>7</v>
      </c>
      <c r="V805" t="s">
        <v>39</v>
      </c>
      <c r="W805" t="s">
        <v>40</v>
      </c>
      <c r="X805">
        <v>23</v>
      </c>
      <c r="Y805">
        <v>4</v>
      </c>
      <c r="Z805">
        <v>4</v>
      </c>
      <c r="AA805">
        <v>80</v>
      </c>
      <c r="AB805">
        <v>1</v>
      </c>
      <c r="AC805">
        <v>10</v>
      </c>
      <c r="AD805">
        <v>2</v>
      </c>
      <c r="AE805">
        <v>2</v>
      </c>
      <c r="AF805">
        <v>8</v>
      </c>
      <c r="AG805">
        <v>7</v>
      </c>
      <c r="AH805">
        <v>7</v>
      </c>
      <c r="AI805">
        <v>7</v>
      </c>
    </row>
    <row r="806" spans="1:35" x14ac:dyDescent="0.3">
      <c r="A806">
        <v>32</v>
      </c>
      <c r="B806" t="s">
        <v>40</v>
      </c>
      <c r="C806" t="s">
        <v>41</v>
      </c>
      <c r="D806">
        <v>430</v>
      </c>
      <c r="E806" t="s">
        <v>42</v>
      </c>
      <c r="F806">
        <v>24</v>
      </c>
      <c r="G806">
        <v>4</v>
      </c>
      <c r="H806" t="s">
        <v>35</v>
      </c>
      <c r="I806">
        <v>1</v>
      </c>
      <c r="J806">
        <v>772</v>
      </c>
      <c r="K806">
        <v>1</v>
      </c>
      <c r="L806" s="17" t="s">
        <v>43</v>
      </c>
      <c r="M806">
        <v>80</v>
      </c>
      <c r="N806">
        <v>3</v>
      </c>
      <c r="O806">
        <v>2</v>
      </c>
      <c r="P806" t="s">
        <v>47</v>
      </c>
      <c r="Q806">
        <v>4</v>
      </c>
      <c r="R806" t="s">
        <v>45</v>
      </c>
      <c r="S806" s="6">
        <v>5309</v>
      </c>
      <c r="T806">
        <v>21146</v>
      </c>
      <c r="U806">
        <v>1</v>
      </c>
      <c r="V806" t="s">
        <v>39</v>
      </c>
      <c r="W806" t="s">
        <v>40</v>
      </c>
      <c r="X806">
        <v>15</v>
      </c>
      <c r="Y806">
        <v>3</v>
      </c>
      <c r="Z806">
        <v>4</v>
      </c>
      <c r="AA806">
        <v>80</v>
      </c>
      <c r="AB806">
        <v>2</v>
      </c>
      <c r="AC806">
        <v>10</v>
      </c>
      <c r="AD806">
        <v>2</v>
      </c>
      <c r="AE806">
        <v>3</v>
      </c>
      <c r="AF806">
        <v>10</v>
      </c>
      <c r="AG806">
        <v>8</v>
      </c>
      <c r="AH806">
        <v>4</v>
      </c>
      <c r="AI806">
        <v>7</v>
      </c>
    </row>
    <row r="807" spans="1:35" x14ac:dyDescent="0.3">
      <c r="A807">
        <v>38</v>
      </c>
      <c r="B807" t="s">
        <v>40</v>
      </c>
      <c r="C807" t="s">
        <v>41</v>
      </c>
      <c r="D807">
        <v>508</v>
      </c>
      <c r="E807" t="s">
        <v>42</v>
      </c>
      <c r="F807">
        <v>6</v>
      </c>
      <c r="G807">
        <v>4</v>
      </c>
      <c r="H807" t="s">
        <v>35</v>
      </c>
      <c r="I807">
        <v>1</v>
      </c>
      <c r="J807">
        <v>1997</v>
      </c>
      <c r="K807">
        <v>1</v>
      </c>
      <c r="L807" s="17" t="s">
        <v>43</v>
      </c>
      <c r="M807">
        <v>72</v>
      </c>
      <c r="N807">
        <v>2</v>
      </c>
      <c r="O807">
        <v>2</v>
      </c>
      <c r="P807" t="s">
        <v>50</v>
      </c>
      <c r="Q807">
        <v>3</v>
      </c>
      <c r="R807" t="s">
        <v>45</v>
      </c>
      <c r="S807" s="6">
        <v>5321</v>
      </c>
      <c r="T807">
        <v>14284</v>
      </c>
      <c r="U807">
        <v>2</v>
      </c>
      <c r="V807" t="s">
        <v>39</v>
      </c>
      <c r="W807" t="s">
        <v>40</v>
      </c>
      <c r="X807">
        <v>11</v>
      </c>
      <c r="Y807">
        <v>3</v>
      </c>
      <c r="Z807">
        <v>4</v>
      </c>
      <c r="AA807">
        <v>80</v>
      </c>
      <c r="AB807">
        <v>1</v>
      </c>
      <c r="AC807">
        <v>10</v>
      </c>
      <c r="AD807">
        <v>1</v>
      </c>
      <c r="AE807">
        <v>3</v>
      </c>
      <c r="AF807">
        <v>8</v>
      </c>
      <c r="AG807">
        <v>3</v>
      </c>
      <c r="AH807">
        <v>7</v>
      </c>
      <c r="AI807">
        <v>7</v>
      </c>
    </row>
    <row r="808" spans="1:35" x14ac:dyDescent="0.3">
      <c r="A808">
        <v>33</v>
      </c>
      <c r="B808" t="s">
        <v>32</v>
      </c>
      <c r="C808" t="s">
        <v>33</v>
      </c>
      <c r="D808">
        <v>118</v>
      </c>
      <c r="E808" t="s">
        <v>34</v>
      </c>
      <c r="F808">
        <v>16</v>
      </c>
      <c r="G808">
        <v>3</v>
      </c>
      <c r="H808" t="s">
        <v>56</v>
      </c>
      <c r="I808">
        <v>1</v>
      </c>
      <c r="J808">
        <v>819</v>
      </c>
      <c r="K808">
        <v>1</v>
      </c>
      <c r="L808" s="17" t="s">
        <v>36</v>
      </c>
      <c r="M808">
        <v>69</v>
      </c>
      <c r="N808">
        <v>3</v>
      </c>
      <c r="O808">
        <v>2</v>
      </c>
      <c r="P808" t="s">
        <v>37</v>
      </c>
      <c r="Q808">
        <v>1</v>
      </c>
      <c r="R808" t="s">
        <v>38</v>
      </c>
      <c r="S808" s="6">
        <v>5324</v>
      </c>
      <c r="T808">
        <v>26507</v>
      </c>
      <c r="U808">
        <v>5</v>
      </c>
      <c r="V808" t="s">
        <v>39</v>
      </c>
      <c r="W808" t="s">
        <v>40</v>
      </c>
      <c r="X808">
        <v>15</v>
      </c>
      <c r="Y808">
        <v>3</v>
      </c>
      <c r="Z808">
        <v>3</v>
      </c>
      <c r="AA808">
        <v>80</v>
      </c>
      <c r="AB808">
        <v>0</v>
      </c>
      <c r="AC808">
        <v>6</v>
      </c>
      <c r="AD808">
        <v>3</v>
      </c>
      <c r="AE808">
        <v>3</v>
      </c>
      <c r="AF808">
        <v>3</v>
      </c>
      <c r="AG808">
        <v>2</v>
      </c>
      <c r="AH808">
        <v>0</v>
      </c>
      <c r="AI808">
        <v>2</v>
      </c>
    </row>
    <row r="809" spans="1:35" x14ac:dyDescent="0.3">
      <c r="A809">
        <v>26</v>
      </c>
      <c r="B809" t="s">
        <v>32</v>
      </c>
      <c r="C809" t="s">
        <v>33</v>
      </c>
      <c r="D809">
        <v>1146</v>
      </c>
      <c r="E809" t="s">
        <v>34</v>
      </c>
      <c r="F809">
        <v>8</v>
      </c>
      <c r="G809">
        <v>3</v>
      </c>
      <c r="H809" t="s">
        <v>57</v>
      </c>
      <c r="I809">
        <v>1</v>
      </c>
      <c r="J809">
        <v>796</v>
      </c>
      <c r="K809">
        <v>4</v>
      </c>
      <c r="L809" s="17" t="s">
        <v>43</v>
      </c>
      <c r="M809">
        <v>38</v>
      </c>
      <c r="N809">
        <v>2</v>
      </c>
      <c r="O809">
        <v>2</v>
      </c>
      <c r="P809" t="s">
        <v>37</v>
      </c>
      <c r="Q809">
        <v>1</v>
      </c>
      <c r="R809" t="s">
        <v>38</v>
      </c>
      <c r="S809" s="6">
        <v>5326</v>
      </c>
      <c r="T809">
        <v>3064</v>
      </c>
      <c r="U809">
        <v>6</v>
      </c>
      <c r="V809" t="s">
        <v>39</v>
      </c>
      <c r="W809" t="s">
        <v>40</v>
      </c>
      <c r="X809">
        <v>17</v>
      </c>
      <c r="Y809">
        <v>3</v>
      </c>
      <c r="Z809">
        <v>3</v>
      </c>
      <c r="AA809">
        <v>80</v>
      </c>
      <c r="AB809">
        <v>0</v>
      </c>
      <c r="AC809">
        <v>6</v>
      </c>
      <c r="AD809">
        <v>2</v>
      </c>
      <c r="AE809">
        <v>2</v>
      </c>
      <c r="AF809">
        <v>4</v>
      </c>
      <c r="AG809">
        <v>3</v>
      </c>
      <c r="AH809">
        <v>1</v>
      </c>
      <c r="AI809">
        <v>2</v>
      </c>
    </row>
    <row r="810" spans="1:35" x14ac:dyDescent="0.3">
      <c r="A810">
        <v>38</v>
      </c>
      <c r="B810" t="s">
        <v>40</v>
      </c>
      <c r="C810" t="s">
        <v>52</v>
      </c>
      <c r="D810">
        <v>573</v>
      </c>
      <c r="E810" t="s">
        <v>42</v>
      </c>
      <c r="F810">
        <v>6</v>
      </c>
      <c r="G810">
        <v>3</v>
      </c>
      <c r="H810" t="s">
        <v>48</v>
      </c>
      <c r="I810">
        <v>1</v>
      </c>
      <c r="J810">
        <v>107</v>
      </c>
      <c r="K810">
        <v>2</v>
      </c>
      <c r="L810" s="17" t="s">
        <v>36</v>
      </c>
      <c r="M810">
        <v>79</v>
      </c>
      <c r="N810">
        <v>1</v>
      </c>
      <c r="O810">
        <v>2</v>
      </c>
      <c r="P810" t="s">
        <v>44</v>
      </c>
      <c r="Q810">
        <v>4</v>
      </c>
      <c r="R810" t="s">
        <v>49</v>
      </c>
      <c r="S810" s="6">
        <v>5329</v>
      </c>
      <c r="T810">
        <v>15717</v>
      </c>
      <c r="U810">
        <v>7</v>
      </c>
      <c r="V810" t="s">
        <v>39</v>
      </c>
      <c r="W810" t="s">
        <v>32</v>
      </c>
      <c r="X810">
        <v>12</v>
      </c>
      <c r="Y810">
        <v>3</v>
      </c>
      <c r="Z810">
        <v>4</v>
      </c>
      <c r="AA810">
        <v>80</v>
      </c>
      <c r="AB810">
        <v>3</v>
      </c>
      <c r="AC810">
        <v>17</v>
      </c>
      <c r="AD810">
        <v>3</v>
      </c>
      <c r="AE810">
        <v>3</v>
      </c>
      <c r="AF810">
        <v>13</v>
      </c>
      <c r="AG810">
        <v>11</v>
      </c>
      <c r="AH810">
        <v>1</v>
      </c>
      <c r="AI810">
        <v>9</v>
      </c>
    </row>
    <row r="811" spans="1:35" x14ac:dyDescent="0.3">
      <c r="A811">
        <v>31</v>
      </c>
      <c r="B811" t="s">
        <v>40</v>
      </c>
      <c r="C811" t="s">
        <v>41</v>
      </c>
      <c r="D811">
        <v>715</v>
      </c>
      <c r="E811" t="s">
        <v>34</v>
      </c>
      <c r="F811">
        <v>2</v>
      </c>
      <c r="G811">
        <v>4</v>
      </c>
      <c r="H811" t="s">
        <v>46</v>
      </c>
      <c r="I811">
        <v>1</v>
      </c>
      <c r="J811">
        <v>1613</v>
      </c>
      <c r="K811">
        <v>4</v>
      </c>
      <c r="L811" s="17" t="s">
        <v>43</v>
      </c>
      <c r="M811">
        <v>54</v>
      </c>
      <c r="N811">
        <v>3</v>
      </c>
      <c r="O811">
        <v>2</v>
      </c>
      <c r="P811" t="s">
        <v>37</v>
      </c>
      <c r="Q811">
        <v>1</v>
      </c>
      <c r="R811" t="s">
        <v>38</v>
      </c>
      <c r="S811" s="6">
        <v>5332</v>
      </c>
      <c r="T811">
        <v>21602</v>
      </c>
      <c r="U811">
        <v>7</v>
      </c>
      <c r="V811" t="s">
        <v>39</v>
      </c>
      <c r="W811" t="s">
        <v>40</v>
      </c>
      <c r="X811">
        <v>13</v>
      </c>
      <c r="Y811">
        <v>3</v>
      </c>
      <c r="Z811">
        <v>4</v>
      </c>
      <c r="AA811">
        <v>80</v>
      </c>
      <c r="AB811">
        <v>0</v>
      </c>
      <c r="AC811">
        <v>10</v>
      </c>
      <c r="AD811">
        <v>3</v>
      </c>
      <c r="AE811">
        <v>3</v>
      </c>
      <c r="AF811">
        <v>5</v>
      </c>
      <c r="AG811">
        <v>2</v>
      </c>
      <c r="AH811">
        <v>0</v>
      </c>
      <c r="AI811">
        <v>3</v>
      </c>
    </row>
    <row r="812" spans="1:35" x14ac:dyDescent="0.3">
      <c r="A812">
        <v>34</v>
      </c>
      <c r="B812" t="s">
        <v>40</v>
      </c>
      <c r="C812" t="s">
        <v>33</v>
      </c>
      <c r="D812">
        <v>258</v>
      </c>
      <c r="E812" t="s">
        <v>34</v>
      </c>
      <c r="F812">
        <v>21</v>
      </c>
      <c r="G812">
        <v>4</v>
      </c>
      <c r="H812" t="s">
        <v>35</v>
      </c>
      <c r="I812">
        <v>1</v>
      </c>
      <c r="J812">
        <v>621</v>
      </c>
      <c r="K812">
        <v>4</v>
      </c>
      <c r="L812" s="17" t="s">
        <v>43</v>
      </c>
      <c r="M812">
        <v>74</v>
      </c>
      <c r="N812">
        <v>4</v>
      </c>
      <c r="O812">
        <v>2</v>
      </c>
      <c r="P812" t="s">
        <v>37</v>
      </c>
      <c r="Q812">
        <v>4</v>
      </c>
      <c r="R812" t="s">
        <v>38</v>
      </c>
      <c r="S812" s="6">
        <v>5337</v>
      </c>
      <c r="T812">
        <v>19921</v>
      </c>
      <c r="U812">
        <v>1</v>
      </c>
      <c r="V812" t="s">
        <v>39</v>
      </c>
      <c r="W812" t="s">
        <v>40</v>
      </c>
      <c r="X812">
        <v>12</v>
      </c>
      <c r="Y812">
        <v>3</v>
      </c>
      <c r="Z812">
        <v>4</v>
      </c>
      <c r="AA812">
        <v>80</v>
      </c>
      <c r="AB812">
        <v>0</v>
      </c>
      <c r="AC812">
        <v>10</v>
      </c>
      <c r="AD812">
        <v>3</v>
      </c>
      <c r="AE812">
        <v>3</v>
      </c>
      <c r="AF812">
        <v>10</v>
      </c>
      <c r="AG812">
        <v>7</v>
      </c>
      <c r="AH812">
        <v>5</v>
      </c>
      <c r="AI812">
        <v>7</v>
      </c>
    </row>
    <row r="813" spans="1:35" x14ac:dyDescent="0.3">
      <c r="A813">
        <v>34</v>
      </c>
      <c r="B813" t="s">
        <v>40</v>
      </c>
      <c r="C813" t="s">
        <v>41</v>
      </c>
      <c r="D813">
        <v>669</v>
      </c>
      <c r="E813" t="s">
        <v>42</v>
      </c>
      <c r="F813">
        <v>1</v>
      </c>
      <c r="G813">
        <v>3</v>
      </c>
      <c r="H813" t="s">
        <v>48</v>
      </c>
      <c r="I813">
        <v>1</v>
      </c>
      <c r="J813">
        <v>1184</v>
      </c>
      <c r="K813">
        <v>4</v>
      </c>
      <c r="L813" s="17" t="s">
        <v>43</v>
      </c>
      <c r="M813">
        <v>97</v>
      </c>
      <c r="N813">
        <v>2</v>
      </c>
      <c r="O813">
        <v>2</v>
      </c>
      <c r="P813" t="s">
        <v>51</v>
      </c>
      <c r="Q813">
        <v>1</v>
      </c>
      <c r="R813" t="s">
        <v>38</v>
      </c>
      <c r="S813" s="6">
        <v>5343</v>
      </c>
      <c r="T813">
        <v>25755</v>
      </c>
      <c r="U813">
        <v>0</v>
      </c>
      <c r="V813" t="s">
        <v>39</v>
      </c>
      <c r="W813" t="s">
        <v>40</v>
      </c>
      <c r="X813">
        <v>20</v>
      </c>
      <c r="Y813">
        <v>4</v>
      </c>
      <c r="Z813">
        <v>3</v>
      </c>
      <c r="AA813">
        <v>80</v>
      </c>
      <c r="AB813">
        <v>0</v>
      </c>
      <c r="AC813">
        <v>14</v>
      </c>
      <c r="AD813">
        <v>3</v>
      </c>
      <c r="AE813">
        <v>3</v>
      </c>
      <c r="AF813">
        <v>13</v>
      </c>
      <c r="AG813">
        <v>9</v>
      </c>
      <c r="AH813">
        <v>4</v>
      </c>
      <c r="AI813">
        <v>9</v>
      </c>
    </row>
    <row r="814" spans="1:35" x14ac:dyDescent="0.3">
      <c r="A814">
        <v>38</v>
      </c>
      <c r="B814" t="s">
        <v>40</v>
      </c>
      <c r="C814" t="s">
        <v>33</v>
      </c>
      <c r="D814">
        <v>345</v>
      </c>
      <c r="E814" t="s">
        <v>34</v>
      </c>
      <c r="F814">
        <v>10</v>
      </c>
      <c r="G814">
        <v>2</v>
      </c>
      <c r="H814" t="s">
        <v>35</v>
      </c>
      <c r="I814">
        <v>1</v>
      </c>
      <c r="J814">
        <v>2041</v>
      </c>
      <c r="K814">
        <v>1</v>
      </c>
      <c r="L814" s="17" t="s">
        <v>36</v>
      </c>
      <c r="M814">
        <v>100</v>
      </c>
      <c r="N814">
        <v>3</v>
      </c>
      <c r="O814">
        <v>2</v>
      </c>
      <c r="P814" t="s">
        <v>37</v>
      </c>
      <c r="Q814">
        <v>4</v>
      </c>
      <c r="R814" t="s">
        <v>45</v>
      </c>
      <c r="S814" s="6">
        <v>5343</v>
      </c>
      <c r="T814">
        <v>5982</v>
      </c>
      <c r="U814">
        <v>1</v>
      </c>
      <c r="V814" t="s">
        <v>39</v>
      </c>
      <c r="W814" t="s">
        <v>40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10</v>
      </c>
      <c r="AD814">
        <v>1</v>
      </c>
      <c r="AE814">
        <v>3</v>
      </c>
      <c r="AF814">
        <v>10</v>
      </c>
      <c r="AG814">
        <v>7</v>
      </c>
      <c r="AH814">
        <v>1</v>
      </c>
      <c r="AI814">
        <v>9</v>
      </c>
    </row>
    <row r="815" spans="1:35" x14ac:dyDescent="0.3">
      <c r="A815">
        <v>43</v>
      </c>
      <c r="B815" t="s">
        <v>32</v>
      </c>
      <c r="C815" t="s">
        <v>33</v>
      </c>
      <c r="D815">
        <v>1372</v>
      </c>
      <c r="E815" t="s">
        <v>34</v>
      </c>
      <c r="F815">
        <v>9</v>
      </c>
      <c r="G815">
        <v>3</v>
      </c>
      <c r="H815" t="s">
        <v>56</v>
      </c>
      <c r="I815">
        <v>1</v>
      </c>
      <c r="J815">
        <v>1188</v>
      </c>
      <c r="K815">
        <v>1</v>
      </c>
      <c r="L815" s="17" t="s">
        <v>36</v>
      </c>
      <c r="M815">
        <v>85</v>
      </c>
      <c r="N815">
        <v>1</v>
      </c>
      <c r="O815">
        <v>2</v>
      </c>
      <c r="P815" t="s">
        <v>37</v>
      </c>
      <c r="Q815">
        <v>3</v>
      </c>
      <c r="R815" t="s">
        <v>38</v>
      </c>
      <c r="S815" s="6">
        <v>5346</v>
      </c>
      <c r="T815">
        <v>9489</v>
      </c>
      <c r="U815">
        <v>8</v>
      </c>
      <c r="V815" t="s">
        <v>39</v>
      </c>
      <c r="W815" t="s">
        <v>40</v>
      </c>
      <c r="X815">
        <v>13</v>
      </c>
      <c r="Y815">
        <v>3</v>
      </c>
      <c r="Z815">
        <v>2</v>
      </c>
      <c r="AA815">
        <v>80</v>
      </c>
      <c r="AB815">
        <v>0</v>
      </c>
      <c r="AC815">
        <v>7</v>
      </c>
      <c r="AD815">
        <v>2</v>
      </c>
      <c r="AE815">
        <v>2</v>
      </c>
      <c r="AF815">
        <v>4</v>
      </c>
      <c r="AG815">
        <v>3</v>
      </c>
      <c r="AH815">
        <v>1</v>
      </c>
      <c r="AI815">
        <v>3</v>
      </c>
    </row>
    <row r="816" spans="1:35" x14ac:dyDescent="0.3">
      <c r="A816">
        <v>34</v>
      </c>
      <c r="B816" t="s">
        <v>32</v>
      </c>
      <c r="C816" t="s">
        <v>41</v>
      </c>
      <c r="D816">
        <v>234</v>
      </c>
      <c r="E816" t="s">
        <v>42</v>
      </c>
      <c r="F816">
        <v>9</v>
      </c>
      <c r="G816">
        <v>4</v>
      </c>
      <c r="H816" t="s">
        <v>35</v>
      </c>
      <c r="I816">
        <v>1</v>
      </c>
      <c r="J816">
        <v>1807</v>
      </c>
      <c r="K816">
        <v>4</v>
      </c>
      <c r="L816" s="17" t="s">
        <v>43</v>
      </c>
      <c r="M816">
        <v>93</v>
      </c>
      <c r="N816">
        <v>3</v>
      </c>
      <c r="O816">
        <v>2</v>
      </c>
      <c r="P816" t="s">
        <v>47</v>
      </c>
      <c r="Q816">
        <v>1</v>
      </c>
      <c r="R816" t="s">
        <v>45</v>
      </c>
      <c r="S816" s="6">
        <v>5346</v>
      </c>
      <c r="T816">
        <v>6208</v>
      </c>
      <c r="U816">
        <v>4</v>
      </c>
      <c r="V816" t="s">
        <v>39</v>
      </c>
      <c r="W816" t="s">
        <v>40</v>
      </c>
      <c r="X816">
        <v>17</v>
      </c>
      <c r="Y816">
        <v>3</v>
      </c>
      <c r="Z816">
        <v>3</v>
      </c>
      <c r="AA816">
        <v>80</v>
      </c>
      <c r="AB816">
        <v>1</v>
      </c>
      <c r="AC816">
        <v>11</v>
      </c>
      <c r="AD816">
        <v>3</v>
      </c>
      <c r="AE816">
        <v>2</v>
      </c>
      <c r="AF816">
        <v>7</v>
      </c>
      <c r="AG816">
        <v>1</v>
      </c>
      <c r="AH816">
        <v>0</v>
      </c>
      <c r="AI816">
        <v>7</v>
      </c>
    </row>
    <row r="817" spans="1:35" x14ac:dyDescent="0.3">
      <c r="A817">
        <v>36</v>
      </c>
      <c r="B817" t="s">
        <v>40</v>
      </c>
      <c r="C817" t="s">
        <v>33</v>
      </c>
      <c r="D817">
        <v>1351</v>
      </c>
      <c r="E817" t="s">
        <v>42</v>
      </c>
      <c r="F817">
        <v>26</v>
      </c>
      <c r="G817">
        <v>4</v>
      </c>
      <c r="H817" t="s">
        <v>35</v>
      </c>
      <c r="I817">
        <v>1</v>
      </c>
      <c r="J817">
        <v>1682</v>
      </c>
      <c r="K817">
        <v>1</v>
      </c>
      <c r="L817" s="17" t="s">
        <v>43</v>
      </c>
      <c r="M817">
        <v>80</v>
      </c>
      <c r="N817">
        <v>3</v>
      </c>
      <c r="O817">
        <v>2</v>
      </c>
      <c r="P817" t="s">
        <v>51</v>
      </c>
      <c r="Q817">
        <v>3</v>
      </c>
      <c r="R817" t="s">
        <v>45</v>
      </c>
      <c r="S817" s="6">
        <v>5347</v>
      </c>
      <c r="T817">
        <v>7419</v>
      </c>
      <c r="U817">
        <v>6</v>
      </c>
      <c r="V817" t="s">
        <v>39</v>
      </c>
      <c r="W817" t="s">
        <v>40</v>
      </c>
      <c r="X817">
        <v>14</v>
      </c>
      <c r="Y817">
        <v>3</v>
      </c>
      <c r="Z817">
        <v>2</v>
      </c>
      <c r="AA817">
        <v>80</v>
      </c>
      <c r="AB817">
        <v>2</v>
      </c>
      <c r="AC817">
        <v>10</v>
      </c>
      <c r="AD817">
        <v>2</v>
      </c>
      <c r="AE817">
        <v>2</v>
      </c>
      <c r="AF817">
        <v>3</v>
      </c>
      <c r="AG817">
        <v>2</v>
      </c>
      <c r="AH817">
        <v>0</v>
      </c>
      <c r="AI817">
        <v>2</v>
      </c>
    </row>
    <row r="818" spans="1:35" x14ac:dyDescent="0.3">
      <c r="A818">
        <v>35</v>
      </c>
      <c r="B818" t="s">
        <v>40</v>
      </c>
      <c r="C818" t="s">
        <v>33</v>
      </c>
      <c r="D818">
        <v>817</v>
      </c>
      <c r="E818" t="s">
        <v>42</v>
      </c>
      <c r="F818">
        <v>1</v>
      </c>
      <c r="G818">
        <v>3</v>
      </c>
      <c r="H818" t="s">
        <v>48</v>
      </c>
      <c r="I818">
        <v>1</v>
      </c>
      <c r="J818">
        <v>1369</v>
      </c>
      <c r="K818">
        <v>4</v>
      </c>
      <c r="L818" s="17" t="s">
        <v>36</v>
      </c>
      <c r="M818">
        <v>60</v>
      </c>
      <c r="N818">
        <v>2</v>
      </c>
      <c r="O818">
        <v>2</v>
      </c>
      <c r="P818" t="s">
        <v>47</v>
      </c>
      <c r="Q818">
        <v>4</v>
      </c>
      <c r="R818" t="s">
        <v>45</v>
      </c>
      <c r="S818" s="6">
        <v>5363</v>
      </c>
      <c r="T818">
        <v>10846</v>
      </c>
      <c r="U818">
        <v>0</v>
      </c>
      <c r="V818" t="s">
        <v>39</v>
      </c>
      <c r="W818" t="s">
        <v>40</v>
      </c>
      <c r="X818">
        <v>12</v>
      </c>
      <c r="Y818">
        <v>3</v>
      </c>
      <c r="Z818">
        <v>2</v>
      </c>
      <c r="AA818">
        <v>80</v>
      </c>
      <c r="AB818">
        <v>1</v>
      </c>
      <c r="AC818">
        <v>10</v>
      </c>
      <c r="AD818">
        <v>0</v>
      </c>
      <c r="AE818">
        <v>3</v>
      </c>
      <c r="AF818">
        <v>9</v>
      </c>
      <c r="AG818">
        <v>7</v>
      </c>
      <c r="AH818">
        <v>0</v>
      </c>
      <c r="AI818">
        <v>0</v>
      </c>
    </row>
    <row r="819" spans="1:35" x14ac:dyDescent="0.3">
      <c r="A819">
        <v>33</v>
      </c>
      <c r="B819" t="s">
        <v>40</v>
      </c>
      <c r="C819" t="s">
        <v>52</v>
      </c>
      <c r="D819">
        <v>530</v>
      </c>
      <c r="E819" t="s">
        <v>34</v>
      </c>
      <c r="F819">
        <v>16</v>
      </c>
      <c r="G819">
        <v>3</v>
      </c>
      <c r="H819" t="s">
        <v>35</v>
      </c>
      <c r="I819">
        <v>1</v>
      </c>
      <c r="J819">
        <v>1681</v>
      </c>
      <c r="K819">
        <v>3</v>
      </c>
      <c r="L819" s="17" t="s">
        <v>36</v>
      </c>
      <c r="M819">
        <v>36</v>
      </c>
      <c r="N819">
        <v>3</v>
      </c>
      <c r="O819">
        <v>2</v>
      </c>
      <c r="P819" t="s">
        <v>37</v>
      </c>
      <c r="Q819">
        <v>4</v>
      </c>
      <c r="R819" t="s">
        <v>49</v>
      </c>
      <c r="S819" s="6">
        <v>5368</v>
      </c>
      <c r="T819">
        <v>16130</v>
      </c>
      <c r="U819">
        <v>1</v>
      </c>
      <c r="V819" t="s">
        <v>39</v>
      </c>
      <c r="W819" t="s">
        <v>32</v>
      </c>
      <c r="X819">
        <v>25</v>
      </c>
      <c r="Y819">
        <v>4</v>
      </c>
      <c r="Z819">
        <v>3</v>
      </c>
      <c r="AA819">
        <v>80</v>
      </c>
      <c r="AB819">
        <v>1</v>
      </c>
      <c r="AC819">
        <v>7</v>
      </c>
      <c r="AD819">
        <v>2</v>
      </c>
      <c r="AE819">
        <v>3</v>
      </c>
      <c r="AF819">
        <v>6</v>
      </c>
      <c r="AG819">
        <v>5</v>
      </c>
      <c r="AH819">
        <v>1</v>
      </c>
      <c r="AI819">
        <v>2</v>
      </c>
    </row>
    <row r="820" spans="1:35" x14ac:dyDescent="0.3">
      <c r="A820">
        <v>29</v>
      </c>
      <c r="B820" t="s">
        <v>40</v>
      </c>
      <c r="C820" t="s">
        <v>33</v>
      </c>
      <c r="D820">
        <v>136</v>
      </c>
      <c r="E820" t="s">
        <v>42</v>
      </c>
      <c r="F820">
        <v>1</v>
      </c>
      <c r="G820">
        <v>3</v>
      </c>
      <c r="H820" t="s">
        <v>35</v>
      </c>
      <c r="I820">
        <v>1</v>
      </c>
      <c r="J820">
        <v>1954</v>
      </c>
      <c r="K820">
        <v>1</v>
      </c>
      <c r="L820" s="17" t="s">
        <v>43</v>
      </c>
      <c r="M820">
        <v>89</v>
      </c>
      <c r="N820">
        <v>3</v>
      </c>
      <c r="O820">
        <v>2</v>
      </c>
      <c r="P820" t="s">
        <v>51</v>
      </c>
      <c r="Q820">
        <v>1</v>
      </c>
      <c r="R820" t="s">
        <v>45</v>
      </c>
      <c r="S820" s="6">
        <v>5373</v>
      </c>
      <c r="T820">
        <v>6225</v>
      </c>
      <c r="U820">
        <v>0</v>
      </c>
      <c r="V820" t="s">
        <v>39</v>
      </c>
      <c r="W820" t="s">
        <v>40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6</v>
      </c>
      <c r="AD820">
        <v>5</v>
      </c>
      <c r="AE820">
        <v>2</v>
      </c>
      <c r="AF820">
        <v>5</v>
      </c>
      <c r="AG820">
        <v>3</v>
      </c>
      <c r="AH820">
        <v>0</v>
      </c>
      <c r="AI820">
        <v>2</v>
      </c>
    </row>
    <row r="821" spans="1:35" x14ac:dyDescent="0.3">
      <c r="A821">
        <v>33</v>
      </c>
      <c r="B821" t="s">
        <v>40</v>
      </c>
      <c r="C821" t="s">
        <v>41</v>
      </c>
      <c r="D821">
        <v>1141</v>
      </c>
      <c r="E821" t="s">
        <v>34</v>
      </c>
      <c r="F821">
        <v>1</v>
      </c>
      <c r="G821">
        <v>3</v>
      </c>
      <c r="H821" t="s">
        <v>35</v>
      </c>
      <c r="I821">
        <v>1</v>
      </c>
      <c r="J821">
        <v>52</v>
      </c>
      <c r="K821">
        <v>3</v>
      </c>
      <c r="L821" s="17" t="s">
        <v>36</v>
      </c>
      <c r="M821">
        <v>42</v>
      </c>
      <c r="N821">
        <v>4</v>
      </c>
      <c r="O821">
        <v>2</v>
      </c>
      <c r="P821" t="s">
        <v>37</v>
      </c>
      <c r="Q821">
        <v>1</v>
      </c>
      <c r="R821" t="s">
        <v>45</v>
      </c>
      <c r="S821" s="6">
        <v>5376</v>
      </c>
      <c r="T821">
        <v>3193</v>
      </c>
      <c r="U821">
        <v>2</v>
      </c>
      <c r="V821" t="s">
        <v>39</v>
      </c>
      <c r="W821" t="s">
        <v>40</v>
      </c>
      <c r="X821">
        <v>19</v>
      </c>
      <c r="Y821">
        <v>3</v>
      </c>
      <c r="Z821">
        <v>1</v>
      </c>
      <c r="AA821">
        <v>80</v>
      </c>
      <c r="AB821">
        <v>2</v>
      </c>
      <c r="AC821">
        <v>10</v>
      </c>
      <c r="AD821">
        <v>3</v>
      </c>
      <c r="AE821">
        <v>3</v>
      </c>
      <c r="AF821">
        <v>5</v>
      </c>
      <c r="AG821">
        <v>3</v>
      </c>
      <c r="AH821">
        <v>1</v>
      </c>
      <c r="AI821">
        <v>3</v>
      </c>
    </row>
    <row r="822" spans="1:35" x14ac:dyDescent="0.3">
      <c r="A822">
        <v>39</v>
      </c>
      <c r="B822" t="s">
        <v>40</v>
      </c>
      <c r="C822" t="s">
        <v>33</v>
      </c>
      <c r="D822">
        <v>1387</v>
      </c>
      <c r="E822" t="s">
        <v>42</v>
      </c>
      <c r="F822">
        <v>10</v>
      </c>
      <c r="G822">
        <v>5</v>
      </c>
      <c r="H822" t="s">
        <v>48</v>
      </c>
      <c r="I822">
        <v>1</v>
      </c>
      <c r="J822">
        <v>1618</v>
      </c>
      <c r="K822">
        <v>2</v>
      </c>
      <c r="L822" s="17" t="s">
        <v>43</v>
      </c>
      <c r="M822">
        <v>76</v>
      </c>
      <c r="N822">
        <v>3</v>
      </c>
      <c r="O822">
        <v>2</v>
      </c>
      <c r="P822" t="s">
        <v>50</v>
      </c>
      <c r="Q822">
        <v>1</v>
      </c>
      <c r="R822" t="s">
        <v>45</v>
      </c>
      <c r="S822" s="6">
        <v>5377</v>
      </c>
      <c r="T822">
        <v>3835</v>
      </c>
      <c r="U822">
        <v>2</v>
      </c>
      <c r="V822" t="s">
        <v>39</v>
      </c>
      <c r="W822" t="s">
        <v>40</v>
      </c>
      <c r="X822">
        <v>13</v>
      </c>
      <c r="Y822">
        <v>3</v>
      </c>
      <c r="Z822">
        <v>4</v>
      </c>
      <c r="AA822">
        <v>80</v>
      </c>
      <c r="AB822">
        <v>3</v>
      </c>
      <c r="AC822">
        <v>10</v>
      </c>
      <c r="AD822">
        <v>3</v>
      </c>
      <c r="AE822">
        <v>3</v>
      </c>
      <c r="AF822">
        <v>7</v>
      </c>
      <c r="AG822">
        <v>7</v>
      </c>
      <c r="AH822">
        <v>7</v>
      </c>
      <c r="AI822">
        <v>7</v>
      </c>
    </row>
    <row r="823" spans="1:35" x14ac:dyDescent="0.3">
      <c r="A823">
        <v>56</v>
      </c>
      <c r="B823" t="s">
        <v>40</v>
      </c>
      <c r="C823" t="s">
        <v>33</v>
      </c>
      <c r="D823">
        <v>1443</v>
      </c>
      <c r="E823" t="s">
        <v>34</v>
      </c>
      <c r="F823">
        <v>11</v>
      </c>
      <c r="G823">
        <v>5</v>
      </c>
      <c r="H823" t="s">
        <v>56</v>
      </c>
      <c r="I823">
        <v>1</v>
      </c>
      <c r="J823">
        <v>1935</v>
      </c>
      <c r="K823">
        <v>4</v>
      </c>
      <c r="L823" s="17" t="s">
        <v>36</v>
      </c>
      <c r="M823">
        <v>89</v>
      </c>
      <c r="N823">
        <v>2</v>
      </c>
      <c r="O823">
        <v>2</v>
      </c>
      <c r="P823" t="s">
        <v>37</v>
      </c>
      <c r="Q823">
        <v>1</v>
      </c>
      <c r="R823" t="s">
        <v>45</v>
      </c>
      <c r="S823" s="6">
        <v>5380</v>
      </c>
      <c r="T823">
        <v>20328</v>
      </c>
      <c r="U823">
        <v>4</v>
      </c>
      <c r="V823" t="s">
        <v>39</v>
      </c>
      <c r="W823" t="s">
        <v>40</v>
      </c>
      <c r="X823">
        <v>16</v>
      </c>
      <c r="Y823">
        <v>3</v>
      </c>
      <c r="Z823">
        <v>3</v>
      </c>
      <c r="AA823">
        <v>80</v>
      </c>
      <c r="AB823">
        <v>1</v>
      </c>
      <c r="AC823">
        <v>6</v>
      </c>
      <c r="AD823">
        <v>3</v>
      </c>
      <c r="AE823">
        <v>3</v>
      </c>
      <c r="AF823">
        <v>0</v>
      </c>
      <c r="AG823">
        <v>0</v>
      </c>
      <c r="AH823">
        <v>0</v>
      </c>
      <c r="AI823">
        <v>0</v>
      </c>
    </row>
    <row r="824" spans="1:35" x14ac:dyDescent="0.3">
      <c r="A824">
        <v>48</v>
      </c>
      <c r="B824" t="s">
        <v>32</v>
      </c>
      <c r="C824" t="s">
        <v>33</v>
      </c>
      <c r="D824">
        <v>626</v>
      </c>
      <c r="E824" t="s">
        <v>42</v>
      </c>
      <c r="F824">
        <v>1</v>
      </c>
      <c r="G824">
        <v>2</v>
      </c>
      <c r="H824" t="s">
        <v>35</v>
      </c>
      <c r="I824">
        <v>1</v>
      </c>
      <c r="J824">
        <v>64</v>
      </c>
      <c r="K824">
        <v>1</v>
      </c>
      <c r="L824" s="17" t="s">
        <v>43</v>
      </c>
      <c r="M824">
        <v>98</v>
      </c>
      <c r="N824">
        <v>2</v>
      </c>
      <c r="O824">
        <v>3</v>
      </c>
      <c r="P824" t="s">
        <v>47</v>
      </c>
      <c r="Q824">
        <v>3</v>
      </c>
      <c r="R824" t="s">
        <v>38</v>
      </c>
      <c r="S824" s="6">
        <v>5381</v>
      </c>
      <c r="T824">
        <v>19294</v>
      </c>
      <c r="U824">
        <v>9</v>
      </c>
      <c r="V824" t="s">
        <v>39</v>
      </c>
      <c r="W824" t="s">
        <v>32</v>
      </c>
      <c r="X824">
        <v>13</v>
      </c>
      <c r="Y824">
        <v>3</v>
      </c>
      <c r="Z824">
        <v>4</v>
      </c>
      <c r="AA824">
        <v>80</v>
      </c>
      <c r="AB824">
        <v>0</v>
      </c>
      <c r="AC824">
        <v>23</v>
      </c>
      <c r="AD824">
        <v>2</v>
      </c>
      <c r="AE824">
        <v>3</v>
      </c>
      <c r="AF824">
        <v>1</v>
      </c>
      <c r="AG824">
        <v>0</v>
      </c>
      <c r="AH824">
        <v>0</v>
      </c>
      <c r="AI824">
        <v>0</v>
      </c>
    </row>
    <row r="825" spans="1:35" x14ac:dyDescent="0.3">
      <c r="A825">
        <v>49</v>
      </c>
      <c r="B825" t="s">
        <v>40</v>
      </c>
      <c r="C825" t="s">
        <v>41</v>
      </c>
      <c r="D825">
        <v>1023</v>
      </c>
      <c r="E825" t="s">
        <v>34</v>
      </c>
      <c r="F825">
        <v>2</v>
      </c>
      <c r="G825">
        <v>3</v>
      </c>
      <c r="H825" t="s">
        <v>48</v>
      </c>
      <c r="I825">
        <v>1</v>
      </c>
      <c r="J825">
        <v>2065</v>
      </c>
      <c r="K825">
        <v>4</v>
      </c>
      <c r="L825" s="17" t="s">
        <v>43</v>
      </c>
      <c r="M825">
        <v>63</v>
      </c>
      <c r="N825">
        <v>2</v>
      </c>
      <c r="O825">
        <v>2</v>
      </c>
      <c r="P825" t="s">
        <v>37</v>
      </c>
      <c r="Q825">
        <v>2</v>
      </c>
      <c r="R825" t="s">
        <v>45</v>
      </c>
      <c r="S825" s="6">
        <v>5390</v>
      </c>
      <c r="T825">
        <v>13243</v>
      </c>
      <c r="U825">
        <v>2</v>
      </c>
      <c r="V825" t="s">
        <v>39</v>
      </c>
      <c r="W825" t="s">
        <v>40</v>
      </c>
      <c r="X825">
        <v>14</v>
      </c>
      <c r="Y825">
        <v>3</v>
      </c>
      <c r="Z825">
        <v>4</v>
      </c>
      <c r="AA825">
        <v>80</v>
      </c>
      <c r="AB825">
        <v>0</v>
      </c>
      <c r="AC825">
        <v>17</v>
      </c>
      <c r="AD825">
        <v>3</v>
      </c>
      <c r="AE825">
        <v>2</v>
      </c>
      <c r="AF825">
        <v>9</v>
      </c>
      <c r="AG825">
        <v>6</v>
      </c>
      <c r="AH825">
        <v>0</v>
      </c>
      <c r="AI825">
        <v>8</v>
      </c>
    </row>
    <row r="826" spans="1:35" x14ac:dyDescent="0.3">
      <c r="A826">
        <v>32</v>
      </c>
      <c r="B826" t="s">
        <v>40</v>
      </c>
      <c r="C826" t="s">
        <v>33</v>
      </c>
      <c r="D826">
        <v>929</v>
      </c>
      <c r="E826" t="s">
        <v>34</v>
      </c>
      <c r="F826">
        <v>10</v>
      </c>
      <c r="G826">
        <v>3</v>
      </c>
      <c r="H826" t="s">
        <v>56</v>
      </c>
      <c r="I826">
        <v>1</v>
      </c>
      <c r="J826">
        <v>722</v>
      </c>
      <c r="K826">
        <v>4</v>
      </c>
      <c r="L826" s="17" t="s">
        <v>43</v>
      </c>
      <c r="M826">
        <v>55</v>
      </c>
      <c r="N826">
        <v>3</v>
      </c>
      <c r="O826">
        <v>2</v>
      </c>
      <c r="P826" t="s">
        <v>37</v>
      </c>
      <c r="Q826">
        <v>4</v>
      </c>
      <c r="R826" t="s">
        <v>38</v>
      </c>
      <c r="S826" s="6">
        <v>5396</v>
      </c>
      <c r="T826">
        <v>21703</v>
      </c>
      <c r="U826">
        <v>1</v>
      </c>
      <c r="V826" t="s">
        <v>39</v>
      </c>
      <c r="W826" t="s">
        <v>40</v>
      </c>
      <c r="X826">
        <v>12</v>
      </c>
      <c r="Y826">
        <v>3</v>
      </c>
      <c r="Z826">
        <v>4</v>
      </c>
      <c r="AA826">
        <v>80</v>
      </c>
      <c r="AB826">
        <v>0</v>
      </c>
      <c r="AC826">
        <v>10</v>
      </c>
      <c r="AD826">
        <v>2</v>
      </c>
      <c r="AE826">
        <v>2</v>
      </c>
      <c r="AF826">
        <v>10</v>
      </c>
      <c r="AG826">
        <v>7</v>
      </c>
      <c r="AH826">
        <v>0</v>
      </c>
      <c r="AI826">
        <v>8</v>
      </c>
    </row>
    <row r="827" spans="1:35" x14ac:dyDescent="0.3">
      <c r="A827">
        <v>45</v>
      </c>
      <c r="B827" t="s">
        <v>40</v>
      </c>
      <c r="C827" t="s">
        <v>41</v>
      </c>
      <c r="D827">
        <v>1297</v>
      </c>
      <c r="E827" t="s">
        <v>42</v>
      </c>
      <c r="F827">
        <v>1</v>
      </c>
      <c r="G827">
        <v>4</v>
      </c>
      <c r="H827" t="s">
        <v>48</v>
      </c>
      <c r="I827">
        <v>1</v>
      </c>
      <c r="J827">
        <v>1922</v>
      </c>
      <c r="K827">
        <v>2</v>
      </c>
      <c r="L827" s="17" t="s">
        <v>43</v>
      </c>
      <c r="M827">
        <v>44</v>
      </c>
      <c r="N827">
        <v>3</v>
      </c>
      <c r="O827">
        <v>2</v>
      </c>
      <c r="P827" t="s">
        <v>51</v>
      </c>
      <c r="Q827">
        <v>3</v>
      </c>
      <c r="R827" t="s">
        <v>38</v>
      </c>
      <c r="S827" s="6">
        <v>5399</v>
      </c>
      <c r="T827">
        <v>14511</v>
      </c>
      <c r="U827">
        <v>4</v>
      </c>
      <c r="V827" t="s">
        <v>39</v>
      </c>
      <c r="W827" t="s">
        <v>40</v>
      </c>
      <c r="X827">
        <v>12</v>
      </c>
      <c r="Y827">
        <v>3</v>
      </c>
      <c r="Z827">
        <v>3</v>
      </c>
      <c r="AA827">
        <v>80</v>
      </c>
      <c r="AB827">
        <v>0</v>
      </c>
      <c r="AC827">
        <v>12</v>
      </c>
      <c r="AD827">
        <v>3</v>
      </c>
      <c r="AE827">
        <v>3</v>
      </c>
      <c r="AF827">
        <v>4</v>
      </c>
      <c r="AG827">
        <v>2</v>
      </c>
      <c r="AH827">
        <v>0</v>
      </c>
      <c r="AI827">
        <v>3</v>
      </c>
    </row>
    <row r="828" spans="1:35" x14ac:dyDescent="0.3">
      <c r="A828">
        <v>60</v>
      </c>
      <c r="B828" t="s">
        <v>40</v>
      </c>
      <c r="C828" t="s">
        <v>33</v>
      </c>
      <c r="D828">
        <v>1179</v>
      </c>
      <c r="E828" t="s">
        <v>34</v>
      </c>
      <c r="F828">
        <v>16</v>
      </c>
      <c r="G828">
        <v>4</v>
      </c>
      <c r="H828" t="s">
        <v>56</v>
      </c>
      <c r="I828">
        <v>1</v>
      </c>
      <c r="J828">
        <v>732</v>
      </c>
      <c r="K828">
        <v>1</v>
      </c>
      <c r="L828" s="17" t="s">
        <v>43</v>
      </c>
      <c r="M828">
        <v>84</v>
      </c>
      <c r="N828">
        <v>3</v>
      </c>
      <c r="O828">
        <v>2</v>
      </c>
      <c r="P828" t="s">
        <v>37</v>
      </c>
      <c r="Q828">
        <v>1</v>
      </c>
      <c r="R828" t="s">
        <v>38</v>
      </c>
      <c r="S828" s="6">
        <v>5405</v>
      </c>
      <c r="T828">
        <v>11924</v>
      </c>
      <c r="U828">
        <v>8</v>
      </c>
      <c r="V828" t="s">
        <v>39</v>
      </c>
      <c r="W828" t="s">
        <v>40</v>
      </c>
      <c r="X828">
        <v>14</v>
      </c>
      <c r="Y828">
        <v>3</v>
      </c>
      <c r="Z828">
        <v>4</v>
      </c>
      <c r="AA828">
        <v>80</v>
      </c>
      <c r="AB828">
        <v>0</v>
      </c>
      <c r="AC828">
        <v>10</v>
      </c>
      <c r="AD828">
        <v>1</v>
      </c>
      <c r="AE828">
        <v>3</v>
      </c>
      <c r="AF828">
        <v>2</v>
      </c>
      <c r="AG828">
        <v>2</v>
      </c>
      <c r="AH828">
        <v>2</v>
      </c>
      <c r="AI828">
        <v>2</v>
      </c>
    </row>
    <row r="829" spans="1:35" x14ac:dyDescent="0.3">
      <c r="A829">
        <v>38</v>
      </c>
      <c r="B829" t="s">
        <v>40</v>
      </c>
      <c r="C829" t="s">
        <v>33</v>
      </c>
      <c r="D829">
        <v>723</v>
      </c>
      <c r="E829" t="s">
        <v>34</v>
      </c>
      <c r="F829">
        <v>2</v>
      </c>
      <c r="G829">
        <v>4</v>
      </c>
      <c r="H829" t="s">
        <v>56</v>
      </c>
      <c r="I829">
        <v>1</v>
      </c>
      <c r="J829">
        <v>1835</v>
      </c>
      <c r="K829">
        <v>2</v>
      </c>
      <c r="L829" s="17" t="s">
        <v>36</v>
      </c>
      <c r="M829">
        <v>77</v>
      </c>
      <c r="N829">
        <v>1</v>
      </c>
      <c r="O829">
        <v>2</v>
      </c>
      <c r="P829" t="s">
        <v>54</v>
      </c>
      <c r="Q829">
        <v>4</v>
      </c>
      <c r="R829" t="s">
        <v>45</v>
      </c>
      <c r="S829" s="6">
        <v>5405</v>
      </c>
      <c r="T829">
        <v>4244</v>
      </c>
      <c r="U829">
        <v>2</v>
      </c>
      <c r="V829" t="s">
        <v>39</v>
      </c>
      <c r="W829" t="s">
        <v>32</v>
      </c>
      <c r="X829">
        <v>20</v>
      </c>
      <c r="Y829">
        <v>4</v>
      </c>
      <c r="Z829">
        <v>1</v>
      </c>
      <c r="AA829">
        <v>80</v>
      </c>
      <c r="AB829">
        <v>2</v>
      </c>
      <c r="AC829">
        <v>20</v>
      </c>
      <c r="AD829">
        <v>4</v>
      </c>
      <c r="AE829">
        <v>2</v>
      </c>
      <c r="AF829">
        <v>4</v>
      </c>
      <c r="AG829">
        <v>2</v>
      </c>
      <c r="AH829">
        <v>0</v>
      </c>
      <c r="AI829">
        <v>3</v>
      </c>
    </row>
    <row r="830" spans="1:35" x14ac:dyDescent="0.3">
      <c r="A830">
        <v>36</v>
      </c>
      <c r="B830" t="s">
        <v>40</v>
      </c>
      <c r="C830" t="s">
        <v>52</v>
      </c>
      <c r="D830">
        <v>301</v>
      </c>
      <c r="E830" t="s">
        <v>34</v>
      </c>
      <c r="F830">
        <v>15</v>
      </c>
      <c r="G830">
        <v>4</v>
      </c>
      <c r="H830" t="s">
        <v>56</v>
      </c>
      <c r="I830">
        <v>1</v>
      </c>
      <c r="J830">
        <v>2036</v>
      </c>
      <c r="K830">
        <v>4</v>
      </c>
      <c r="L830" s="17" t="s">
        <v>43</v>
      </c>
      <c r="M830">
        <v>88</v>
      </c>
      <c r="N830">
        <v>1</v>
      </c>
      <c r="O830">
        <v>2</v>
      </c>
      <c r="P830" t="s">
        <v>37</v>
      </c>
      <c r="Q830">
        <v>4</v>
      </c>
      <c r="R830" t="s">
        <v>49</v>
      </c>
      <c r="S830" s="6">
        <v>5406</v>
      </c>
      <c r="T830">
        <v>10436</v>
      </c>
      <c r="U830">
        <v>1</v>
      </c>
      <c r="V830" t="s">
        <v>39</v>
      </c>
      <c r="W830" t="s">
        <v>40</v>
      </c>
      <c r="X830">
        <v>24</v>
      </c>
      <c r="Y830">
        <v>4</v>
      </c>
      <c r="Z830">
        <v>1</v>
      </c>
      <c r="AA830">
        <v>80</v>
      </c>
      <c r="AB830">
        <v>1</v>
      </c>
      <c r="AC830">
        <v>15</v>
      </c>
      <c r="AD830">
        <v>4</v>
      </c>
      <c r="AE830">
        <v>2</v>
      </c>
      <c r="AF830">
        <v>15</v>
      </c>
      <c r="AG830">
        <v>12</v>
      </c>
      <c r="AH830">
        <v>11</v>
      </c>
      <c r="AI830">
        <v>11</v>
      </c>
    </row>
    <row r="831" spans="1:35" x14ac:dyDescent="0.3">
      <c r="A831">
        <v>36</v>
      </c>
      <c r="B831" t="s">
        <v>40</v>
      </c>
      <c r="C831" t="s">
        <v>33</v>
      </c>
      <c r="D831">
        <v>429</v>
      </c>
      <c r="E831" t="s">
        <v>42</v>
      </c>
      <c r="F831">
        <v>2</v>
      </c>
      <c r="G831">
        <v>4</v>
      </c>
      <c r="H831" t="s">
        <v>35</v>
      </c>
      <c r="I831">
        <v>1</v>
      </c>
      <c r="J831">
        <v>1294</v>
      </c>
      <c r="K831">
        <v>3</v>
      </c>
      <c r="L831" s="17" t="s">
        <v>36</v>
      </c>
      <c r="M831">
        <v>53</v>
      </c>
      <c r="N831">
        <v>3</v>
      </c>
      <c r="O831">
        <v>2</v>
      </c>
      <c r="P831" t="s">
        <v>50</v>
      </c>
      <c r="Q831">
        <v>2</v>
      </c>
      <c r="R831" t="s">
        <v>38</v>
      </c>
      <c r="S831" s="6">
        <v>5410</v>
      </c>
      <c r="T831">
        <v>2323</v>
      </c>
      <c r="U831">
        <v>9</v>
      </c>
      <c r="V831" t="s">
        <v>39</v>
      </c>
      <c r="W831" t="s">
        <v>32</v>
      </c>
      <c r="X831">
        <v>11</v>
      </c>
      <c r="Y831">
        <v>3</v>
      </c>
      <c r="Z831">
        <v>4</v>
      </c>
      <c r="AA831">
        <v>80</v>
      </c>
      <c r="AB831">
        <v>0</v>
      </c>
      <c r="AC831">
        <v>18</v>
      </c>
      <c r="AD831">
        <v>2</v>
      </c>
      <c r="AE831">
        <v>3</v>
      </c>
      <c r="AF831">
        <v>16</v>
      </c>
      <c r="AG831">
        <v>14</v>
      </c>
      <c r="AH831">
        <v>5</v>
      </c>
      <c r="AI831">
        <v>12</v>
      </c>
    </row>
    <row r="832" spans="1:35" x14ac:dyDescent="0.3">
      <c r="A832">
        <v>42</v>
      </c>
      <c r="B832" t="s">
        <v>40</v>
      </c>
      <c r="C832" t="s">
        <v>33</v>
      </c>
      <c r="D832">
        <v>557</v>
      </c>
      <c r="E832" t="s">
        <v>42</v>
      </c>
      <c r="F832">
        <v>18</v>
      </c>
      <c r="G832">
        <v>4</v>
      </c>
      <c r="H832" t="s">
        <v>35</v>
      </c>
      <c r="I832">
        <v>1</v>
      </c>
      <c r="J832">
        <v>1998</v>
      </c>
      <c r="K832">
        <v>4</v>
      </c>
      <c r="L832" s="17" t="s">
        <v>43</v>
      </c>
      <c r="M832">
        <v>35</v>
      </c>
      <c r="N832">
        <v>3</v>
      </c>
      <c r="O832">
        <v>2</v>
      </c>
      <c r="P832" t="s">
        <v>44</v>
      </c>
      <c r="Q832">
        <v>1</v>
      </c>
      <c r="R832" t="s">
        <v>49</v>
      </c>
      <c r="S832" s="6">
        <v>5410</v>
      </c>
      <c r="T832">
        <v>11189</v>
      </c>
      <c r="U832">
        <v>6</v>
      </c>
      <c r="V832" t="s">
        <v>39</v>
      </c>
      <c r="W832" t="s">
        <v>32</v>
      </c>
      <c r="X832">
        <v>17</v>
      </c>
      <c r="Y832">
        <v>3</v>
      </c>
      <c r="Z832">
        <v>3</v>
      </c>
      <c r="AA832">
        <v>80</v>
      </c>
      <c r="AB832">
        <v>1</v>
      </c>
      <c r="AC832">
        <v>9</v>
      </c>
      <c r="AD832">
        <v>3</v>
      </c>
      <c r="AE832">
        <v>2</v>
      </c>
      <c r="AF832">
        <v>4</v>
      </c>
      <c r="AG832">
        <v>3</v>
      </c>
      <c r="AH832">
        <v>1</v>
      </c>
      <c r="AI832">
        <v>2</v>
      </c>
    </row>
    <row r="833" spans="1:35" x14ac:dyDescent="0.3">
      <c r="A833">
        <v>55</v>
      </c>
      <c r="B833" t="s">
        <v>40</v>
      </c>
      <c r="C833" t="s">
        <v>33</v>
      </c>
      <c r="D833">
        <v>147</v>
      </c>
      <c r="E833" t="s">
        <v>42</v>
      </c>
      <c r="F833">
        <v>20</v>
      </c>
      <c r="G833">
        <v>2</v>
      </c>
      <c r="H833" t="s">
        <v>57</v>
      </c>
      <c r="I833">
        <v>1</v>
      </c>
      <c r="J833">
        <v>389</v>
      </c>
      <c r="K833">
        <v>2</v>
      </c>
      <c r="L833" s="17" t="s">
        <v>43</v>
      </c>
      <c r="M833">
        <v>37</v>
      </c>
      <c r="N833">
        <v>3</v>
      </c>
      <c r="O833">
        <v>2</v>
      </c>
      <c r="P833" t="s">
        <v>47</v>
      </c>
      <c r="Q833">
        <v>4</v>
      </c>
      <c r="R833" t="s">
        <v>45</v>
      </c>
      <c r="S833" s="6">
        <v>5415</v>
      </c>
      <c r="T833">
        <v>15972</v>
      </c>
      <c r="U833">
        <v>3</v>
      </c>
      <c r="V833" t="s">
        <v>39</v>
      </c>
      <c r="W833" t="s">
        <v>32</v>
      </c>
      <c r="X833">
        <v>19</v>
      </c>
      <c r="Y833">
        <v>3</v>
      </c>
      <c r="Z833">
        <v>4</v>
      </c>
      <c r="AA833">
        <v>80</v>
      </c>
      <c r="AB833">
        <v>1</v>
      </c>
      <c r="AC833">
        <v>12</v>
      </c>
      <c r="AD833">
        <v>4</v>
      </c>
      <c r="AE833">
        <v>3</v>
      </c>
      <c r="AF833">
        <v>10</v>
      </c>
      <c r="AG833">
        <v>7</v>
      </c>
      <c r="AH833">
        <v>0</v>
      </c>
      <c r="AI833">
        <v>8</v>
      </c>
    </row>
    <row r="834" spans="1:35" x14ac:dyDescent="0.3">
      <c r="A834">
        <v>34</v>
      </c>
      <c r="B834" t="s">
        <v>40</v>
      </c>
      <c r="C834" t="s">
        <v>33</v>
      </c>
      <c r="D834">
        <v>285</v>
      </c>
      <c r="E834" t="s">
        <v>42</v>
      </c>
      <c r="F834">
        <v>29</v>
      </c>
      <c r="G834">
        <v>3</v>
      </c>
      <c r="H834" t="s">
        <v>48</v>
      </c>
      <c r="I834">
        <v>1</v>
      </c>
      <c r="J834">
        <v>1377</v>
      </c>
      <c r="K834">
        <v>2</v>
      </c>
      <c r="L834" s="17" t="s">
        <v>43</v>
      </c>
      <c r="M834">
        <v>86</v>
      </c>
      <c r="N834">
        <v>3</v>
      </c>
      <c r="O834">
        <v>2</v>
      </c>
      <c r="P834" t="s">
        <v>47</v>
      </c>
      <c r="Q834">
        <v>3</v>
      </c>
      <c r="R834" t="s">
        <v>45</v>
      </c>
      <c r="S834" s="6">
        <v>5429</v>
      </c>
      <c r="T834">
        <v>17491</v>
      </c>
      <c r="U834">
        <v>4</v>
      </c>
      <c r="V834" t="s">
        <v>39</v>
      </c>
      <c r="W834" t="s">
        <v>40</v>
      </c>
      <c r="X834">
        <v>13</v>
      </c>
      <c r="Y834">
        <v>3</v>
      </c>
      <c r="Z834">
        <v>1</v>
      </c>
      <c r="AA834">
        <v>80</v>
      </c>
      <c r="AB834">
        <v>2</v>
      </c>
      <c r="AC834">
        <v>10</v>
      </c>
      <c r="AD834">
        <v>1</v>
      </c>
      <c r="AE834">
        <v>3</v>
      </c>
      <c r="AF834">
        <v>8</v>
      </c>
      <c r="AG834">
        <v>7</v>
      </c>
      <c r="AH834">
        <v>7</v>
      </c>
      <c r="AI834">
        <v>7</v>
      </c>
    </row>
    <row r="835" spans="1:35" x14ac:dyDescent="0.3">
      <c r="A835">
        <v>34</v>
      </c>
      <c r="B835" t="s">
        <v>40</v>
      </c>
      <c r="C835" t="s">
        <v>33</v>
      </c>
      <c r="D835">
        <v>1130</v>
      </c>
      <c r="E835" t="s">
        <v>42</v>
      </c>
      <c r="F835">
        <v>3</v>
      </c>
      <c r="G835">
        <v>3</v>
      </c>
      <c r="H835" t="s">
        <v>35</v>
      </c>
      <c r="I835">
        <v>1</v>
      </c>
      <c r="J835">
        <v>1658</v>
      </c>
      <c r="K835">
        <v>4</v>
      </c>
      <c r="L835" s="17" t="s">
        <v>36</v>
      </c>
      <c r="M835">
        <v>66</v>
      </c>
      <c r="N835">
        <v>3</v>
      </c>
      <c r="O835">
        <v>2</v>
      </c>
      <c r="P835" t="s">
        <v>44</v>
      </c>
      <c r="Q835">
        <v>2</v>
      </c>
      <c r="R835" t="s">
        <v>49</v>
      </c>
      <c r="S835" s="6">
        <v>5433</v>
      </c>
      <c r="T835">
        <v>19332</v>
      </c>
      <c r="U835">
        <v>1</v>
      </c>
      <c r="V835" t="s">
        <v>39</v>
      </c>
      <c r="W835" t="s">
        <v>40</v>
      </c>
      <c r="X835">
        <v>12</v>
      </c>
      <c r="Y835">
        <v>3</v>
      </c>
      <c r="Z835">
        <v>3</v>
      </c>
      <c r="AA835">
        <v>80</v>
      </c>
      <c r="AB835">
        <v>1</v>
      </c>
      <c r="AC835">
        <v>11</v>
      </c>
      <c r="AD835">
        <v>2</v>
      </c>
      <c r="AE835">
        <v>3</v>
      </c>
      <c r="AF835">
        <v>11</v>
      </c>
      <c r="AG835">
        <v>8</v>
      </c>
      <c r="AH835">
        <v>7</v>
      </c>
      <c r="AI835">
        <v>9</v>
      </c>
    </row>
    <row r="836" spans="1:35" x14ac:dyDescent="0.3">
      <c r="A836">
        <v>35</v>
      </c>
      <c r="B836" t="s">
        <v>32</v>
      </c>
      <c r="C836" t="s">
        <v>33</v>
      </c>
      <c r="D836">
        <v>763</v>
      </c>
      <c r="E836" t="s">
        <v>34</v>
      </c>
      <c r="F836">
        <v>15</v>
      </c>
      <c r="G836">
        <v>2</v>
      </c>
      <c r="H836" t="s">
        <v>48</v>
      </c>
      <c r="I836">
        <v>1</v>
      </c>
      <c r="J836">
        <v>1645</v>
      </c>
      <c r="K836">
        <v>1</v>
      </c>
      <c r="L836" s="17" t="s">
        <v>43</v>
      </c>
      <c r="M836">
        <v>59</v>
      </c>
      <c r="N836">
        <v>1</v>
      </c>
      <c r="O836">
        <v>2</v>
      </c>
      <c r="P836" t="s">
        <v>37</v>
      </c>
      <c r="Q836">
        <v>4</v>
      </c>
      <c r="R836" t="s">
        <v>49</v>
      </c>
      <c r="S836" s="6">
        <v>5440</v>
      </c>
      <c r="T836">
        <v>22098</v>
      </c>
      <c r="U836">
        <v>6</v>
      </c>
      <c r="V836" t="s">
        <v>39</v>
      </c>
      <c r="W836" t="s">
        <v>32</v>
      </c>
      <c r="X836">
        <v>14</v>
      </c>
      <c r="Y836">
        <v>3</v>
      </c>
      <c r="Z836">
        <v>4</v>
      </c>
      <c r="AA836">
        <v>80</v>
      </c>
      <c r="AB836">
        <v>2</v>
      </c>
      <c r="AC836">
        <v>7</v>
      </c>
      <c r="AD836">
        <v>2</v>
      </c>
      <c r="AE836">
        <v>2</v>
      </c>
      <c r="AF836">
        <v>2</v>
      </c>
      <c r="AG836">
        <v>2</v>
      </c>
      <c r="AH836">
        <v>2</v>
      </c>
      <c r="AI836">
        <v>2</v>
      </c>
    </row>
    <row r="837" spans="1:35" x14ac:dyDescent="0.3">
      <c r="A837">
        <v>51</v>
      </c>
      <c r="B837" t="s">
        <v>40</v>
      </c>
      <c r="C837" t="s">
        <v>33</v>
      </c>
      <c r="D837">
        <v>632</v>
      </c>
      <c r="E837" t="s">
        <v>34</v>
      </c>
      <c r="F837">
        <v>21</v>
      </c>
      <c r="G837">
        <v>4</v>
      </c>
      <c r="H837" t="s">
        <v>56</v>
      </c>
      <c r="I837">
        <v>1</v>
      </c>
      <c r="J837">
        <v>120</v>
      </c>
      <c r="K837">
        <v>3</v>
      </c>
      <c r="L837" s="17" t="s">
        <v>43</v>
      </c>
      <c r="M837">
        <v>71</v>
      </c>
      <c r="N837">
        <v>3</v>
      </c>
      <c r="O837">
        <v>2</v>
      </c>
      <c r="P837" t="s">
        <v>37</v>
      </c>
      <c r="Q837">
        <v>4</v>
      </c>
      <c r="R837" t="s">
        <v>38</v>
      </c>
      <c r="S837" s="6">
        <v>5441</v>
      </c>
      <c r="T837">
        <v>8423</v>
      </c>
      <c r="U837">
        <v>0</v>
      </c>
      <c r="V837" t="s">
        <v>39</v>
      </c>
      <c r="W837" t="s">
        <v>32</v>
      </c>
      <c r="X837">
        <v>22</v>
      </c>
      <c r="Y837">
        <v>4</v>
      </c>
      <c r="Z837">
        <v>4</v>
      </c>
      <c r="AA837">
        <v>80</v>
      </c>
      <c r="AB837">
        <v>0</v>
      </c>
      <c r="AC837">
        <v>11</v>
      </c>
      <c r="AD837">
        <v>2</v>
      </c>
      <c r="AE837">
        <v>1</v>
      </c>
      <c r="AF837">
        <v>10</v>
      </c>
      <c r="AG837">
        <v>7</v>
      </c>
      <c r="AH837">
        <v>1</v>
      </c>
      <c r="AI837">
        <v>0</v>
      </c>
    </row>
    <row r="838" spans="1:35" x14ac:dyDescent="0.3">
      <c r="A838">
        <v>44</v>
      </c>
      <c r="B838" t="s">
        <v>40</v>
      </c>
      <c r="C838" t="s">
        <v>33</v>
      </c>
      <c r="D838">
        <v>1488</v>
      </c>
      <c r="E838" t="s">
        <v>34</v>
      </c>
      <c r="F838">
        <v>1</v>
      </c>
      <c r="G838">
        <v>5</v>
      </c>
      <c r="H838" t="s">
        <v>56</v>
      </c>
      <c r="I838">
        <v>1</v>
      </c>
      <c r="J838">
        <v>68</v>
      </c>
      <c r="K838">
        <v>2</v>
      </c>
      <c r="L838" s="17" t="s">
        <v>36</v>
      </c>
      <c r="M838">
        <v>75</v>
      </c>
      <c r="N838">
        <v>3</v>
      </c>
      <c r="O838">
        <v>2</v>
      </c>
      <c r="P838" t="s">
        <v>37</v>
      </c>
      <c r="Q838">
        <v>1</v>
      </c>
      <c r="R838" t="s">
        <v>49</v>
      </c>
      <c r="S838" s="6">
        <v>5454</v>
      </c>
      <c r="T838">
        <v>4009</v>
      </c>
      <c r="U838">
        <v>5</v>
      </c>
      <c r="V838" t="s">
        <v>39</v>
      </c>
      <c r="W838" t="s">
        <v>32</v>
      </c>
      <c r="X838">
        <v>21</v>
      </c>
      <c r="Y838">
        <v>4</v>
      </c>
      <c r="Z838">
        <v>3</v>
      </c>
      <c r="AA838">
        <v>80</v>
      </c>
      <c r="AB838">
        <v>1</v>
      </c>
      <c r="AC838">
        <v>9</v>
      </c>
      <c r="AD838">
        <v>2</v>
      </c>
      <c r="AE838">
        <v>2</v>
      </c>
      <c r="AF838">
        <v>4</v>
      </c>
      <c r="AG838">
        <v>3</v>
      </c>
      <c r="AH838">
        <v>1</v>
      </c>
      <c r="AI838">
        <v>3</v>
      </c>
    </row>
    <row r="839" spans="1:35" x14ac:dyDescent="0.3">
      <c r="A839">
        <v>31</v>
      </c>
      <c r="B839" t="s">
        <v>40</v>
      </c>
      <c r="C839" t="s">
        <v>33</v>
      </c>
      <c r="D839">
        <v>525</v>
      </c>
      <c r="E839" t="s">
        <v>34</v>
      </c>
      <c r="F839">
        <v>6</v>
      </c>
      <c r="G839">
        <v>4</v>
      </c>
      <c r="H839" t="s">
        <v>48</v>
      </c>
      <c r="I839">
        <v>1</v>
      </c>
      <c r="J839">
        <v>653</v>
      </c>
      <c r="K839">
        <v>1</v>
      </c>
      <c r="L839" s="17" t="s">
        <v>43</v>
      </c>
      <c r="M839">
        <v>66</v>
      </c>
      <c r="N839">
        <v>4</v>
      </c>
      <c r="O839">
        <v>2</v>
      </c>
      <c r="P839" t="s">
        <v>37</v>
      </c>
      <c r="Q839">
        <v>4</v>
      </c>
      <c r="R839" t="s">
        <v>49</v>
      </c>
      <c r="S839" s="6">
        <v>5460</v>
      </c>
      <c r="T839">
        <v>6219</v>
      </c>
      <c r="U839">
        <v>4</v>
      </c>
      <c r="V839" t="s">
        <v>39</v>
      </c>
      <c r="W839" t="s">
        <v>40</v>
      </c>
      <c r="X839">
        <v>22</v>
      </c>
      <c r="Y839">
        <v>4</v>
      </c>
      <c r="Z839">
        <v>4</v>
      </c>
      <c r="AA839">
        <v>80</v>
      </c>
      <c r="AB839">
        <v>2</v>
      </c>
      <c r="AC839">
        <v>13</v>
      </c>
      <c r="AD839">
        <v>4</v>
      </c>
      <c r="AE839">
        <v>4</v>
      </c>
      <c r="AF839">
        <v>7</v>
      </c>
      <c r="AG839">
        <v>7</v>
      </c>
      <c r="AH839">
        <v>5</v>
      </c>
      <c r="AI839">
        <v>7</v>
      </c>
    </row>
    <row r="840" spans="1:35" x14ac:dyDescent="0.3">
      <c r="A840">
        <v>41</v>
      </c>
      <c r="B840" t="s">
        <v>40</v>
      </c>
      <c r="C840" t="s">
        <v>41</v>
      </c>
      <c r="D840">
        <v>1200</v>
      </c>
      <c r="E840" t="s">
        <v>42</v>
      </c>
      <c r="F840">
        <v>22</v>
      </c>
      <c r="G840">
        <v>3</v>
      </c>
      <c r="H840" t="s">
        <v>35</v>
      </c>
      <c r="I840">
        <v>1</v>
      </c>
      <c r="J840">
        <v>1392</v>
      </c>
      <c r="K840">
        <v>4</v>
      </c>
      <c r="L840" s="17" t="s">
        <v>36</v>
      </c>
      <c r="M840">
        <v>75</v>
      </c>
      <c r="N840">
        <v>3</v>
      </c>
      <c r="O840">
        <v>2</v>
      </c>
      <c r="P840" t="s">
        <v>44</v>
      </c>
      <c r="Q840">
        <v>4</v>
      </c>
      <c r="R840" t="s">
        <v>49</v>
      </c>
      <c r="S840" s="6">
        <v>5467</v>
      </c>
      <c r="T840">
        <v>13953</v>
      </c>
      <c r="U840">
        <v>3</v>
      </c>
      <c r="V840" t="s">
        <v>39</v>
      </c>
      <c r="W840" t="s">
        <v>32</v>
      </c>
      <c r="X840">
        <v>14</v>
      </c>
      <c r="Y840">
        <v>3</v>
      </c>
      <c r="Z840">
        <v>1</v>
      </c>
      <c r="AA840">
        <v>80</v>
      </c>
      <c r="AB840">
        <v>2</v>
      </c>
      <c r="AC840">
        <v>12</v>
      </c>
      <c r="AD840">
        <v>4</v>
      </c>
      <c r="AE840">
        <v>2</v>
      </c>
      <c r="AF840">
        <v>6</v>
      </c>
      <c r="AG840">
        <v>2</v>
      </c>
      <c r="AH840">
        <v>3</v>
      </c>
      <c r="AI840">
        <v>3</v>
      </c>
    </row>
    <row r="841" spans="1:35" x14ac:dyDescent="0.3">
      <c r="A841">
        <v>47</v>
      </c>
      <c r="B841" t="s">
        <v>40</v>
      </c>
      <c r="C841" t="s">
        <v>52</v>
      </c>
      <c r="D841">
        <v>1169</v>
      </c>
      <c r="E841" t="s">
        <v>42</v>
      </c>
      <c r="F841">
        <v>14</v>
      </c>
      <c r="G841">
        <v>4</v>
      </c>
      <c r="H841" t="s">
        <v>57</v>
      </c>
      <c r="I841">
        <v>1</v>
      </c>
      <c r="J841">
        <v>1934</v>
      </c>
      <c r="K841">
        <v>3</v>
      </c>
      <c r="L841" s="17" t="s">
        <v>43</v>
      </c>
      <c r="M841">
        <v>64</v>
      </c>
      <c r="N841">
        <v>3</v>
      </c>
      <c r="O841">
        <v>2</v>
      </c>
      <c r="P841" t="s">
        <v>44</v>
      </c>
      <c r="Q841">
        <v>2</v>
      </c>
      <c r="R841" t="s">
        <v>45</v>
      </c>
      <c r="S841" s="6">
        <v>5467</v>
      </c>
      <c r="T841">
        <v>2125</v>
      </c>
      <c r="U841">
        <v>8</v>
      </c>
      <c r="V841" t="s">
        <v>39</v>
      </c>
      <c r="W841" t="s">
        <v>40</v>
      </c>
      <c r="X841">
        <v>18</v>
      </c>
      <c r="Y841">
        <v>3</v>
      </c>
      <c r="Z841">
        <v>3</v>
      </c>
      <c r="AA841">
        <v>80</v>
      </c>
      <c r="AB841">
        <v>1</v>
      </c>
      <c r="AC841">
        <v>16</v>
      </c>
      <c r="AD841">
        <v>4</v>
      </c>
      <c r="AE841">
        <v>4</v>
      </c>
      <c r="AF841">
        <v>8</v>
      </c>
      <c r="AG841">
        <v>7</v>
      </c>
      <c r="AH841">
        <v>1</v>
      </c>
      <c r="AI841">
        <v>7</v>
      </c>
    </row>
    <row r="842" spans="1:35" x14ac:dyDescent="0.3">
      <c r="A842">
        <v>31</v>
      </c>
      <c r="B842" t="s">
        <v>40</v>
      </c>
      <c r="C842" t="s">
        <v>33</v>
      </c>
      <c r="D842">
        <v>196</v>
      </c>
      <c r="E842" t="s">
        <v>34</v>
      </c>
      <c r="F842">
        <v>29</v>
      </c>
      <c r="G842">
        <v>4</v>
      </c>
      <c r="H842" t="s">
        <v>56</v>
      </c>
      <c r="I842">
        <v>1</v>
      </c>
      <c r="J842">
        <v>1784</v>
      </c>
      <c r="K842">
        <v>1</v>
      </c>
      <c r="L842" s="17" t="s">
        <v>36</v>
      </c>
      <c r="M842">
        <v>91</v>
      </c>
      <c r="N842">
        <v>2</v>
      </c>
      <c r="O842">
        <v>2</v>
      </c>
      <c r="P842" t="s">
        <v>37</v>
      </c>
      <c r="Q842">
        <v>4</v>
      </c>
      <c r="R842" t="s">
        <v>45</v>
      </c>
      <c r="S842" s="6">
        <v>5468</v>
      </c>
      <c r="T842">
        <v>13402</v>
      </c>
      <c r="U842">
        <v>1</v>
      </c>
      <c r="V842" t="s">
        <v>39</v>
      </c>
      <c r="W842" t="s">
        <v>40</v>
      </c>
      <c r="X842">
        <v>14</v>
      </c>
      <c r="Y842">
        <v>3</v>
      </c>
      <c r="Z842">
        <v>1</v>
      </c>
      <c r="AA842">
        <v>80</v>
      </c>
      <c r="AB842">
        <v>2</v>
      </c>
      <c r="AC842">
        <v>13</v>
      </c>
      <c r="AD842">
        <v>3</v>
      </c>
      <c r="AE842">
        <v>3</v>
      </c>
      <c r="AF842">
        <v>12</v>
      </c>
      <c r="AG842">
        <v>7</v>
      </c>
      <c r="AH842">
        <v>5</v>
      </c>
      <c r="AI842">
        <v>7</v>
      </c>
    </row>
    <row r="843" spans="1:35" x14ac:dyDescent="0.3">
      <c r="A843">
        <v>32</v>
      </c>
      <c r="B843" t="s">
        <v>40</v>
      </c>
      <c r="C843" t="s">
        <v>33</v>
      </c>
      <c r="D843">
        <v>977</v>
      </c>
      <c r="E843" t="s">
        <v>42</v>
      </c>
      <c r="F843">
        <v>2</v>
      </c>
      <c r="G843">
        <v>3</v>
      </c>
      <c r="H843" t="s">
        <v>48</v>
      </c>
      <c r="I843">
        <v>1</v>
      </c>
      <c r="J843">
        <v>1671</v>
      </c>
      <c r="K843">
        <v>4</v>
      </c>
      <c r="L843" s="17" t="s">
        <v>43</v>
      </c>
      <c r="M843">
        <v>45</v>
      </c>
      <c r="N843">
        <v>3</v>
      </c>
      <c r="O843">
        <v>2</v>
      </c>
      <c r="P843" t="s">
        <v>44</v>
      </c>
      <c r="Q843">
        <v>2</v>
      </c>
      <c r="R843" t="s">
        <v>49</v>
      </c>
      <c r="S843" s="6">
        <v>5470</v>
      </c>
      <c r="T843">
        <v>25518</v>
      </c>
      <c r="U843">
        <v>0</v>
      </c>
      <c r="V843" t="s">
        <v>39</v>
      </c>
      <c r="W843" t="s">
        <v>40</v>
      </c>
      <c r="X843">
        <v>13</v>
      </c>
      <c r="Y843">
        <v>3</v>
      </c>
      <c r="Z843">
        <v>3</v>
      </c>
      <c r="AA843">
        <v>80</v>
      </c>
      <c r="AB843">
        <v>2</v>
      </c>
      <c r="AC843">
        <v>10</v>
      </c>
      <c r="AD843">
        <v>4</v>
      </c>
      <c r="AE843">
        <v>2</v>
      </c>
      <c r="AF843">
        <v>9</v>
      </c>
      <c r="AG843">
        <v>5</v>
      </c>
      <c r="AH843">
        <v>1</v>
      </c>
      <c r="AI843">
        <v>6</v>
      </c>
    </row>
    <row r="844" spans="1:35" x14ac:dyDescent="0.3">
      <c r="A844">
        <v>26</v>
      </c>
      <c r="B844" t="s">
        <v>40</v>
      </c>
      <c r="C844" t="s">
        <v>33</v>
      </c>
      <c r="D844">
        <v>1066</v>
      </c>
      <c r="E844" t="s">
        <v>42</v>
      </c>
      <c r="F844">
        <v>2</v>
      </c>
      <c r="G844">
        <v>2</v>
      </c>
      <c r="H844" t="s">
        <v>48</v>
      </c>
      <c r="I844">
        <v>1</v>
      </c>
      <c r="J844">
        <v>1018</v>
      </c>
      <c r="K844">
        <v>4</v>
      </c>
      <c r="L844" s="17" t="s">
        <v>43</v>
      </c>
      <c r="M844">
        <v>32</v>
      </c>
      <c r="N844">
        <v>4</v>
      </c>
      <c r="O844">
        <v>2</v>
      </c>
      <c r="P844" t="s">
        <v>50</v>
      </c>
      <c r="Q844">
        <v>4</v>
      </c>
      <c r="R844" t="s">
        <v>45</v>
      </c>
      <c r="S844" s="6">
        <v>5472</v>
      </c>
      <c r="T844">
        <v>3334</v>
      </c>
      <c r="U844">
        <v>1</v>
      </c>
      <c r="V844" t="s">
        <v>39</v>
      </c>
      <c r="W844" t="s">
        <v>40</v>
      </c>
      <c r="X844">
        <v>12</v>
      </c>
      <c r="Y844">
        <v>3</v>
      </c>
      <c r="Z844">
        <v>2</v>
      </c>
      <c r="AA844">
        <v>80</v>
      </c>
      <c r="AB844">
        <v>0</v>
      </c>
      <c r="AC844">
        <v>8</v>
      </c>
      <c r="AD844">
        <v>2</v>
      </c>
      <c r="AE844">
        <v>3</v>
      </c>
      <c r="AF844">
        <v>8</v>
      </c>
      <c r="AG844">
        <v>7</v>
      </c>
      <c r="AH844">
        <v>1</v>
      </c>
      <c r="AI844">
        <v>3</v>
      </c>
    </row>
    <row r="845" spans="1:35" x14ac:dyDescent="0.3">
      <c r="A845">
        <v>59</v>
      </c>
      <c r="B845" t="s">
        <v>40</v>
      </c>
      <c r="C845" t="s">
        <v>41</v>
      </c>
      <c r="D845">
        <v>1225</v>
      </c>
      <c r="E845" t="s">
        <v>34</v>
      </c>
      <c r="F845">
        <v>1</v>
      </c>
      <c r="G845">
        <v>1</v>
      </c>
      <c r="H845" t="s">
        <v>35</v>
      </c>
      <c r="I845">
        <v>1</v>
      </c>
      <c r="J845">
        <v>91</v>
      </c>
      <c r="K845">
        <v>1</v>
      </c>
      <c r="L845" s="17" t="s">
        <v>36</v>
      </c>
      <c r="M845">
        <v>57</v>
      </c>
      <c r="N845">
        <v>2</v>
      </c>
      <c r="O845">
        <v>2</v>
      </c>
      <c r="P845" t="s">
        <v>37</v>
      </c>
      <c r="Q845">
        <v>3</v>
      </c>
      <c r="R845" t="s">
        <v>38</v>
      </c>
      <c r="S845" s="6">
        <v>5473</v>
      </c>
      <c r="T845">
        <v>24668</v>
      </c>
      <c r="U845">
        <v>7</v>
      </c>
      <c r="V845" t="s">
        <v>39</v>
      </c>
      <c r="W845" t="s">
        <v>40</v>
      </c>
      <c r="X845">
        <v>11</v>
      </c>
      <c r="Y845">
        <v>3</v>
      </c>
      <c r="Z845">
        <v>4</v>
      </c>
      <c r="AA845">
        <v>80</v>
      </c>
      <c r="AB845">
        <v>0</v>
      </c>
      <c r="AC845">
        <v>20</v>
      </c>
      <c r="AD845">
        <v>2</v>
      </c>
      <c r="AE845">
        <v>2</v>
      </c>
      <c r="AF845">
        <v>4</v>
      </c>
      <c r="AG845">
        <v>3</v>
      </c>
      <c r="AH845">
        <v>1</v>
      </c>
      <c r="AI845">
        <v>3</v>
      </c>
    </row>
    <row r="846" spans="1:35" x14ac:dyDescent="0.3">
      <c r="A846">
        <v>40</v>
      </c>
      <c r="B846" t="s">
        <v>40</v>
      </c>
      <c r="C846" t="s">
        <v>33</v>
      </c>
      <c r="D846">
        <v>1342</v>
      </c>
      <c r="E846" t="s">
        <v>34</v>
      </c>
      <c r="F846">
        <v>9</v>
      </c>
      <c r="G846">
        <v>2</v>
      </c>
      <c r="H846" t="s">
        <v>48</v>
      </c>
      <c r="I846">
        <v>1</v>
      </c>
      <c r="J846">
        <v>1548</v>
      </c>
      <c r="K846">
        <v>1</v>
      </c>
      <c r="L846" s="17" t="s">
        <v>43</v>
      </c>
      <c r="M846">
        <v>47</v>
      </c>
      <c r="N846">
        <v>3</v>
      </c>
      <c r="O846">
        <v>2</v>
      </c>
      <c r="P846" t="s">
        <v>37</v>
      </c>
      <c r="Q846">
        <v>1</v>
      </c>
      <c r="R846" t="s">
        <v>45</v>
      </c>
      <c r="S846" s="6">
        <v>5473</v>
      </c>
      <c r="T846">
        <v>19345</v>
      </c>
      <c r="U846">
        <v>0</v>
      </c>
      <c r="V846" t="s">
        <v>39</v>
      </c>
      <c r="W846" t="s">
        <v>40</v>
      </c>
      <c r="X846">
        <v>12</v>
      </c>
      <c r="Y846">
        <v>3</v>
      </c>
      <c r="Z846">
        <v>4</v>
      </c>
      <c r="AA846">
        <v>80</v>
      </c>
      <c r="AB846">
        <v>0</v>
      </c>
      <c r="AC846">
        <v>9</v>
      </c>
      <c r="AD846">
        <v>5</v>
      </c>
      <c r="AE846">
        <v>4</v>
      </c>
      <c r="AF846">
        <v>8</v>
      </c>
      <c r="AG846">
        <v>4</v>
      </c>
      <c r="AH846">
        <v>7</v>
      </c>
      <c r="AI846">
        <v>1</v>
      </c>
    </row>
    <row r="847" spans="1:35" x14ac:dyDescent="0.3">
      <c r="A847">
        <v>31</v>
      </c>
      <c r="B847" t="s">
        <v>40</v>
      </c>
      <c r="C847" t="s">
        <v>33</v>
      </c>
      <c r="D847">
        <v>1112</v>
      </c>
      <c r="E847" t="s">
        <v>34</v>
      </c>
      <c r="F847">
        <v>5</v>
      </c>
      <c r="G847">
        <v>4</v>
      </c>
      <c r="H847" t="s">
        <v>35</v>
      </c>
      <c r="I847">
        <v>1</v>
      </c>
      <c r="J847">
        <v>1673</v>
      </c>
      <c r="K847">
        <v>1</v>
      </c>
      <c r="L847" s="17" t="s">
        <v>36</v>
      </c>
      <c r="M847">
        <v>67</v>
      </c>
      <c r="N847">
        <v>3</v>
      </c>
      <c r="O847">
        <v>2</v>
      </c>
      <c r="P847" t="s">
        <v>37</v>
      </c>
      <c r="Q847">
        <v>4</v>
      </c>
      <c r="R847" t="s">
        <v>45</v>
      </c>
      <c r="S847" s="6">
        <v>5476</v>
      </c>
      <c r="T847">
        <v>22589</v>
      </c>
      <c r="U847">
        <v>1</v>
      </c>
      <c r="V847" t="s">
        <v>39</v>
      </c>
      <c r="W847" t="s">
        <v>40</v>
      </c>
      <c r="X847">
        <v>11</v>
      </c>
      <c r="Y847">
        <v>3</v>
      </c>
      <c r="Z847">
        <v>1</v>
      </c>
      <c r="AA847">
        <v>80</v>
      </c>
      <c r="AB847">
        <v>2</v>
      </c>
      <c r="AC847">
        <v>10</v>
      </c>
      <c r="AD847">
        <v>2</v>
      </c>
      <c r="AE847">
        <v>3</v>
      </c>
      <c r="AF847">
        <v>10</v>
      </c>
      <c r="AG847">
        <v>0</v>
      </c>
      <c r="AH847">
        <v>0</v>
      </c>
      <c r="AI847">
        <v>2</v>
      </c>
    </row>
    <row r="848" spans="1:35" x14ac:dyDescent="0.3">
      <c r="A848">
        <v>51</v>
      </c>
      <c r="B848" t="s">
        <v>40</v>
      </c>
      <c r="C848" t="s">
        <v>33</v>
      </c>
      <c r="D848">
        <v>1302</v>
      </c>
      <c r="E848" t="s">
        <v>42</v>
      </c>
      <c r="F848">
        <v>2</v>
      </c>
      <c r="G848">
        <v>3</v>
      </c>
      <c r="H848" t="s">
        <v>48</v>
      </c>
      <c r="I848">
        <v>1</v>
      </c>
      <c r="J848">
        <v>408</v>
      </c>
      <c r="K848">
        <v>4</v>
      </c>
      <c r="L848" s="17" t="s">
        <v>43</v>
      </c>
      <c r="M848">
        <v>84</v>
      </c>
      <c r="N848">
        <v>1</v>
      </c>
      <c r="O848">
        <v>2</v>
      </c>
      <c r="P848" t="s">
        <v>50</v>
      </c>
      <c r="Q848">
        <v>2</v>
      </c>
      <c r="R848" t="s">
        <v>49</v>
      </c>
      <c r="S848" s="6">
        <v>5482</v>
      </c>
      <c r="T848">
        <v>16321</v>
      </c>
      <c r="U848">
        <v>5</v>
      </c>
      <c r="V848" t="s">
        <v>39</v>
      </c>
      <c r="W848" t="s">
        <v>40</v>
      </c>
      <c r="X848">
        <v>18</v>
      </c>
      <c r="Y848">
        <v>3</v>
      </c>
      <c r="Z848">
        <v>4</v>
      </c>
      <c r="AA848">
        <v>80</v>
      </c>
      <c r="AB848">
        <v>1</v>
      </c>
      <c r="AC848">
        <v>13</v>
      </c>
      <c r="AD848">
        <v>3</v>
      </c>
      <c r="AE848">
        <v>3</v>
      </c>
      <c r="AF848">
        <v>4</v>
      </c>
      <c r="AG848">
        <v>1</v>
      </c>
      <c r="AH848">
        <v>1</v>
      </c>
      <c r="AI848">
        <v>2</v>
      </c>
    </row>
    <row r="849" spans="1:35" x14ac:dyDescent="0.3">
      <c r="A849">
        <v>32</v>
      </c>
      <c r="B849" t="s">
        <v>40</v>
      </c>
      <c r="C849" t="s">
        <v>33</v>
      </c>
      <c r="D849">
        <v>906</v>
      </c>
      <c r="E849" t="s">
        <v>34</v>
      </c>
      <c r="F849">
        <v>7</v>
      </c>
      <c r="G849">
        <v>3</v>
      </c>
      <c r="H849" t="s">
        <v>35</v>
      </c>
      <c r="I849">
        <v>1</v>
      </c>
      <c r="J849">
        <v>420</v>
      </c>
      <c r="K849">
        <v>4</v>
      </c>
      <c r="L849" s="17" t="s">
        <v>43</v>
      </c>
      <c r="M849">
        <v>91</v>
      </c>
      <c r="N849">
        <v>2</v>
      </c>
      <c r="O849">
        <v>2</v>
      </c>
      <c r="P849" t="s">
        <v>37</v>
      </c>
      <c r="Q849">
        <v>3</v>
      </c>
      <c r="R849" t="s">
        <v>45</v>
      </c>
      <c r="S849" s="6">
        <v>5484</v>
      </c>
      <c r="T849">
        <v>16985</v>
      </c>
      <c r="U849">
        <v>1</v>
      </c>
      <c r="V849" t="s">
        <v>39</v>
      </c>
      <c r="W849" t="s">
        <v>40</v>
      </c>
      <c r="X849">
        <v>14</v>
      </c>
      <c r="Y849">
        <v>3</v>
      </c>
      <c r="Z849">
        <v>3</v>
      </c>
      <c r="AA849">
        <v>80</v>
      </c>
      <c r="AB849">
        <v>1</v>
      </c>
      <c r="AC849">
        <v>13</v>
      </c>
      <c r="AD849">
        <v>3</v>
      </c>
      <c r="AE849">
        <v>2</v>
      </c>
      <c r="AF849">
        <v>13</v>
      </c>
      <c r="AG849">
        <v>8</v>
      </c>
      <c r="AH849">
        <v>4</v>
      </c>
      <c r="AI849">
        <v>8</v>
      </c>
    </row>
    <row r="850" spans="1:35" x14ac:dyDescent="0.3">
      <c r="A850">
        <v>34</v>
      </c>
      <c r="B850" t="s">
        <v>40</v>
      </c>
      <c r="C850" t="s">
        <v>33</v>
      </c>
      <c r="D850">
        <v>1351</v>
      </c>
      <c r="E850" t="s">
        <v>42</v>
      </c>
      <c r="F850">
        <v>1</v>
      </c>
      <c r="G850">
        <v>4</v>
      </c>
      <c r="H850" t="s">
        <v>35</v>
      </c>
      <c r="I850">
        <v>1</v>
      </c>
      <c r="J850">
        <v>1580</v>
      </c>
      <c r="K850">
        <v>2</v>
      </c>
      <c r="L850" s="17" t="s">
        <v>43</v>
      </c>
      <c r="M850">
        <v>45</v>
      </c>
      <c r="N850">
        <v>3</v>
      </c>
      <c r="O850">
        <v>2</v>
      </c>
      <c r="P850" t="s">
        <v>44</v>
      </c>
      <c r="Q850">
        <v>4</v>
      </c>
      <c r="R850" t="s">
        <v>45</v>
      </c>
      <c r="S850" s="6">
        <v>5484</v>
      </c>
      <c r="T850">
        <v>13008</v>
      </c>
      <c r="U850">
        <v>9</v>
      </c>
      <c r="V850" t="s">
        <v>39</v>
      </c>
      <c r="W850" t="s">
        <v>40</v>
      </c>
      <c r="X850">
        <v>17</v>
      </c>
      <c r="Y850">
        <v>3</v>
      </c>
      <c r="Z850">
        <v>2</v>
      </c>
      <c r="AA850">
        <v>80</v>
      </c>
      <c r="AB850">
        <v>1</v>
      </c>
      <c r="AC850">
        <v>9</v>
      </c>
      <c r="AD850">
        <v>3</v>
      </c>
      <c r="AE850">
        <v>2</v>
      </c>
      <c r="AF850">
        <v>2</v>
      </c>
      <c r="AG850">
        <v>2</v>
      </c>
      <c r="AH850">
        <v>2</v>
      </c>
      <c r="AI850">
        <v>1</v>
      </c>
    </row>
    <row r="851" spans="1:35" x14ac:dyDescent="0.3">
      <c r="A851">
        <v>54</v>
      </c>
      <c r="B851" t="s">
        <v>40</v>
      </c>
      <c r="C851" t="s">
        <v>33</v>
      </c>
      <c r="D851">
        <v>376</v>
      </c>
      <c r="E851" t="s">
        <v>42</v>
      </c>
      <c r="F851">
        <v>19</v>
      </c>
      <c r="G851">
        <v>4</v>
      </c>
      <c r="H851" t="s">
        <v>48</v>
      </c>
      <c r="I851">
        <v>1</v>
      </c>
      <c r="J851">
        <v>799</v>
      </c>
      <c r="K851">
        <v>4</v>
      </c>
      <c r="L851" s="17" t="s">
        <v>36</v>
      </c>
      <c r="M851">
        <v>95</v>
      </c>
      <c r="N851">
        <v>3</v>
      </c>
      <c r="O851">
        <v>2</v>
      </c>
      <c r="P851" t="s">
        <v>50</v>
      </c>
      <c r="Q851">
        <v>1</v>
      </c>
      <c r="R851" t="s">
        <v>49</v>
      </c>
      <c r="S851" s="6">
        <v>5485</v>
      </c>
      <c r="T851">
        <v>22670</v>
      </c>
      <c r="U851">
        <v>9</v>
      </c>
      <c r="V851" t="s">
        <v>39</v>
      </c>
      <c r="W851" t="s">
        <v>32</v>
      </c>
      <c r="X851">
        <v>11</v>
      </c>
      <c r="Y851">
        <v>3</v>
      </c>
      <c r="Z851">
        <v>2</v>
      </c>
      <c r="AA851">
        <v>80</v>
      </c>
      <c r="AB851">
        <v>2</v>
      </c>
      <c r="AC851">
        <v>9</v>
      </c>
      <c r="AD851">
        <v>4</v>
      </c>
      <c r="AE851">
        <v>3</v>
      </c>
      <c r="AF851">
        <v>5</v>
      </c>
      <c r="AG851">
        <v>3</v>
      </c>
      <c r="AH851">
        <v>1</v>
      </c>
      <c r="AI851">
        <v>4</v>
      </c>
    </row>
    <row r="852" spans="1:35" x14ac:dyDescent="0.3">
      <c r="A852">
        <v>48</v>
      </c>
      <c r="B852" t="s">
        <v>40</v>
      </c>
      <c r="C852" t="s">
        <v>33</v>
      </c>
      <c r="D852">
        <v>1221</v>
      </c>
      <c r="E852" t="s">
        <v>34</v>
      </c>
      <c r="F852">
        <v>7</v>
      </c>
      <c r="G852">
        <v>3</v>
      </c>
      <c r="H852" t="s">
        <v>56</v>
      </c>
      <c r="I852">
        <v>1</v>
      </c>
      <c r="J852">
        <v>1466</v>
      </c>
      <c r="K852">
        <v>3</v>
      </c>
      <c r="L852" s="17" t="s">
        <v>43</v>
      </c>
      <c r="M852">
        <v>96</v>
      </c>
      <c r="N852">
        <v>3</v>
      </c>
      <c r="O852">
        <v>2</v>
      </c>
      <c r="P852" t="s">
        <v>37</v>
      </c>
      <c r="Q852">
        <v>1</v>
      </c>
      <c r="R852" t="s">
        <v>49</v>
      </c>
      <c r="S852" s="6">
        <v>5486</v>
      </c>
      <c r="T852">
        <v>24795</v>
      </c>
      <c r="U852">
        <v>4</v>
      </c>
      <c r="V852" t="s">
        <v>39</v>
      </c>
      <c r="W852" t="s">
        <v>40</v>
      </c>
      <c r="X852">
        <v>11</v>
      </c>
      <c r="Y852">
        <v>3</v>
      </c>
      <c r="Z852">
        <v>1</v>
      </c>
      <c r="AA852">
        <v>80</v>
      </c>
      <c r="AB852">
        <v>3</v>
      </c>
      <c r="AC852">
        <v>15</v>
      </c>
      <c r="AD852">
        <v>3</v>
      </c>
      <c r="AE852">
        <v>3</v>
      </c>
      <c r="AF852">
        <v>2</v>
      </c>
      <c r="AG852">
        <v>2</v>
      </c>
      <c r="AH852">
        <v>2</v>
      </c>
      <c r="AI852">
        <v>2</v>
      </c>
    </row>
    <row r="853" spans="1:35" x14ac:dyDescent="0.3">
      <c r="A853">
        <v>33</v>
      </c>
      <c r="B853" t="s">
        <v>40</v>
      </c>
      <c r="C853" t="s">
        <v>33</v>
      </c>
      <c r="D853">
        <v>217</v>
      </c>
      <c r="E853" t="s">
        <v>34</v>
      </c>
      <c r="F853">
        <v>10</v>
      </c>
      <c r="G853">
        <v>4</v>
      </c>
      <c r="H853" t="s">
        <v>56</v>
      </c>
      <c r="I853">
        <v>1</v>
      </c>
      <c r="J853">
        <v>1924</v>
      </c>
      <c r="K853">
        <v>2</v>
      </c>
      <c r="L853" s="17" t="s">
        <v>43</v>
      </c>
      <c r="M853">
        <v>43</v>
      </c>
      <c r="N853">
        <v>3</v>
      </c>
      <c r="O853">
        <v>2</v>
      </c>
      <c r="P853" t="s">
        <v>37</v>
      </c>
      <c r="Q853">
        <v>3</v>
      </c>
      <c r="R853" t="s">
        <v>38</v>
      </c>
      <c r="S853" s="6">
        <v>5487</v>
      </c>
      <c r="T853">
        <v>10410</v>
      </c>
      <c r="U853">
        <v>1</v>
      </c>
      <c r="V853" t="s">
        <v>39</v>
      </c>
      <c r="W853" t="s">
        <v>40</v>
      </c>
      <c r="X853">
        <v>14</v>
      </c>
      <c r="Y853">
        <v>3</v>
      </c>
      <c r="Z853">
        <v>2</v>
      </c>
      <c r="AA853">
        <v>80</v>
      </c>
      <c r="AB853">
        <v>0</v>
      </c>
      <c r="AC853">
        <v>10</v>
      </c>
      <c r="AD853">
        <v>2</v>
      </c>
      <c r="AE853">
        <v>2</v>
      </c>
      <c r="AF853">
        <v>10</v>
      </c>
      <c r="AG853">
        <v>4</v>
      </c>
      <c r="AH853">
        <v>0</v>
      </c>
      <c r="AI853">
        <v>9</v>
      </c>
    </row>
    <row r="854" spans="1:35" x14ac:dyDescent="0.3">
      <c r="A854">
        <v>33</v>
      </c>
      <c r="B854" t="s">
        <v>40</v>
      </c>
      <c r="C854" t="s">
        <v>41</v>
      </c>
      <c r="D854">
        <v>827</v>
      </c>
      <c r="E854" t="s">
        <v>42</v>
      </c>
      <c r="F854">
        <v>1</v>
      </c>
      <c r="G854">
        <v>4</v>
      </c>
      <c r="H854" t="s">
        <v>46</v>
      </c>
      <c r="I854">
        <v>1</v>
      </c>
      <c r="J854">
        <v>998</v>
      </c>
      <c r="K854">
        <v>3</v>
      </c>
      <c r="L854" s="17" t="s">
        <v>36</v>
      </c>
      <c r="M854">
        <v>84</v>
      </c>
      <c r="N854">
        <v>4</v>
      </c>
      <c r="O854">
        <v>2</v>
      </c>
      <c r="P854" t="s">
        <v>51</v>
      </c>
      <c r="Q854">
        <v>2</v>
      </c>
      <c r="R854" t="s">
        <v>45</v>
      </c>
      <c r="S854" s="6">
        <v>5488</v>
      </c>
      <c r="T854">
        <v>20161</v>
      </c>
      <c r="U854">
        <v>1</v>
      </c>
      <c r="V854" t="s">
        <v>39</v>
      </c>
      <c r="W854" t="s">
        <v>32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6</v>
      </c>
      <c r="AD854">
        <v>2</v>
      </c>
      <c r="AE854">
        <v>3</v>
      </c>
      <c r="AF854">
        <v>6</v>
      </c>
      <c r="AG854">
        <v>5</v>
      </c>
      <c r="AH854">
        <v>1</v>
      </c>
      <c r="AI854">
        <v>2</v>
      </c>
    </row>
    <row r="855" spans="1:35" x14ac:dyDescent="0.3">
      <c r="A855">
        <v>33</v>
      </c>
      <c r="B855" t="s">
        <v>40</v>
      </c>
      <c r="C855" t="s">
        <v>33</v>
      </c>
      <c r="D855">
        <v>392</v>
      </c>
      <c r="E855" t="s">
        <v>34</v>
      </c>
      <c r="F855">
        <v>2</v>
      </c>
      <c r="G855">
        <v>4</v>
      </c>
      <c r="H855" t="s">
        <v>48</v>
      </c>
      <c r="I855">
        <v>1</v>
      </c>
      <c r="J855">
        <v>1670</v>
      </c>
      <c r="K855">
        <v>4</v>
      </c>
      <c r="L855" s="17" t="s">
        <v>43</v>
      </c>
      <c r="M855">
        <v>93</v>
      </c>
      <c r="N855">
        <v>3</v>
      </c>
      <c r="O855">
        <v>2</v>
      </c>
      <c r="P855" t="s">
        <v>37</v>
      </c>
      <c r="Q855">
        <v>4</v>
      </c>
      <c r="R855" t="s">
        <v>49</v>
      </c>
      <c r="S855" s="6">
        <v>5505</v>
      </c>
      <c r="T855">
        <v>3921</v>
      </c>
      <c r="U855">
        <v>1</v>
      </c>
      <c r="V855" t="s">
        <v>39</v>
      </c>
      <c r="W855" t="s">
        <v>40</v>
      </c>
      <c r="X855">
        <v>14</v>
      </c>
      <c r="Y855">
        <v>3</v>
      </c>
      <c r="Z855">
        <v>3</v>
      </c>
      <c r="AA855">
        <v>80</v>
      </c>
      <c r="AB855">
        <v>2</v>
      </c>
      <c r="AC855">
        <v>6</v>
      </c>
      <c r="AD855">
        <v>5</v>
      </c>
      <c r="AE855">
        <v>3</v>
      </c>
      <c r="AF855">
        <v>6</v>
      </c>
      <c r="AG855">
        <v>2</v>
      </c>
      <c r="AH855">
        <v>0</v>
      </c>
      <c r="AI855">
        <v>4</v>
      </c>
    </row>
    <row r="856" spans="1:35" x14ac:dyDescent="0.3">
      <c r="A856">
        <v>36</v>
      </c>
      <c r="B856" t="s">
        <v>40</v>
      </c>
      <c r="C856" t="s">
        <v>33</v>
      </c>
      <c r="D856">
        <v>335</v>
      </c>
      <c r="E856" t="s">
        <v>34</v>
      </c>
      <c r="F856">
        <v>17</v>
      </c>
      <c r="G856">
        <v>2</v>
      </c>
      <c r="H856" t="s">
        <v>56</v>
      </c>
      <c r="I856">
        <v>1</v>
      </c>
      <c r="J856">
        <v>1908</v>
      </c>
      <c r="K856">
        <v>3</v>
      </c>
      <c r="L856" s="17" t="s">
        <v>43</v>
      </c>
      <c r="M856">
        <v>33</v>
      </c>
      <c r="N856">
        <v>2</v>
      </c>
      <c r="O856">
        <v>2</v>
      </c>
      <c r="P856" t="s">
        <v>37</v>
      </c>
      <c r="Q856">
        <v>2</v>
      </c>
      <c r="R856" t="s">
        <v>45</v>
      </c>
      <c r="S856" s="6">
        <v>5507</v>
      </c>
      <c r="T856">
        <v>16822</v>
      </c>
      <c r="U856">
        <v>2</v>
      </c>
      <c r="V856" t="s">
        <v>39</v>
      </c>
      <c r="W856" t="s">
        <v>40</v>
      </c>
      <c r="X856">
        <v>16</v>
      </c>
      <c r="Y856">
        <v>3</v>
      </c>
      <c r="Z856">
        <v>3</v>
      </c>
      <c r="AA856">
        <v>80</v>
      </c>
      <c r="AB856">
        <v>2</v>
      </c>
      <c r="AC856">
        <v>12</v>
      </c>
      <c r="AD856">
        <v>1</v>
      </c>
      <c r="AE856">
        <v>1</v>
      </c>
      <c r="AF856">
        <v>4</v>
      </c>
      <c r="AG856">
        <v>2</v>
      </c>
      <c r="AH856">
        <v>1</v>
      </c>
      <c r="AI856">
        <v>3</v>
      </c>
    </row>
    <row r="857" spans="1:35" x14ac:dyDescent="0.3">
      <c r="A857">
        <v>42</v>
      </c>
      <c r="B857" t="s">
        <v>40</v>
      </c>
      <c r="C857" t="s">
        <v>33</v>
      </c>
      <c r="D857">
        <v>1128</v>
      </c>
      <c r="E857" t="s">
        <v>42</v>
      </c>
      <c r="F857">
        <v>13</v>
      </c>
      <c r="G857">
        <v>3</v>
      </c>
      <c r="H857" t="s">
        <v>48</v>
      </c>
      <c r="I857">
        <v>1</v>
      </c>
      <c r="J857">
        <v>1803</v>
      </c>
      <c r="K857">
        <v>2</v>
      </c>
      <c r="L857" s="17" t="s">
        <v>43</v>
      </c>
      <c r="M857">
        <v>95</v>
      </c>
      <c r="N857">
        <v>4</v>
      </c>
      <c r="O857">
        <v>2</v>
      </c>
      <c r="P857" t="s">
        <v>51</v>
      </c>
      <c r="Q857">
        <v>1</v>
      </c>
      <c r="R857" t="s">
        <v>45</v>
      </c>
      <c r="S857" s="6">
        <v>5538</v>
      </c>
      <c r="T857">
        <v>5696</v>
      </c>
      <c r="U857">
        <v>5</v>
      </c>
      <c r="V857" t="s">
        <v>39</v>
      </c>
      <c r="W857" t="s">
        <v>40</v>
      </c>
      <c r="X857">
        <v>18</v>
      </c>
      <c r="Y857">
        <v>3</v>
      </c>
      <c r="Z857">
        <v>3</v>
      </c>
      <c r="AA857">
        <v>80</v>
      </c>
      <c r="AB857">
        <v>2</v>
      </c>
      <c r="AC857">
        <v>10</v>
      </c>
      <c r="AD857">
        <v>2</v>
      </c>
      <c r="AE857">
        <v>2</v>
      </c>
      <c r="AF857">
        <v>0</v>
      </c>
      <c r="AG857">
        <v>0</v>
      </c>
      <c r="AH857">
        <v>0</v>
      </c>
      <c r="AI857">
        <v>0</v>
      </c>
    </row>
    <row r="858" spans="1:35" x14ac:dyDescent="0.3">
      <c r="A858">
        <v>29</v>
      </c>
      <c r="B858" t="s">
        <v>40</v>
      </c>
      <c r="C858" t="s">
        <v>33</v>
      </c>
      <c r="D858">
        <v>1176</v>
      </c>
      <c r="E858" t="s">
        <v>34</v>
      </c>
      <c r="F858">
        <v>3</v>
      </c>
      <c r="G858">
        <v>2</v>
      </c>
      <c r="H858" t="s">
        <v>48</v>
      </c>
      <c r="I858">
        <v>1</v>
      </c>
      <c r="J858">
        <v>690</v>
      </c>
      <c r="K858">
        <v>2</v>
      </c>
      <c r="L858" s="17" t="s">
        <v>36</v>
      </c>
      <c r="M858">
        <v>62</v>
      </c>
      <c r="N858">
        <v>3</v>
      </c>
      <c r="O858">
        <v>2</v>
      </c>
      <c r="P858" t="s">
        <v>37</v>
      </c>
      <c r="Q858">
        <v>3</v>
      </c>
      <c r="R858" t="s">
        <v>45</v>
      </c>
      <c r="S858" s="6">
        <v>5561</v>
      </c>
      <c r="T858">
        <v>3487</v>
      </c>
      <c r="U858">
        <v>1</v>
      </c>
      <c r="V858" t="s">
        <v>39</v>
      </c>
      <c r="W858" t="s">
        <v>40</v>
      </c>
      <c r="X858">
        <v>14</v>
      </c>
      <c r="Y858">
        <v>3</v>
      </c>
      <c r="Z858">
        <v>1</v>
      </c>
      <c r="AA858">
        <v>80</v>
      </c>
      <c r="AB858">
        <v>1</v>
      </c>
      <c r="AC858">
        <v>6</v>
      </c>
      <c r="AD858">
        <v>5</v>
      </c>
      <c r="AE858">
        <v>2</v>
      </c>
      <c r="AF858">
        <v>6</v>
      </c>
      <c r="AG858">
        <v>0</v>
      </c>
      <c r="AH858">
        <v>1</v>
      </c>
      <c r="AI858">
        <v>2</v>
      </c>
    </row>
    <row r="859" spans="1:35" x14ac:dyDescent="0.3">
      <c r="A859">
        <v>35</v>
      </c>
      <c r="B859" t="s">
        <v>40</v>
      </c>
      <c r="C859" t="s">
        <v>33</v>
      </c>
      <c r="D859">
        <v>682</v>
      </c>
      <c r="E859" t="s">
        <v>34</v>
      </c>
      <c r="F859">
        <v>18</v>
      </c>
      <c r="G859">
        <v>4</v>
      </c>
      <c r="H859" t="s">
        <v>48</v>
      </c>
      <c r="I859">
        <v>1</v>
      </c>
      <c r="J859">
        <v>1945</v>
      </c>
      <c r="K859">
        <v>2</v>
      </c>
      <c r="L859" s="17" t="s">
        <v>43</v>
      </c>
      <c r="M859">
        <v>71</v>
      </c>
      <c r="N859">
        <v>3</v>
      </c>
      <c r="O859">
        <v>2</v>
      </c>
      <c r="P859" t="s">
        <v>37</v>
      </c>
      <c r="Q859">
        <v>1</v>
      </c>
      <c r="R859" t="s">
        <v>45</v>
      </c>
      <c r="S859" s="6">
        <v>5561</v>
      </c>
      <c r="T859">
        <v>15975</v>
      </c>
      <c r="U859">
        <v>0</v>
      </c>
      <c r="V859" t="s">
        <v>39</v>
      </c>
      <c r="W859" t="s">
        <v>40</v>
      </c>
      <c r="X859">
        <v>16</v>
      </c>
      <c r="Y859">
        <v>3</v>
      </c>
      <c r="Z859">
        <v>4</v>
      </c>
      <c r="AA859">
        <v>80</v>
      </c>
      <c r="AB859">
        <v>1</v>
      </c>
      <c r="AC859">
        <v>6</v>
      </c>
      <c r="AD859">
        <v>2</v>
      </c>
      <c r="AE859">
        <v>1</v>
      </c>
      <c r="AF859">
        <v>5</v>
      </c>
      <c r="AG859">
        <v>3</v>
      </c>
      <c r="AH859">
        <v>0</v>
      </c>
      <c r="AI859">
        <v>4</v>
      </c>
    </row>
    <row r="860" spans="1:35" x14ac:dyDescent="0.3">
      <c r="A860">
        <v>43</v>
      </c>
      <c r="B860" t="s">
        <v>40</v>
      </c>
      <c r="C860" t="s">
        <v>41</v>
      </c>
      <c r="D860">
        <v>422</v>
      </c>
      <c r="E860" t="s">
        <v>42</v>
      </c>
      <c r="F860">
        <v>1</v>
      </c>
      <c r="G860">
        <v>3</v>
      </c>
      <c r="H860" t="s">
        <v>35</v>
      </c>
      <c r="I860">
        <v>1</v>
      </c>
      <c r="J860">
        <v>902</v>
      </c>
      <c r="K860">
        <v>4</v>
      </c>
      <c r="L860" s="17" t="s">
        <v>36</v>
      </c>
      <c r="M860">
        <v>33</v>
      </c>
      <c r="N860">
        <v>3</v>
      </c>
      <c r="O860">
        <v>2</v>
      </c>
      <c r="P860" t="s">
        <v>51</v>
      </c>
      <c r="Q860">
        <v>4</v>
      </c>
      <c r="R860" t="s">
        <v>45</v>
      </c>
      <c r="S860" s="6">
        <v>5562</v>
      </c>
      <c r="T860">
        <v>21782</v>
      </c>
      <c r="U860">
        <v>4</v>
      </c>
      <c r="V860" t="s">
        <v>39</v>
      </c>
      <c r="W860" t="s">
        <v>40</v>
      </c>
      <c r="X860">
        <v>13</v>
      </c>
      <c r="Y860">
        <v>3</v>
      </c>
      <c r="Z860">
        <v>2</v>
      </c>
      <c r="AA860">
        <v>80</v>
      </c>
      <c r="AB860">
        <v>1</v>
      </c>
      <c r="AC860">
        <v>12</v>
      </c>
      <c r="AD860">
        <v>2</v>
      </c>
      <c r="AE860">
        <v>2</v>
      </c>
      <c r="AF860">
        <v>5</v>
      </c>
      <c r="AG860">
        <v>2</v>
      </c>
      <c r="AH860">
        <v>2</v>
      </c>
      <c r="AI860">
        <v>2</v>
      </c>
    </row>
    <row r="861" spans="1:35" x14ac:dyDescent="0.3">
      <c r="A861">
        <v>36</v>
      </c>
      <c r="B861" t="s">
        <v>40</v>
      </c>
      <c r="C861" t="s">
        <v>41</v>
      </c>
      <c r="D861">
        <v>1302</v>
      </c>
      <c r="E861" t="s">
        <v>42</v>
      </c>
      <c r="F861">
        <v>6</v>
      </c>
      <c r="G861">
        <v>4</v>
      </c>
      <c r="H861" t="s">
        <v>35</v>
      </c>
      <c r="I861">
        <v>1</v>
      </c>
      <c r="J861">
        <v>1594</v>
      </c>
      <c r="K861">
        <v>1</v>
      </c>
      <c r="L861" s="17" t="s">
        <v>43</v>
      </c>
      <c r="M861">
        <v>80</v>
      </c>
      <c r="N861">
        <v>4</v>
      </c>
      <c r="O861">
        <v>2</v>
      </c>
      <c r="P861" t="s">
        <v>47</v>
      </c>
      <c r="Q861">
        <v>1</v>
      </c>
      <c r="R861" t="s">
        <v>45</v>
      </c>
      <c r="S861" s="6">
        <v>5562</v>
      </c>
      <c r="T861">
        <v>19711</v>
      </c>
      <c r="U861">
        <v>3</v>
      </c>
      <c r="V861" t="s">
        <v>39</v>
      </c>
      <c r="W861" t="s">
        <v>32</v>
      </c>
      <c r="X861">
        <v>13</v>
      </c>
      <c r="Y861">
        <v>3</v>
      </c>
      <c r="Z861">
        <v>4</v>
      </c>
      <c r="AA861">
        <v>80</v>
      </c>
      <c r="AB861">
        <v>1</v>
      </c>
      <c r="AC861">
        <v>9</v>
      </c>
      <c r="AD861">
        <v>3</v>
      </c>
      <c r="AE861">
        <v>3</v>
      </c>
      <c r="AF861">
        <v>3</v>
      </c>
      <c r="AG861">
        <v>2</v>
      </c>
      <c r="AH861">
        <v>0</v>
      </c>
      <c r="AI861">
        <v>2</v>
      </c>
    </row>
    <row r="862" spans="1:35" x14ac:dyDescent="0.3">
      <c r="A862">
        <v>46</v>
      </c>
      <c r="B862" t="s">
        <v>40</v>
      </c>
      <c r="C862" t="s">
        <v>33</v>
      </c>
      <c r="D862">
        <v>717</v>
      </c>
      <c r="E862" t="s">
        <v>42</v>
      </c>
      <c r="F862">
        <v>13</v>
      </c>
      <c r="G862">
        <v>4</v>
      </c>
      <c r="H862" t="s">
        <v>35</v>
      </c>
      <c r="I862">
        <v>1</v>
      </c>
      <c r="J862">
        <v>1727</v>
      </c>
      <c r="K862">
        <v>3</v>
      </c>
      <c r="L862" s="17" t="s">
        <v>43</v>
      </c>
      <c r="M862">
        <v>34</v>
      </c>
      <c r="N862">
        <v>3</v>
      </c>
      <c r="O862">
        <v>2</v>
      </c>
      <c r="P862" t="s">
        <v>51</v>
      </c>
      <c r="Q862">
        <v>2</v>
      </c>
      <c r="R862" t="s">
        <v>38</v>
      </c>
      <c r="S862" s="6">
        <v>5562</v>
      </c>
      <c r="T862">
        <v>9697</v>
      </c>
      <c r="U862">
        <v>6</v>
      </c>
      <c r="V862" t="s">
        <v>39</v>
      </c>
      <c r="W862" t="s">
        <v>40</v>
      </c>
      <c r="X862">
        <v>14</v>
      </c>
      <c r="Y862">
        <v>3</v>
      </c>
      <c r="Z862">
        <v>4</v>
      </c>
      <c r="AA862">
        <v>80</v>
      </c>
      <c r="AB862">
        <v>0</v>
      </c>
      <c r="AC862">
        <v>19</v>
      </c>
      <c r="AD862">
        <v>3</v>
      </c>
      <c r="AE862">
        <v>3</v>
      </c>
      <c r="AF862">
        <v>10</v>
      </c>
      <c r="AG862">
        <v>7</v>
      </c>
      <c r="AH862">
        <v>0</v>
      </c>
      <c r="AI862">
        <v>9</v>
      </c>
    </row>
    <row r="863" spans="1:35" x14ac:dyDescent="0.3">
      <c r="A863">
        <v>52</v>
      </c>
      <c r="B863" t="s">
        <v>40</v>
      </c>
      <c r="C863" t="s">
        <v>33</v>
      </c>
      <c r="D863">
        <v>956</v>
      </c>
      <c r="E863" t="s">
        <v>42</v>
      </c>
      <c r="F863">
        <v>6</v>
      </c>
      <c r="G863">
        <v>2</v>
      </c>
      <c r="H863" t="s">
        <v>57</v>
      </c>
      <c r="I863">
        <v>1</v>
      </c>
      <c r="J863">
        <v>630</v>
      </c>
      <c r="K863">
        <v>4</v>
      </c>
      <c r="L863" s="17" t="s">
        <v>43</v>
      </c>
      <c r="M863">
        <v>78</v>
      </c>
      <c r="N863">
        <v>3</v>
      </c>
      <c r="O863">
        <v>2</v>
      </c>
      <c r="P863" t="s">
        <v>44</v>
      </c>
      <c r="Q863">
        <v>1</v>
      </c>
      <c r="R863" t="s">
        <v>49</v>
      </c>
      <c r="S863" s="6">
        <v>5577</v>
      </c>
      <c r="T863">
        <v>22087</v>
      </c>
      <c r="U863">
        <v>3</v>
      </c>
      <c r="V863" t="s">
        <v>39</v>
      </c>
      <c r="W863" t="s">
        <v>32</v>
      </c>
      <c r="X863">
        <v>12</v>
      </c>
      <c r="Y863">
        <v>3</v>
      </c>
      <c r="Z863">
        <v>2</v>
      </c>
      <c r="AA863">
        <v>80</v>
      </c>
      <c r="AB863">
        <v>2</v>
      </c>
      <c r="AC863">
        <v>18</v>
      </c>
      <c r="AD863">
        <v>3</v>
      </c>
      <c r="AE863">
        <v>3</v>
      </c>
      <c r="AF863">
        <v>10</v>
      </c>
      <c r="AG863">
        <v>9</v>
      </c>
      <c r="AH863">
        <v>6</v>
      </c>
      <c r="AI863">
        <v>9</v>
      </c>
    </row>
    <row r="864" spans="1:35" x14ac:dyDescent="0.3">
      <c r="A864">
        <v>31</v>
      </c>
      <c r="B864" t="s">
        <v>40</v>
      </c>
      <c r="C864" t="s">
        <v>33</v>
      </c>
      <c r="D864">
        <v>1463</v>
      </c>
      <c r="E864" t="s">
        <v>42</v>
      </c>
      <c r="F864">
        <v>23</v>
      </c>
      <c r="G864">
        <v>3</v>
      </c>
      <c r="H864" t="s">
        <v>48</v>
      </c>
      <c r="I864">
        <v>1</v>
      </c>
      <c r="J864">
        <v>367</v>
      </c>
      <c r="K864">
        <v>2</v>
      </c>
      <c r="L864" s="17" t="s">
        <v>43</v>
      </c>
      <c r="M864">
        <v>64</v>
      </c>
      <c r="N864">
        <v>2</v>
      </c>
      <c r="O864">
        <v>2</v>
      </c>
      <c r="P864" t="s">
        <v>51</v>
      </c>
      <c r="Q864">
        <v>4</v>
      </c>
      <c r="R864" t="s">
        <v>45</v>
      </c>
      <c r="S864" s="6">
        <v>5582</v>
      </c>
      <c r="T864">
        <v>14408</v>
      </c>
      <c r="U864">
        <v>0</v>
      </c>
      <c r="V864" t="s">
        <v>39</v>
      </c>
      <c r="W864" t="s">
        <v>40</v>
      </c>
      <c r="X864">
        <v>21</v>
      </c>
      <c r="Y864">
        <v>4</v>
      </c>
      <c r="Z864">
        <v>2</v>
      </c>
      <c r="AA864">
        <v>80</v>
      </c>
      <c r="AB864">
        <v>1</v>
      </c>
      <c r="AC864">
        <v>10</v>
      </c>
      <c r="AD864">
        <v>2</v>
      </c>
      <c r="AE864">
        <v>3</v>
      </c>
      <c r="AF864">
        <v>9</v>
      </c>
      <c r="AG864">
        <v>0</v>
      </c>
      <c r="AH864">
        <v>7</v>
      </c>
      <c r="AI864">
        <v>8</v>
      </c>
    </row>
    <row r="865" spans="1:35" x14ac:dyDescent="0.3">
      <c r="A865">
        <v>45</v>
      </c>
      <c r="B865" t="s">
        <v>40</v>
      </c>
      <c r="C865" t="s">
        <v>52</v>
      </c>
      <c r="D865">
        <v>1050</v>
      </c>
      <c r="E865" t="s">
        <v>34</v>
      </c>
      <c r="F865">
        <v>9</v>
      </c>
      <c r="G865">
        <v>4</v>
      </c>
      <c r="H865" t="s">
        <v>35</v>
      </c>
      <c r="I865">
        <v>1</v>
      </c>
      <c r="J865">
        <v>1117</v>
      </c>
      <c r="K865">
        <v>2</v>
      </c>
      <c r="L865" s="17" t="s">
        <v>36</v>
      </c>
      <c r="M865">
        <v>65</v>
      </c>
      <c r="N865">
        <v>2</v>
      </c>
      <c r="O865">
        <v>2</v>
      </c>
      <c r="P865" t="s">
        <v>37</v>
      </c>
      <c r="Q865">
        <v>3</v>
      </c>
      <c r="R865" t="s">
        <v>45</v>
      </c>
      <c r="S865" s="6">
        <v>5593</v>
      </c>
      <c r="T865">
        <v>17970</v>
      </c>
      <c r="U865">
        <v>1</v>
      </c>
      <c r="V865" t="s">
        <v>39</v>
      </c>
      <c r="W865" t="s">
        <v>40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15</v>
      </c>
      <c r="AD865">
        <v>2</v>
      </c>
      <c r="AE865">
        <v>3</v>
      </c>
      <c r="AF865">
        <v>15</v>
      </c>
      <c r="AG865">
        <v>10</v>
      </c>
      <c r="AH865">
        <v>4</v>
      </c>
      <c r="AI865">
        <v>12</v>
      </c>
    </row>
    <row r="866" spans="1:35" x14ac:dyDescent="0.3">
      <c r="A866">
        <v>40</v>
      </c>
      <c r="B866" t="s">
        <v>40</v>
      </c>
      <c r="C866" t="s">
        <v>41</v>
      </c>
      <c r="D866">
        <v>1395</v>
      </c>
      <c r="E866" t="s">
        <v>42</v>
      </c>
      <c r="F866">
        <v>26</v>
      </c>
      <c r="G866">
        <v>3</v>
      </c>
      <c r="H866" t="s">
        <v>48</v>
      </c>
      <c r="I866">
        <v>1</v>
      </c>
      <c r="J866">
        <v>202</v>
      </c>
      <c r="K866">
        <v>2</v>
      </c>
      <c r="L866" s="17" t="s">
        <v>36</v>
      </c>
      <c r="M866">
        <v>54</v>
      </c>
      <c r="N866">
        <v>3</v>
      </c>
      <c r="O866">
        <v>2</v>
      </c>
      <c r="P866" t="s">
        <v>44</v>
      </c>
      <c r="Q866">
        <v>2</v>
      </c>
      <c r="R866" t="s">
        <v>49</v>
      </c>
      <c r="S866" s="6">
        <v>5605</v>
      </c>
      <c r="T866">
        <v>8504</v>
      </c>
      <c r="U866">
        <v>1</v>
      </c>
      <c r="V866" t="s">
        <v>39</v>
      </c>
      <c r="W866" t="s">
        <v>40</v>
      </c>
      <c r="X866">
        <v>11</v>
      </c>
      <c r="Y866">
        <v>3</v>
      </c>
      <c r="Z866">
        <v>1</v>
      </c>
      <c r="AA866">
        <v>80</v>
      </c>
      <c r="AB866">
        <v>1</v>
      </c>
      <c r="AC866">
        <v>20</v>
      </c>
      <c r="AD866">
        <v>2</v>
      </c>
      <c r="AE866">
        <v>3</v>
      </c>
      <c r="AF866">
        <v>20</v>
      </c>
      <c r="AG866">
        <v>7</v>
      </c>
      <c r="AH866">
        <v>2</v>
      </c>
      <c r="AI866">
        <v>13</v>
      </c>
    </row>
    <row r="867" spans="1:35" x14ac:dyDescent="0.3">
      <c r="A867">
        <v>38</v>
      </c>
      <c r="B867" t="s">
        <v>40</v>
      </c>
      <c r="C867" t="s">
        <v>33</v>
      </c>
      <c r="D867">
        <v>322</v>
      </c>
      <c r="E867" t="s">
        <v>34</v>
      </c>
      <c r="F867">
        <v>7</v>
      </c>
      <c r="G867">
        <v>2</v>
      </c>
      <c r="H867" t="s">
        <v>48</v>
      </c>
      <c r="I867">
        <v>1</v>
      </c>
      <c r="J867">
        <v>382</v>
      </c>
      <c r="K867">
        <v>1</v>
      </c>
      <c r="L867" s="17" t="s">
        <v>36</v>
      </c>
      <c r="M867">
        <v>44</v>
      </c>
      <c r="N867">
        <v>4</v>
      </c>
      <c r="O867">
        <v>2</v>
      </c>
      <c r="P867" t="s">
        <v>37</v>
      </c>
      <c r="Q867">
        <v>1</v>
      </c>
      <c r="R867" t="s">
        <v>49</v>
      </c>
      <c r="S867" s="6">
        <v>5605</v>
      </c>
      <c r="T867">
        <v>19191</v>
      </c>
      <c r="U867">
        <v>1</v>
      </c>
      <c r="V867" t="s">
        <v>39</v>
      </c>
      <c r="W867" t="s">
        <v>32</v>
      </c>
      <c r="X867">
        <v>24</v>
      </c>
      <c r="Y867">
        <v>4</v>
      </c>
      <c r="Z867">
        <v>3</v>
      </c>
      <c r="AA867">
        <v>80</v>
      </c>
      <c r="AB867">
        <v>1</v>
      </c>
      <c r="AC867">
        <v>8</v>
      </c>
      <c r="AD867">
        <v>3</v>
      </c>
      <c r="AE867">
        <v>3</v>
      </c>
      <c r="AF867">
        <v>8</v>
      </c>
      <c r="AG867">
        <v>0</v>
      </c>
      <c r="AH867">
        <v>7</v>
      </c>
      <c r="AI867">
        <v>7</v>
      </c>
    </row>
    <row r="868" spans="1:35" x14ac:dyDescent="0.3">
      <c r="A868">
        <v>31</v>
      </c>
      <c r="B868" t="s">
        <v>32</v>
      </c>
      <c r="C868" t="s">
        <v>41</v>
      </c>
      <c r="D868">
        <v>754</v>
      </c>
      <c r="E868" t="s">
        <v>34</v>
      </c>
      <c r="F868">
        <v>26</v>
      </c>
      <c r="G868">
        <v>4</v>
      </c>
      <c r="H868" t="s">
        <v>56</v>
      </c>
      <c r="I868">
        <v>1</v>
      </c>
      <c r="J868">
        <v>1967</v>
      </c>
      <c r="K868">
        <v>1</v>
      </c>
      <c r="L868" s="17" t="s">
        <v>43</v>
      </c>
      <c r="M868">
        <v>63</v>
      </c>
      <c r="N868">
        <v>3</v>
      </c>
      <c r="O868">
        <v>2</v>
      </c>
      <c r="P868" t="s">
        <v>37</v>
      </c>
      <c r="Q868">
        <v>4</v>
      </c>
      <c r="R868" t="s">
        <v>45</v>
      </c>
      <c r="S868" s="6">
        <v>5617</v>
      </c>
      <c r="T868">
        <v>21075</v>
      </c>
      <c r="U868">
        <v>1</v>
      </c>
      <c r="V868" t="s">
        <v>39</v>
      </c>
      <c r="W868" t="s">
        <v>32</v>
      </c>
      <c r="X868">
        <v>11</v>
      </c>
      <c r="Y868">
        <v>3</v>
      </c>
      <c r="Z868">
        <v>3</v>
      </c>
      <c r="AA868">
        <v>80</v>
      </c>
      <c r="AB868">
        <v>0</v>
      </c>
      <c r="AC868">
        <v>10</v>
      </c>
      <c r="AD868">
        <v>4</v>
      </c>
      <c r="AE868">
        <v>3</v>
      </c>
      <c r="AF868">
        <v>10</v>
      </c>
      <c r="AG868">
        <v>7</v>
      </c>
      <c r="AH868">
        <v>0</v>
      </c>
      <c r="AI868">
        <v>8</v>
      </c>
    </row>
    <row r="869" spans="1:35" x14ac:dyDescent="0.3">
      <c r="A869">
        <v>36</v>
      </c>
      <c r="B869" t="s">
        <v>40</v>
      </c>
      <c r="C869" t="s">
        <v>33</v>
      </c>
      <c r="D869">
        <v>329</v>
      </c>
      <c r="E869" t="s">
        <v>34</v>
      </c>
      <c r="F869">
        <v>16</v>
      </c>
      <c r="G869">
        <v>4</v>
      </c>
      <c r="H869" t="s">
        <v>56</v>
      </c>
      <c r="I869">
        <v>1</v>
      </c>
      <c r="J869">
        <v>1436</v>
      </c>
      <c r="K869">
        <v>3</v>
      </c>
      <c r="L869" s="17" t="s">
        <v>36</v>
      </c>
      <c r="M869">
        <v>98</v>
      </c>
      <c r="N869">
        <v>2</v>
      </c>
      <c r="O869">
        <v>2</v>
      </c>
      <c r="P869" t="s">
        <v>37</v>
      </c>
      <c r="Q869">
        <v>1</v>
      </c>
      <c r="R869" t="s">
        <v>45</v>
      </c>
      <c r="S869" s="6">
        <v>5647</v>
      </c>
      <c r="T869">
        <v>13494</v>
      </c>
      <c r="U869">
        <v>4</v>
      </c>
      <c r="V869" t="s">
        <v>39</v>
      </c>
      <c r="W869" t="s">
        <v>40</v>
      </c>
      <c r="X869">
        <v>13</v>
      </c>
      <c r="Y869">
        <v>3</v>
      </c>
      <c r="Z869">
        <v>1</v>
      </c>
      <c r="AA869">
        <v>80</v>
      </c>
      <c r="AB869">
        <v>2</v>
      </c>
      <c r="AC869">
        <v>11</v>
      </c>
      <c r="AD869">
        <v>3</v>
      </c>
      <c r="AE869">
        <v>2</v>
      </c>
      <c r="AF869">
        <v>3</v>
      </c>
      <c r="AG869">
        <v>2</v>
      </c>
      <c r="AH869">
        <v>0</v>
      </c>
      <c r="AI869">
        <v>2</v>
      </c>
    </row>
    <row r="870" spans="1:35" x14ac:dyDescent="0.3">
      <c r="A870">
        <v>58</v>
      </c>
      <c r="B870" t="s">
        <v>40</v>
      </c>
      <c r="C870" t="s">
        <v>52</v>
      </c>
      <c r="D870">
        <v>390</v>
      </c>
      <c r="E870" t="s">
        <v>42</v>
      </c>
      <c r="F870">
        <v>1</v>
      </c>
      <c r="G870">
        <v>4</v>
      </c>
      <c r="H870" t="s">
        <v>35</v>
      </c>
      <c r="I870">
        <v>1</v>
      </c>
      <c r="J870">
        <v>422</v>
      </c>
      <c r="K870">
        <v>4</v>
      </c>
      <c r="L870" s="17" t="s">
        <v>43</v>
      </c>
      <c r="M870">
        <v>32</v>
      </c>
      <c r="N870">
        <v>1</v>
      </c>
      <c r="O870">
        <v>2</v>
      </c>
      <c r="P870" t="s">
        <v>51</v>
      </c>
      <c r="Q870">
        <v>3</v>
      </c>
      <c r="R870" t="s">
        <v>49</v>
      </c>
      <c r="S870" s="6">
        <v>5660</v>
      </c>
      <c r="T870">
        <v>17056</v>
      </c>
      <c r="U870">
        <v>2</v>
      </c>
      <c r="V870" t="s">
        <v>39</v>
      </c>
      <c r="W870" t="s">
        <v>32</v>
      </c>
      <c r="X870">
        <v>13</v>
      </c>
      <c r="Y870">
        <v>3</v>
      </c>
      <c r="Z870">
        <v>4</v>
      </c>
      <c r="AA870">
        <v>80</v>
      </c>
      <c r="AB870">
        <v>1</v>
      </c>
      <c r="AC870">
        <v>12</v>
      </c>
      <c r="AD870">
        <v>2</v>
      </c>
      <c r="AE870">
        <v>3</v>
      </c>
      <c r="AF870">
        <v>5</v>
      </c>
      <c r="AG870">
        <v>3</v>
      </c>
      <c r="AH870">
        <v>1</v>
      </c>
      <c r="AI870">
        <v>2</v>
      </c>
    </row>
    <row r="871" spans="1:35" x14ac:dyDescent="0.3">
      <c r="A871">
        <v>28</v>
      </c>
      <c r="B871" t="s">
        <v>40</v>
      </c>
      <c r="C871" t="s">
        <v>33</v>
      </c>
      <c r="D871">
        <v>1476</v>
      </c>
      <c r="E871" t="s">
        <v>42</v>
      </c>
      <c r="F871">
        <v>16</v>
      </c>
      <c r="G871">
        <v>2</v>
      </c>
      <c r="H871" t="s">
        <v>48</v>
      </c>
      <c r="I871">
        <v>1</v>
      </c>
      <c r="J871">
        <v>412</v>
      </c>
      <c r="K871">
        <v>2</v>
      </c>
      <c r="L871" s="17" t="s">
        <v>43</v>
      </c>
      <c r="M871">
        <v>68</v>
      </c>
      <c r="N871">
        <v>4</v>
      </c>
      <c r="O871">
        <v>2</v>
      </c>
      <c r="P871" t="s">
        <v>51</v>
      </c>
      <c r="Q871">
        <v>1</v>
      </c>
      <c r="R871" t="s">
        <v>38</v>
      </c>
      <c r="S871" s="6">
        <v>5661</v>
      </c>
      <c r="T871">
        <v>4824</v>
      </c>
      <c r="U871">
        <v>0</v>
      </c>
      <c r="V871" t="s">
        <v>39</v>
      </c>
      <c r="W871" t="s">
        <v>40</v>
      </c>
      <c r="X871">
        <v>19</v>
      </c>
      <c r="Y871">
        <v>3</v>
      </c>
      <c r="Z871">
        <v>3</v>
      </c>
      <c r="AA871">
        <v>80</v>
      </c>
      <c r="AB871">
        <v>0</v>
      </c>
      <c r="AC871">
        <v>9</v>
      </c>
      <c r="AD871">
        <v>2</v>
      </c>
      <c r="AE871">
        <v>3</v>
      </c>
      <c r="AF871">
        <v>8</v>
      </c>
      <c r="AG871">
        <v>3</v>
      </c>
      <c r="AH871">
        <v>0</v>
      </c>
      <c r="AI871">
        <v>7</v>
      </c>
    </row>
    <row r="872" spans="1:35" x14ac:dyDescent="0.3">
      <c r="A872">
        <v>38</v>
      </c>
      <c r="B872" t="s">
        <v>40</v>
      </c>
      <c r="C872" t="s">
        <v>52</v>
      </c>
      <c r="D872">
        <v>152</v>
      </c>
      <c r="E872" t="s">
        <v>34</v>
      </c>
      <c r="F872">
        <v>10</v>
      </c>
      <c r="G872">
        <v>3</v>
      </c>
      <c r="H872" t="s">
        <v>57</v>
      </c>
      <c r="I872">
        <v>1</v>
      </c>
      <c r="J872">
        <v>983</v>
      </c>
      <c r="K872">
        <v>3</v>
      </c>
      <c r="L872" s="17" t="s">
        <v>36</v>
      </c>
      <c r="M872">
        <v>85</v>
      </c>
      <c r="N872">
        <v>3</v>
      </c>
      <c r="O872">
        <v>2</v>
      </c>
      <c r="P872" t="s">
        <v>37</v>
      </c>
      <c r="Q872">
        <v>4</v>
      </c>
      <c r="R872" t="s">
        <v>38</v>
      </c>
      <c r="S872" s="6">
        <v>5666</v>
      </c>
      <c r="T872">
        <v>19899</v>
      </c>
      <c r="U872">
        <v>1</v>
      </c>
      <c r="V872" t="s">
        <v>39</v>
      </c>
      <c r="W872" t="s">
        <v>32</v>
      </c>
      <c r="X872">
        <v>13</v>
      </c>
      <c r="Y872">
        <v>3</v>
      </c>
      <c r="Z872">
        <v>2</v>
      </c>
      <c r="AA872">
        <v>80</v>
      </c>
      <c r="AB872">
        <v>0</v>
      </c>
      <c r="AC872">
        <v>6</v>
      </c>
      <c r="AD872">
        <v>1</v>
      </c>
      <c r="AE872">
        <v>3</v>
      </c>
      <c r="AF872">
        <v>5</v>
      </c>
      <c r="AG872">
        <v>3</v>
      </c>
      <c r="AH872">
        <v>1</v>
      </c>
      <c r="AI872">
        <v>3</v>
      </c>
    </row>
    <row r="873" spans="1:35" x14ac:dyDescent="0.3">
      <c r="A873">
        <v>36</v>
      </c>
      <c r="B873" t="s">
        <v>40</v>
      </c>
      <c r="C873" t="s">
        <v>33</v>
      </c>
      <c r="D873">
        <v>1266</v>
      </c>
      <c r="E873" t="s">
        <v>34</v>
      </c>
      <c r="F873">
        <v>10</v>
      </c>
      <c r="G873">
        <v>4</v>
      </c>
      <c r="H873" t="s">
        <v>57</v>
      </c>
      <c r="I873">
        <v>1</v>
      </c>
      <c r="J873">
        <v>1880</v>
      </c>
      <c r="K873">
        <v>2</v>
      </c>
      <c r="L873" s="17" t="s">
        <v>36</v>
      </c>
      <c r="M873">
        <v>63</v>
      </c>
      <c r="N873">
        <v>2</v>
      </c>
      <c r="O873">
        <v>2</v>
      </c>
      <c r="P873" t="s">
        <v>37</v>
      </c>
      <c r="Q873">
        <v>3</v>
      </c>
      <c r="R873" t="s">
        <v>45</v>
      </c>
      <c r="S873" s="6">
        <v>5673</v>
      </c>
      <c r="T873">
        <v>6060</v>
      </c>
      <c r="U873">
        <v>1</v>
      </c>
      <c r="V873" t="s">
        <v>39</v>
      </c>
      <c r="W873" t="s">
        <v>32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10</v>
      </c>
      <c r="AD873">
        <v>4</v>
      </c>
      <c r="AE873">
        <v>3</v>
      </c>
      <c r="AF873">
        <v>10</v>
      </c>
      <c r="AG873">
        <v>9</v>
      </c>
      <c r="AH873">
        <v>1</v>
      </c>
      <c r="AI873">
        <v>7</v>
      </c>
    </row>
    <row r="874" spans="1:35" x14ac:dyDescent="0.3">
      <c r="A874">
        <v>36</v>
      </c>
      <c r="B874" t="s">
        <v>40</v>
      </c>
      <c r="C874" t="s">
        <v>52</v>
      </c>
      <c r="D874">
        <v>1105</v>
      </c>
      <c r="E874" t="s">
        <v>42</v>
      </c>
      <c r="F874">
        <v>24</v>
      </c>
      <c r="G874">
        <v>4</v>
      </c>
      <c r="H874" t="s">
        <v>35</v>
      </c>
      <c r="I874">
        <v>1</v>
      </c>
      <c r="J874">
        <v>419</v>
      </c>
      <c r="K874">
        <v>2</v>
      </c>
      <c r="L874" s="17" t="s">
        <v>36</v>
      </c>
      <c r="M874">
        <v>47</v>
      </c>
      <c r="N874">
        <v>3</v>
      </c>
      <c r="O874">
        <v>2</v>
      </c>
      <c r="P874" t="s">
        <v>47</v>
      </c>
      <c r="Q874">
        <v>2</v>
      </c>
      <c r="R874" t="s">
        <v>45</v>
      </c>
      <c r="S874" s="6">
        <v>5674</v>
      </c>
      <c r="T874">
        <v>6927</v>
      </c>
      <c r="U874">
        <v>7</v>
      </c>
      <c r="V874" t="s">
        <v>39</v>
      </c>
      <c r="W874" t="s">
        <v>40</v>
      </c>
      <c r="X874">
        <v>15</v>
      </c>
      <c r="Y874">
        <v>3</v>
      </c>
      <c r="Z874">
        <v>3</v>
      </c>
      <c r="AA874">
        <v>80</v>
      </c>
      <c r="AB874">
        <v>1</v>
      </c>
      <c r="AC874">
        <v>11</v>
      </c>
      <c r="AD874">
        <v>3</v>
      </c>
      <c r="AE874">
        <v>3</v>
      </c>
      <c r="AF874">
        <v>9</v>
      </c>
      <c r="AG874">
        <v>8</v>
      </c>
      <c r="AH874">
        <v>0</v>
      </c>
      <c r="AI874">
        <v>8</v>
      </c>
    </row>
    <row r="875" spans="1:35" x14ac:dyDescent="0.3">
      <c r="A875">
        <v>43</v>
      </c>
      <c r="B875" t="s">
        <v>40</v>
      </c>
      <c r="C875" t="s">
        <v>41</v>
      </c>
      <c r="D875">
        <v>1422</v>
      </c>
      <c r="E875" t="s">
        <v>34</v>
      </c>
      <c r="F875">
        <v>2</v>
      </c>
      <c r="G875">
        <v>4</v>
      </c>
      <c r="H875" t="s">
        <v>35</v>
      </c>
      <c r="I875">
        <v>1</v>
      </c>
      <c r="J875">
        <v>1849</v>
      </c>
      <c r="K875">
        <v>1</v>
      </c>
      <c r="L875" s="17" t="s">
        <v>43</v>
      </c>
      <c r="M875">
        <v>92</v>
      </c>
      <c r="N875">
        <v>3</v>
      </c>
      <c r="O875">
        <v>2</v>
      </c>
      <c r="P875" t="s">
        <v>37</v>
      </c>
      <c r="Q875">
        <v>4</v>
      </c>
      <c r="R875" t="s">
        <v>45</v>
      </c>
      <c r="S875" s="6">
        <v>5675</v>
      </c>
      <c r="T875">
        <v>19246</v>
      </c>
      <c r="U875">
        <v>1</v>
      </c>
      <c r="V875" t="s">
        <v>39</v>
      </c>
      <c r="W875" t="s">
        <v>40</v>
      </c>
      <c r="X875">
        <v>20</v>
      </c>
      <c r="Y875">
        <v>4</v>
      </c>
      <c r="Z875">
        <v>3</v>
      </c>
      <c r="AA875">
        <v>80</v>
      </c>
      <c r="AB875">
        <v>1</v>
      </c>
      <c r="AC875">
        <v>7</v>
      </c>
      <c r="AD875">
        <v>5</v>
      </c>
      <c r="AE875">
        <v>3</v>
      </c>
      <c r="AF875">
        <v>7</v>
      </c>
      <c r="AG875">
        <v>7</v>
      </c>
      <c r="AH875">
        <v>7</v>
      </c>
      <c r="AI875">
        <v>7</v>
      </c>
    </row>
    <row r="876" spans="1:35" x14ac:dyDescent="0.3">
      <c r="A876">
        <v>40</v>
      </c>
      <c r="B876" t="s">
        <v>40</v>
      </c>
      <c r="C876" t="s">
        <v>33</v>
      </c>
      <c r="D876">
        <v>444</v>
      </c>
      <c r="E876" t="s">
        <v>34</v>
      </c>
      <c r="F876">
        <v>2</v>
      </c>
      <c r="G876">
        <v>2</v>
      </c>
      <c r="H876" t="s">
        <v>56</v>
      </c>
      <c r="I876">
        <v>1</v>
      </c>
      <c r="J876">
        <v>1986</v>
      </c>
      <c r="K876">
        <v>2</v>
      </c>
      <c r="L876" s="17" t="s">
        <v>36</v>
      </c>
      <c r="M876">
        <v>92</v>
      </c>
      <c r="N876">
        <v>3</v>
      </c>
      <c r="O876">
        <v>2</v>
      </c>
      <c r="P876" t="s">
        <v>37</v>
      </c>
      <c r="Q876">
        <v>2</v>
      </c>
      <c r="R876" t="s">
        <v>45</v>
      </c>
      <c r="S876" s="6">
        <v>5677</v>
      </c>
      <c r="T876">
        <v>4258</v>
      </c>
      <c r="U876">
        <v>3</v>
      </c>
      <c r="V876" t="s">
        <v>39</v>
      </c>
      <c r="W876" t="s">
        <v>40</v>
      </c>
      <c r="X876">
        <v>14</v>
      </c>
      <c r="Y876">
        <v>3</v>
      </c>
      <c r="Z876">
        <v>3</v>
      </c>
      <c r="AA876">
        <v>80</v>
      </c>
      <c r="AB876">
        <v>1</v>
      </c>
      <c r="AC876">
        <v>15</v>
      </c>
      <c r="AD876">
        <v>4</v>
      </c>
      <c r="AE876">
        <v>3</v>
      </c>
      <c r="AF876">
        <v>11</v>
      </c>
      <c r="AG876">
        <v>8</v>
      </c>
      <c r="AH876">
        <v>5</v>
      </c>
      <c r="AI876">
        <v>10</v>
      </c>
    </row>
    <row r="877" spans="1:35" x14ac:dyDescent="0.3">
      <c r="A877">
        <v>43</v>
      </c>
      <c r="B877" t="s">
        <v>40</v>
      </c>
      <c r="C877" t="s">
        <v>41</v>
      </c>
      <c r="D877">
        <v>1001</v>
      </c>
      <c r="E877" t="s">
        <v>42</v>
      </c>
      <c r="F877">
        <v>9</v>
      </c>
      <c r="G877">
        <v>5</v>
      </c>
      <c r="H877" t="s">
        <v>48</v>
      </c>
      <c r="I877">
        <v>1</v>
      </c>
      <c r="J877">
        <v>663</v>
      </c>
      <c r="K877">
        <v>4</v>
      </c>
      <c r="L877" s="17" t="s">
        <v>43</v>
      </c>
      <c r="M877">
        <v>72</v>
      </c>
      <c r="N877">
        <v>3</v>
      </c>
      <c r="O877">
        <v>2</v>
      </c>
      <c r="P877" t="s">
        <v>47</v>
      </c>
      <c r="Q877">
        <v>3</v>
      </c>
      <c r="R877" t="s">
        <v>49</v>
      </c>
      <c r="S877" s="6">
        <v>5679</v>
      </c>
      <c r="T877">
        <v>19627</v>
      </c>
      <c r="U877">
        <v>3</v>
      </c>
      <c r="V877" t="s">
        <v>39</v>
      </c>
      <c r="W877" t="s">
        <v>32</v>
      </c>
      <c r="X877">
        <v>13</v>
      </c>
      <c r="Y877">
        <v>3</v>
      </c>
      <c r="Z877">
        <v>2</v>
      </c>
      <c r="AA877">
        <v>80</v>
      </c>
      <c r="AB877">
        <v>1</v>
      </c>
      <c r="AC877">
        <v>10</v>
      </c>
      <c r="AD877">
        <v>3</v>
      </c>
      <c r="AE877">
        <v>3</v>
      </c>
      <c r="AF877">
        <v>8</v>
      </c>
      <c r="AG877">
        <v>7</v>
      </c>
      <c r="AH877">
        <v>4</v>
      </c>
      <c r="AI877">
        <v>7</v>
      </c>
    </row>
    <row r="878" spans="1:35" x14ac:dyDescent="0.3">
      <c r="A878">
        <v>35</v>
      </c>
      <c r="B878" t="s">
        <v>40</v>
      </c>
      <c r="C878" t="s">
        <v>41</v>
      </c>
      <c r="D878">
        <v>1199</v>
      </c>
      <c r="E878" t="s">
        <v>42</v>
      </c>
      <c r="F878">
        <v>18</v>
      </c>
      <c r="G878">
        <v>4</v>
      </c>
      <c r="H878" t="s">
        <v>35</v>
      </c>
      <c r="I878">
        <v>1</v>
      </c>
      <c r="J878">
        <v>2049</v>
      </c>
      <c r="K878">
        <v>3</v>
      </c>
      <c r="L878" s="17" t="s">
        <v>43</v>
      </c>
      <c r="M878">
        <v>80</v>
      </c>
      <c r="N878">
        <v>3</v>
      </c>
      <c r="O878">
        <v>2</v>
      </c>
      <c r="P878" t="s">
        <v>51</v>
      </c>
      <c r="Q878">
        <v>3</v>
      </c>
      <c r="R878" t="s">
        <v>45</v>
      </c>
      <c r="S878" s="6">
        <v>5689</v>
      </c>
      <c r="T878">
        <v>24594</v>
      </c>
      <c r="U878">
        <v>1</v>
      </c>
      <c r="V878" t="s">
        <v>39</v>
      </c>
      <c r="W878" t="s">
        <v>32</v>
      </c>
      <c r="X878">
        <v>14</v>
      </c>
      <c r="Y878">
        <v>3</v>
      </c>
      <c r="Z878">
        <v>4</v>
      </c>
      <c r="AA878">
        <v>80</v>
      </c>
      <c r="AB878">
        <v>2</v>
      </c>
      <c r="AC878">
        <v>10</v>
      </c>
      <c r="AD878">
        <v>2</v>
      </c>
      <c r="AE878">
        <v>4</v>
      </c>
      <c r="AF878">
        <v>10</v>
      </c>
      <c r="AG878">
        <v>2</v>
      </c>
      <c r="AH878">
        <v>0</v>
      </c>
      <c r="AI878">
        <v>2</v>
      </c>
    </row>
    <row r="879" spans="1:35" x14ac:dyDescent="0.3">
      <c r="A879">
        <v>34</v>
      </c>
      <c r="B879" t="s">
        <v>40</v>
      </c>
      <c r="C879" t="s">
        <v>33</v>
      </c>
      <c r="D879">
        <v>1400</v>
      </c>
      <c r="E879" t="s">
        <v>34</v>
      </c>
      <c r="F879">
        <v>9</v>
      </c>
      <c r="G879">
        <v>1</v>
      </c>
      <c r="H879" t="s">
        <v>35</v>
      </c>
      <c r="I879">
        <v>1</v>
      </c>
      <c r="J879">
        <v>1163</v>
      </c>
      <c r="K879">
        <v>2</v>
      </c>
      <c r="L879" s="17" t="s">
        <v>36</v>
      </c>
      <c r="M879">
        <v>70</v>
      </c>
      <c r="N879">
        <v>3</v>
      </c>
      <c r="O879">
        <v>2</v>
      </c>
      <c r="P879" t="s">
        <v>37</v>
      </c>
      <c r="Q879">
        <v>3</v>
      </c>
      <c r="R879" t="s">
        <v>45</v>
      </c>
      <c r="S879" s="6">
        <v>5714</v>
      </c>
      <c r="T879">
        <v>5829</v>
      </c>
      <c r="U879">
        <v>1</v>
      </c>
      <c r="V879" t="s">
        <v>39</v>
      </c>
      <c r="W879" t="s">
        <v>40</v>
      </c>
      <c r="X879">
        <v>20</v>
      </c>
      <c r="Y879">
        <v>4</v>
      </c>
      <c r="Z879">
        <v>1</v>
      </c>
      <c r="AA879">
        <v>80</v>
      </c>
      <c r="AB879">
        <v>0</v>
      </c>
      <c r="AC879">
        <v>6</v>
      </c>
      <c r="AD879">
        <v>3</v>
      </c>
      <c r="AE879">
        <v>2</v>
      </c>
      <c r="AF879">
        <v>6</v>
      </c>
      <c r="AG879">
        <v>5</v>
      </c>
      <c r="AH879">
        <v>1</v>
      </c>
      <c r="AI879">
        <v>3</v>
      </c>
    </row>
    <row r="880" spans="1:35" x14ac:dyDescent="0.3">
      <c r="A880">
        <v>40</v>
      </c>
      <c r="B880" t="s">
        <v>40</v>
      </c>
      <c r="C880" t="s">
        <v>33</v>
      </c>
      <c r="D880">
        <v>759</v>
      </c>
      <c r="E880" t="s">
        <v>34</v>
      </c>
      <c r="F880">
        <v>2</v>
      </c>
      <c r="G880">
        <v>2</v>
      </c>
      <c r="H880" t="s">
        <v>56</v>
      </c>
      <c r="I880">
        <v>1</v>
      </c>
      <c r="J880">
        <v>516</v>
      </c>
      <c r="K880">
        <v>4</v>
      </c>
      <c r="L880" s="17" t="s">
        <v>36</v>
      </c>
      <c r="M880">
        <v>46</v>
      </c>
      <c r="N880">
        <v>3</v>
      </c>
      <c r="O880">
        <v>2</v>
      </c>
      <c r="P880" t="s">
        <v>37</v>
      </c>
      <c r="Q880">
        <v>2</v>
      </c>
      <c r="R880" t="s">
        <v>49</v>
      </c>
      <c r="S880" s="6">
        <v>5715</v>
      </c>
      <c r="T880">
        <v>22553</v>
      </c>
      <c r="U880">
        <v>7</v>
      </c>
      <c r="V880" t="s">
        <v>39</v>
      </c>
      <c r="W880" t="s">
        <v>40</v>
      </c>
      <c r="X880">
        <v>12</v>
      </c>
      <c r="Y880">
        <v>3</v>
      </c>
      <c r="Z880">
        <v>3</v>
      </c>
      <c r="AA880">
        <v>80</v>
      </c>
      <c r="AB880">
        <v>2</v>
      </c>
      <c r="AC880">
        <v>8</v>
      </c>
      <c r="AD880">
        <v>5</v>
      </c>
      <c r="AE880">
        <v>3</v>
      </c>
      <c r="AF880">
        <v>5</v>
      </c>
      <c r="AG880">
        <v>4</v>
      </c>
      <c r="AH880">
        <v>1</v>
      </c>
      <c r="AI880">
        <v>3</v>
      </c>
    </row>
    <row r="881" spans="1:35" x14ac:dyDescent="0.3">
      <c r="A881">
        <v>37</v>
      </c>
      <c r="B881" t="s">
        <v>40</v>
      </c>
      <c r="C881" t="s">
        <v>33</v>
      </c>
      <c r="D881">
        <v>367</v>
      </c>
      <c r="E881" t="s">
        <v>42</v>
      </c>
      <c r="F881">
        <v>25</v>
      </c>
      <c r="G881">
        <v>2</v>
      </c>
      <c r="H881" t="s">
        <v>48</v>
      </c>
      <c r="I881">
        <v>1</v>
      </c>
      <c r="J881">
        <v>1161</v>
      </c>
      <c r="K881">
        <v>3</v>
      </c>
      <c r="L881" s="17" t="s">
        <v>36</v>
      </c>
      <c r="M881">
        <v>52</v>
      </c>
      <c r="N881">
        <v>2</v>
      </c>
      <c r="O881">
        <v>2</v>
      </c>
      <c r="P881" t="s">
        <v>51</v>
      </c>
      <c r="Q881">
        <v>4</v>
      </c>
      <c r="R881" t="s">
        <v>49</v>
      </c>
      <c r="S881" s="6">
        <v>5731</v>
      </c>
      <c r="T881">
        <v>17171</v>
      </c>
      <c r="U881">
        <v>7</v>
      </c>
      <c r="V881" t="s">
        <v>39</v>
      </c>
      <c r="W881" t="s">
        <v>40</v>
      </c>
      <c r="X881">
        <v>13</v>
      </c>
      <c r="Y881">
        <v>3</v>
      </c>
      <c r="Z881">
        <v>3</v>
      </c>
      <c r="AA881">
        <v>80</v>
      </c>
      <c r="AB881">
        <v>2</v>
      </c>
      <c r="AC881">
        <v>9</v>
      </c>
      <c r="AD881">
        <v>2</v>
      </c>
      <c r="AE881">
        <v>3</v>
      </c>
      <c r="AF881">
        <v>6</v>
      </c>
      <c r="AG881">
        <v>2</v>
      </c>
      <c r="AH881">
        <v>1</v>
      </c>
      <c r="AI881">
        <v>3</v>
      </c>
    </row>
    <row r="882" spans="1:35" x14ac:dyDescent="0.3">
      <c r="A882">
        <v>39</v>
      </c>
      <c r="B882" t="s">
        <v>40</v>
      </c>
      <c r="C882" t="s">
        <v>52</v>
      </c>
      <c r="D882">
        <v>1251</v>
      </c>
      <c r="E882" t="s">
        <v>34</v>
      </c>
      <c r="F882">
        <v>21</v>
      </c>
      <c r="G882">
        <v>4</v>
      </c>
      <c r="H882" t="s">
        <v>35</v>
      </c>
      <c r="I882">
        <v>1</v>
      </c>
      <c r="J882">
        <v>1929</v>
      </c>
      <c r="K882">
        <v>1</v>
      </c>
      <c r="L882" s="17" t="s">
        <v>36</v>
      </c>
      <c r="M882">
        <v>32</v>
      </c>
      <c r="N882">
        <v>1</v>
      </c>
      <c r="O882">
        <v>2</v>
      </c>
      <c r="P882" t="s">
        <v>37</v>
      </c>
      <c r="Q882">
        <v>3</v>
      </c>
      <c r="R882" t="s">
        <v>45</v>
      </c>
      <c r="S882" s="6">
        <v>5736</v>
      </c>
      <c r="T882">
        <v>3987</v>
      </c>
      <c r="U882">
        <v>6</v>
      </c>
      <c r="V882" t="s">
        <v>39</v>
      </c>
      <c r="W882" t="s">
        <v>40</v>
      </c>
      <c r="X882">
        <v>19</v>
      </c>
      <c r="Y882">
        <v>3</v>
      </c>
      <c r="Z882">
        <v>3</v>
      </c>
      <c r="AA882">
        <v>80</v>
      </c>
      <c r="AB882">
        <v>1</v>
      </c>
      <c r="AC882">
        <v>10</v>
      </c>
      <c r="AD882">
        <v>1</v>
      </c>
      <c r="AE882">
        <v>3</v>
      </c>
      <c r="AF882">
        <v>3</v>
      </c>
      <c r="AG882">
        <v>2</v>
      </c>
      <c r="AH882">
        <v>1</v>
      </c>
      <c r="AI882">
        <v>2</v>
      </c>
    </row>
    <row r="883" spans="1:35" x14ac:dyDescent="0.3">
      <c r="A883">
        <v>44</v>
      </c>
      <c r="B883" t="s">
        <v>40</v>
      </c>
      <c r="C883" t="s">
        <v>41</v>
      </c>
      <c r="D883">
        <v>602</v>
      </c>
      <c r="E883" t="s">
        <v>58</v>
      </c>
      <c r="F883">
        <v>1</v>
      </c>
      <c r="G883">
        <v>5</v>
      </c>
      <c r="H883" t="s">
        <v>58</v>
      </c>
      <c r="I883">
        <v>1</v>
      </c>
      <c r="J883">
        <v>1642</v>
      </c>
      <c r="K883">
        <v>1</v>
      </c>
      <c r="L883" s="17" t="s">
        <v>43</v>
      </c>
      <c r="M883">
        <v>37</v>
      </c>
      <c r="N883">
        <v>3</v>
      </c>
      <c r="O883">
        <v>2</v>
      </c>
      <c r="P883" t="s">
        <v>58</v>
      </c>
      <c r="Q883">
        <v>4</v>
      </c>
      <c r="R883" t="s">
        <v>45</v>
      </c>
      <c r="S883" s="6">
        <v>5743</v>
      </c>
      <c r="T883">
        <v>10503</v>
      </c>
      <c r="U883">
        <v>4</v>
      </c>
      <c r="V883" t="s">
        <v>39</v>
      </c>
      <c r="W883" t="s">
        <v>32</v>
      </c>
      <c r="X883">
        <v>11</v>
      </c>
      <c r="Y883">
        <v>3</v>
      </c>
      <c r="Z883">
        <v>3</v>
      </c>
      <c r="AA883">
        <v>80</v>
      </c>
      <c r="AB883">
        <v>0</v>
      </c>
      <c r="AC883">
        <v>14</v>
      </c>
      <c r="AD883">
        <v>3</v>
      </c>
      <c r="AE883">
        <v>3</v>
      </c>
      <c r="AF883">
        <v>10</v>
      </c>
      <c r="AG883">
        <v>7</v>
      </c>
      <c r="AH883">
        <v>0</v>
      </c>
      <c r="AI883">
        <v>2</v>
      </c>
    </row>
    <row r="884" spans="1:35" x14ac:dyDescent="0.3">
      <c r="A884">
        <v>25</v>
      </c>
      <c r="B884" t="s">
        <v>32</v>
      </c>
      <c r="C884" t="s">
        <v>33</v>
      </c>
      <c r="D884">
        <v>240</v>
      </c>
      <c r="E884" t="s">
        <v>34</v>
      </c>
      <c r="F884">
        <v>5</v>
      </c>
      <c r="G884">
        <v>3</v>
      </c>
      <c r="H884" t="s">
        <v>56</v>
      </c>
      <c r="I884">
        <v>1</v>
      </c>
      <c r="J884">
        <v>142</v>
      </c>
      <c r="K884">
        <v>3</v>
      </c>
      <c r="L884" s="17" t="s">
        <v>43</v>
      </c>
      <c r="M884">
        <v>46</v>
      </c>
      <c r="N884">
        <v>2</v>
      </c>
      <c r="O884">
        <v>2</v>
      </c>
      <c r="P884" t="s">
        <v>37</v>
      </c>
      <c r="Q884">
        <v>3</v>
      </c>
      <c r="R884" t="s">
        <v>38</v>
      </c>
      <c r="S884" s="6">
        <v>5744</v>
      </c>
      <c r="T884">
        <v>26959</v>
      </c>
      <c r="U884">
        <v>1</v>
      </c>
      <c r="V884" t="s">
        <v>39</v>
      </c>
      <c r="W884" t="s">
        <v>32</v>
      </c>
      <c r="X884">
        <v>11</v>
      </c>
      <c r="Y884">
        <v>3</v>
      </c>
      <c r="Z884">
        <v>4</v>
      </c>
      <c r="AA884">
        <v>80</v>
      </c>
      <c r="AB884">
        <v>0</v>
      </c>
      <c r="AC884">
        <v>6</v>
      </c>
      <c r="AD884">
        <v>1</v>
      </c>
      <c r="AE884">
        <v>3</v>
      </c>
      <c r="AF884">
        <v>6</v>
      </c>
      <c r="AG884">
        <v>4</v>
      </c>
      <c r="AH884">
        <v>0</v>
      </c>
      <c r="AI884">
        <v>3</v>
      </c>
    </row>
    <row r="885" spans="1:35" x14ac:dyDescent="0.3">
      <c r="A885">
        <v>38</v>
      </c>
      <c r="B885" t="s">
        <v>40</v>
      </c>
      <c r="C885" t="s">
        <v>33</v>
      </c>
      <c r="D885">
        <v>688</v>
      </c>
      <c r="E885" t="s">
        <v>42</v>
      </c>
      <c r="F885">
        <v>23</v>
      </c>
      <c r="G885">
        <v>4</v>
      </c>
      <c r="H885" t="s">
        <v>35</v>
      </c>
      <c r="I885">
        <v>1</v>
      </c>
      <c r="J885">
        <v>393</v>
      </c>
      <c r="K885">
        <v>4</v>
      </c>
      <c r="L885" s="17" t="s">
        <v>43</v>
      </c>
      <c r="M885">
        <v>82</v>
      </c>
      <c r="N885">
        <v>3</v>
      </c>
      <c r="O885">
        <v>2</v>
      </c>
      <c r="P885" t="s">
        <v>51</v>
      </c>
      <c r="Q885">
        <v>4</v>
      </c>
      <c r="R885" t="s">
        <v>49</v>
      </c>
      <c r="S885" s="6">
        <v>5745</v>
      </c>
      <c r="T885">
        <v>18899</v>
      </c>
      <c r="U885">
        <v>9</v>
      </c>
      <c r="V885" t="s">
        <v>39</v>
      </c>
      <c r="W885" t="s">
        <v>40</v>
      </c>
      <c r="X885">
        <v>14</v>
      </c>
      <c r="Y885">
        <v>3</v>
      </c>
      <c r="Z885">
        <v>2</v>
      </c>
      <c r="AA885">
        <v>80</v>
      </c>
      <c r="AB885">
        <v>1</v>
      </c>
      <c r="AC885">
        <v>10</v>
      </c>
      <c r="AD885">
        <v>2</v>
      </c>
      <c r="AE885">
        <v>3</v>
      </c>
      <c r="AF885">
        <v>2</v>
      </c>
      <c r="AG885">
        <v>2</v>
      </c>
      <c r="AH885">
        <v>1</v>
      </c>
      <c r="AI885">
        <v>2</v>
      </c>
    </row>
    <row r="886" spans="1:35" x14ac:dyDescent="0.3">
      <c r="A886">
        <v>34</v>
      </c>
      <c r="B886" t="s">
        <v>40</v>
      </c>
      <c r="C886" t="s">
        <v>41</v>
      </c>
      <c r="D886">
        <v>735</v>
      </c>
      <c r="E886" t="s">
        <v>42</v>
      </c>
      <c r="F886">
        <v>22</v>
      </c>
      <c r="G886">
        <v>4</v>
      </c>
      <c r="H886" t="s">
        <v>46</v>
      </c>
      <c r="I886">
        <v>1</v>
      </c>
      <c r="J886">
        <v>1932</v>
      </c>
      <c r="K886">
        <v>3</v>
      </c>
      <c r="L886" s="17" t="s">
        <v>43</v>
      </c>
      <c r="M886">
        <v>86</v>
      </c>
      <c r="N886">
        <v>2</v>
      </c>
      <c r="O886">
        <v>2</v>
      </c>
      <c r="P886" t="s">
        <v>44</v>
      </c>
      <c r="Q886">
        <v>4</v>
      </c>
      <c r="R886" t="s">
        <v>45</v>
      </c>
      <c r="S886" s="6">
        <v>5747</v>
      </c>
      <c r="T886">
        <v>26496</v>
      </c>
      <c r="U886">
        <v>1</v>
      </c>
      <c r="V886" t="s">
        <v>39</v>
      </c>
      <c r="W886" t="s">
        <v>32</v>
      </c>
      <c r="X886">
        <v>15</v>
      </c>
      <c r="Y886">
        <v>3</v>
      </c>
      <c r="Z886">
        <v>2</v>
      </c>
      <c r="AA886">
        <v>80</v>
      </c>
      <c r="AB886">
        <v>0</v>
      </c>
      <c r="AC886">
        <v>16</v>
      </c>
      <c r="AD886">
        <v>3</v>
      </c>
      <c r="AE886">
        <v>3</v>
      </c>
      <c r="AF886">
        <v>15</v>
      </c>
      <c r="AG886">
        <v>10</v>
      </c>
      <c r="AH886">
        <v>6</v>
      </c>
      <c r="AI886">
        <v>11</v>
      </c>
    </row>
    <row r="887" spans="1:35" x14ac:dyDescent="0.3">
      <c r="A887">
        <v>35</v>
      </c>
      <c r="B887" t="s">
        <v>40</v>
      </c>
      <c r="C887" t="s">
        <v>52</v>
      </c>
      <c r="D887">
        <v>1180</v>
      </c>
      <c r="E887" t="s">
        <v>42</v>
      </c>
      <c r="F887">
        <v>2</v>
      </c>
      <c r="G887">
        <v>2</v>
      </c>
      <c r="H887" t="s">
        <v>48</v>
      </c>
      <c r="I887">
        <v>1</v>
      </c>
      <c r="J887">
        <v>1804</v>
      </c>
      <c r="K887">
        <v>2</v>
      </c>
      <c r="L887" s="17" t="s">
        <v>43</v>
      </c>
      <c r="M887">
        <v>90</v>
      </c>
      <c r="N887">
        <v>3</v>
      </c>
      <c r="O887">
        <v>2</v>
      </c>
      <c r="P887" t="s">
        <v>50</v>
      </c>
      <c r="Q887">
        <v>4</v>
      </c>
      <c r="R887" t="s">
        <v>49</v>
      </c>
      <c r="S887" s="6">
        <v>5762</v>
      </c>
      <c r="T887">
        <v>24442</v>
      </c>
      <c r="U887">
        <v>2</v>
      </c>
      <c r="V887" t="s">
        <v>39</v>
      </c>
      <c r="W887" t="s">
        <v>40</v>
      </c>
      <c r="X887">
        <v>14</v>
      </c>
      <c r="Y887">
        <v>3</v>
      </c>
      <c r="Z887">
        <v>3</v>
      </c>
      <c r="AA887">
        <v>80</v>
      </c>
      <c r="AB887">
        <v>1</v>
      </c>
      <c r="AC887">
        <v>15</v>
      </c>
      <c r="AD887">
        <v>6</v>
      </c>
      <c r="AE887">
        <v>3</v>
      </c>
      <c r="AF887">
        <v>7</v>
      </c>
      <c r="AG887">
        <v>7</v>
      </c>
      <c r="AH887">
        <v>1</v>
      </c>
      <c r="AI887">
        <v>7</v>
      </c>
    </row>
    <row r="888" spans="1:35" x14ac:dyDescent="0.3">
      <c r="A888">
        <v>29</v>
      </c>
      <c r="B888" t="s">
        <v>32</v>
      </c>
      <c r="C888" t="s">
        <v>41</v>
      </c>
      <c r="D888">
        <v>115</v>
      </c>
      <c r="E888" t="s">
        <v>34</v>
      </c>
      <c r="F888">
        <v>13</v>
      </c>
      <c r="G888">
        <v>3</v>
      </c>
      <c r="H888" t="s">
        <v>57</v>
      </c>
      <c r="I888">
        <v>1</v>
      </c>
      <c r="J888">
        <v>1487</v>
      </c>
      <c r="K888">
        <v>1</v>
      </c>
      <c r="L888" s="17" t="s">
        <v>36</v>
      </c>
      <c r="M888">
        <v>51</v>
      </c>
      <c r="N888">
        <v>3</v>
      </c>
      <c r="O888">
        <v>2</v>
      </c>
      <c r="P888" t="s">
        <v>37</v>
      </c>
      <c r="Q888">
        <v>2</v>
      </c>
      <c r="R888" t="s">
        <v>38</v>
      </c>
      <c r="S888" s="6">
        <v>5765</v>
      </c>
      <c r="T888">
        <v>17485</v>
      </c>
      <c r="U888">
        <v>5</v>
      </c>
      <c r="V888" t="s">
        <v>39</v>
      </c>
      <c r="W888" t="s">
        <v>40</v>
      </c>
      <c r="X888">
        <v>11</v>
      </c>
      <c r="Y888">
        <v>3</v>
      </c>
      <c r="Z888">
        <v>1</v>
      </c>
      <c r="AA888">
        <v>80</v>
      </c>
      <c r="AB888">
        <v>0</v>
      </c>
      <c r="AC888">
        <v>7</v>
      </c>
      <c r="AD888">
        <v>4</v>
      </c>
      <c r="AE888">
        <v>1</v>
      </c>
      <c r="AF888">
        <v>5</v>
      </c>
      <c r="AG888">
        <v>3</v>
      </c>
      <c r="AH888">
        <v>0</v>
      </c>
      <c r="AI888">
        <v>0</v>
      </c>
    </row>
    <row r="889" spans="1:35" x14ac:dyDescent="0.3">
      <c r="A889">
        <v>37</v>
      </c>
      <c r="B889" t="s">
        <v>40</v>
      </c>
      <c r="C889" t="s">
        <v>33</v>
      </c>
      <c r="D889">
        <v>671</v>
      </c>
      <c r="E889" t="s">
        <v>42</v>
      </c>
      <c r="F889">
        <v>19</v>
      </c>
      <c r="G889">
        <v>3</v>
      </c>
      <c r="H889" t="s">
        <v>35</v>
      </c>
      <c r="I889">
        <v>1</v>
      </c>
      <c r="J889">
        <v>1631</v>
      </c>
      <c r="K889">
        <v>3</v>
      </c>
      <c r="L889" s="17" t="s">
        <v>43</v>
      </c>
      <c r="M889">
        <v>85</v>
      </c>
      <c r="N889">
        <v>3</v>
      </c>
      <c r="O889">
        <v>2</v>
      </c>
      <c r="P889" t="s">
        <v>50</v>
      </c>
      <c r="Q889">
        <v>3</v>
      </c>
      <c r="R889" t="s">
        <v>45</v>
      </c>
      <c r="S889" s="6">
        <v>5768</v>
      </c>
      <c r="T889">
        <v>26493</v>
      </c>
      <c r="U889">
        <v>3</v>
      </c>
      <c r="V889" t="s">
        <v>39</v>
      </c>
      <c r="W889" t="s">
        <v>40</v>
      </c>
      <c r="X889">
        <v>17</v>
      </c>
      <c r="Y889">
        <v>3</v>
      </c>
      <c r="Z889">
        <v>1</v>
      </c>
      <c r="AA889">
        <v>80</v>
      </c>
      <c r="AB889">
        <v>3</v>
      </c>
      <c r="AC889">
        <v>9</v>
      </c>
      <c r="AD889">
        <v>2</v>
      </c>
      <c r="AE889">
        <v>2</v>
      </c>
      <c r="AF889">
        <v>4</v>
      </c>
      <c r="AG889">
        <v>3</v>
      </c>
      <c r="AH889">
        <v>0</v>
      </c>
      <c r="AI889">
        <v>2</v>
      </c>
    </row>
    <row r="890" spans="1:35" x14ac:dyDescent="0.3">
      <c r="A890">
        <v>27</v>
      </c>
      <c r="B890" t="s">
        <v>40</v>
      </c>
      <c r="C890" t="s">
        <v>33</v>
      </c>
      <c r="D890">
        <v>205</v>
      </c>
      <c r="E890" t="s">
        <v>34</v>
      </c>
      <c r="F890">
        <v>10</v>
      </c>
      <c r="G890">
        <v>3</v>
      </c>
      <c r="H890" t="s">
        <v>56</v>
      </c>
      <c r="I890">
        <v>1</v>
      </c>
      <c r="J890">
        <v>1403</v>
      </c>
      <c r="K890">
        <v>4</v>
      </c>
      <c r="L890" s="17" t="s">
        <v>36</v>
      </c>
      <c r="M890">
        <v>98</v>
      </c>
      <c r="N890">
        <v>2</v>
      </c>
      <c r="O890">
        <v>2</v>
      </c>
      <c r="P890" t="s">
        <v>37</v>
      </c>
      <c r="Q890">
        <v>4</v>
      </c>
      <c r="R890" t="s">
        <v>45</v>
      </c>
      <c r="S890" s="6">
        <v>5769</v>
      </c>
      <c r="T890">
        <v>7100</v>
      </c>
      <c r="U890">
        <v>1</v>
      </c>
      <c r="V890" t="s">
        <v>39</v>
      </c>
      <c r="W890" t="s">
        <v>32</v>
      </c>
      <c r="X890">
        <v>11</v>
      </c>
      <c r="Y890">
        <v>3</v>
      </c>
      <c r="Z890">
        <v>4</v>
      </c>
      <c r="AA890">
        <v>80</v>
      </c>
      <c r="AB890">
        <v>0</v>
      </c>
      <c r="AC890">
        <v>6</v>
      </c>
      <c r="AD890">
        <v>3</v>
      </c>
      <c r="AE890">
        <v>3</v>
      </c>
      <c r="AF890">
        <v>6</v>
      </c>
      <c r="AG890">
        <v>2</v>
      </c>
      <c r="AH890">
        <v>4</v>
      </c>
      <c r="AI890">
        <v>4</v>
      </c>
    </row>
    <row r="891" spans="1:35" x14ac:dyDescent="0.3">
      <c r="A891">
        <v>45</v>
      </c>
      <c r="B891" t="s">
        <v>40</v>
      </c>
      <c r="C891" t="s">
        <v>33</v>
      </c>
      <c r="D891">
        <v>1015</v>
      </c>
      <c r="E891" t="s">
        <v>42</v>
      </c>
      <c r="F891">
        <v>5</v>
      </c>
      <c r="G891">
        <v>5</v>
      </c>
      <c r="H891" t="s">
        <v>48</v>
      </c>
      <c r="I891">
        <v>1</v>
      </c>
      <c r="J891">
        <v>1611</v>
      </c>
      <c r="K891">
        <v>3</v>
      </c>
      <c r="L891" s="17" t="s">
        <v>36</v>
      </c>
      <c r="M891">
        <v>50</v>
      </c>
      <c r="N891">
        <v>1</v>
      </c>
      <c r="O891">
        <v>2</v>
      </c>
      <c r="P891" t="s">
        <v>47</v>
      </c>
      <c r="Q891">
        <v>1</v>
      </c>
      <c r="R891" t="s">
        <v>38</v>
      </c>
      <c r="S891" s="6">
        <v>5769</v>
      </c>
      <c r="T891">
        <v>23447</v>
      </c>
      <c r="U891">
        <v>1</v>
      </c>
      <c r="V891" t="s">
        <v>39</v>
      </c>
      <c r="W891" t="s">
        <v>32</v>
      </c>
      <c r="X891">
        <v>14</v>
      </c>
      <c r="Y891">
        <v>3</v>
      </c>
      <c r="Z891">
        <v>1</v>
      </c>
      <c r="AA891">
        <v>80</v>
      </c>
      <c r="AB891">
        <v>0</v>
      </c>
      <c r="AC891">
        <v>10</v>
      </c>
      <c r="AD891">
        <v>3</v>
      </c>
      <c r="AE891">
        <v>3</v>
      </c>
      <c r="AF891">
        <v>10</v>
      </c>
      <c r="AG891">
        <v>7</v>
      </c>
      <c r="AH891">
        <v>1</v>
      </c>
      <c r="AI891">
        <v>4</v>
      </c>
    </row>
    <row r="892" spans="1:35" x14ac:dyDescent="0.3">
      <c r="A892">
        <v>45</v>
      </c>
      <c r="B892" t="s">
        <v>40</v>
      </c>
      <c r="C892" t="s">
        <v>33</v>
      </c>
      <c r="D892">
        <v>1329</v>
      </c>
      <c r="E892" t="s">
        <v>42</v>
      </c>
      <c r="F892">
        <v>2</v>
      </c>
      <c r="G892">
        <v>2</v>
      </c>
      <c r="H892" t="s">
        <v>46</v>
      </c>
      <c r="I892">
        <v>1</v>
      </c>
      <c r="J892">
        <v>1635</v>
      </c>
      <c r="K892">
        <v>4</v>
      </c>
      <c r="L892" s="17" t="s">
        <v>36</v>
      </c>
      <c r="M892">
        <v>59</v>
      </c>
      <c r="N892">
        <v>2</v>
      </c>
      <c r="O892">
        <v>2</v>
      </c>
      <c r="P892" t="s">
        <v>50</v>
      </c>
      <c r="Q892">
        <v>4</v>
      </c>
      <c r="R892" t="s">
        <v>49</v>
      </c>
      <c r="S892" s="6">
        <v>5770</v>
      </c>
      <c r="T892">
        <v>5388</v>
      </c>
      <c r="U892">
        <v>1</v>
      </c>
      <c r="V892" t="s">
        <v>39</v>
      </c>
      <c r="W892" t="s">
        <v>40</v>
      </c>
      <c r="X892">
        <v>19</v>
      </c>
      <c r="Y892">
        <v>3</v>
      </c>
      <c r="Z892">
        <v>1</v>
      </c>
      <c r="AA892">
        <v>80</v>
      </c>
      <c r="AB892">
        <v>2</v>
      </c>
      <c r="AC892">
        <v>10</v>
      </c>
      <c r="AD892">
        <v>3</v>
      </c>
      <c r="AE892">
        <v>3</v>
      </c>
      <c r="AF892">
        <v>10</v>
      </c>
      <c r="AG892">
        <v>7</v>
      </c>
      <c r="AH892">
        <v>3</v>
      </c>
      <c r="AI892">
        <v>9</v>
      </c>
    </row>
    <row r="893" spans="1:35" x14ac:dyDescent="0.3">
      <c r="A893">
        <v>46</v>
      </c>
      <c r="B893" t="s">
        <v>40</v>
      </c>
      <c r="C893" t="s">
        <v>41</v>
      </c>
      <c r="D893">
        <v>1211</v>
      </c>
      <c r="E893" t="s">
        <v>34</v>
      </c>
      <c r="F893">
        <v>5</v>
      </c>
      <c r="G893">
        <v>4</v>
      </c>
      <c r="H893" t="s">
        <v>56</v>
      </c>
      <c r="I893">
        <v>1</v>
      </c>
      <c r="J893">
        <v>62</v>
      </c>
      <c r="K893">
        <v>1</v>
      </c>
      <c r="L893" s="17" t="s">
        <v>43</v>
      </c>
      <c r="M893">
        <v>98</v>
      </c>
      <c r="N893">
        <v>3</v>
      </c>
      <c r="O893">
        <v>2</v>
      </c>
      <c r="P893" t="s">
        <v>37</v>
      </c>
      <c r="Q893">
        <v>4</v>
      </c>
      <c r="R893" t="s">
        <v>38</v>
      </c>
      <c r="S893" s="6">
        <v>5772</v>
      </c>
      <c r="T893">
        <v>20445</v>
      </c>
      <c r="U893">
        <v>4</v>
      </c>
      <c r="V893" t="s">
        <v>39</v>
      </c>
      <c r="W893" t="s">
        <v>32</v>
      </c>
      <c r="X893">
        <v>21</v>
      </c>
      <c r="Y893">
        <v>4</v>
      </c>
      <c r="Z893">
        <v>3</v>
      </c>
      <c r="AA893">
        <v>80</v>
      </c>
      <c r="AB893">
        <v>0</v>
      </c>
      <c r="AC893">
        <v>14</v>
      </c>
      <c r="AD893">
        <v>4</v>
      </c>
      <c r="AE893">
        <v>3</v>
      </c>
      <c r="AF893">
        <v>9</v>
      </c>
      <c r="AG893">
        <v>6</v>
      </c>
      <c r="AH893">
        <v>0</v>
      </c>
      <c r="AI893">
        <v>8</v>
      </c>
    </row>
    <row r="894" spans="1:35" x14ac:dyDescent="0.3">
      <c r="A894">
        <v>30</v>
      </c>
      <c r="B894" t="s">
        <v>40</v>
      </c>
      <c r="C894" t="s">
        <v>33</v>
      </c>
      <c r="D894">
        <v>1275</v>
      </c>
      <c r="E894" t="s">
        <v>42</v>
      </c>
      <c r="F894">
        <v>28</v>
      </c>
      <c r="G894">
        <v>2</v>
      </c>
      <c r="H894" t="s">
        <v>48</v>
      </c>
      <c r="I894">
        <v>1</v>
      </c>
      <c r="J894">
        <v>441</v>
      </c>
      <c r="K894">
        <v>4</v>
      </c>
      <c r="L894" s="17" t="s">
        <v>36</v>
      </c>
      <c r="M894">
        <v>64</v>
      </c>
      <c r="N894">
        <v>3</v>
      </c>
      <c r="O894">
        <v>2</v>
      </c>
      <c r="P894" t="s">
        <v>44</v>
      </c>
      <c r="Q894">
        <v>4</v>
      </c>
      <c r="R894" t="s">
        <v>45</v>
      </c>
      <c r="S894" s="6">
        <v>5775</v>
      </c>
      <c r="T894">
        <v>11934</v>
      </c>
      <c r="U894">
        <v>1</v>
      </c>
      <c r="V894" t="s">
        <v>39</v>
      </c>
      <c r="W894" t="s">
        <v>40</v>
      </c>
      <c r="X894">
        <v>13</v>
      </c>
      <c r="Y894">
        <v>3</v>
      </c>
      <c r="Z894">
        <v>4</v>
      </c>
      <c r="AA894">
        <v>80</v>
      </c>
      <c r="AB894">
        <v>2</v>
      </c>
      <c r="AC894">
        <v>11</v>
      </c>
      <c r="AD894">
        <v>2</v>
      </c>
      <c r="AE894">
        <v>3</v>
      </c>
      <c r="AF894">
        <v>10</v>
      </c>
      <c r="AG894">
        <v>8</v>
      </c>
      <c r="AH894">
        <v>1</v>
      </c>
      <c r="AI894">
        <v>9</v>
      </c>
    </row>
    <row r="895" spans="1:35" x14ac:dyDescent="0.3">
      <c r="A895">
        <v>36</v>
      </c>
      <c r="B895" t="s">
        <v>40</v>
      </c>
      <c r="C895" t="s">
        <v>33</v>
      </c>
      <c r="D895">
        <v>172</v>
      </c>
      <c r="E895" t="s">
        <v>42</v>
      </c>
      <c r="F895">
        <v>4</v>
      </c>
      <c r="G895">
        <v>4</v>
      </c>
      <c r="H895" t="s">
        <v>35</v>
      </c>
      <c r="I895">
        <v>1</v>
      </c>
      <c r="J895">
        <v>1435</v>
      </c>
      <c r="K895">
        <v>1</v>
      </c>
      <c r="L895" s="17" t="s">
        <v>43</v>
      </c>
      <c r="M895">
        <v>37</v>
      </c>
      <c r="N895">
        <v>2</v>
      </c>
      <c r="O895">
        <v>2</v>
      </c>
      <c r="P895" t="s">
        <v>47</v>
      </c>
      <c r="Q895">
        <v>4</v>
      </c>
      <c r="R895" t="s">
        <v>38</v>
      </c>
      <c r="S895" s="6">
        <v>5810</v>
      </c>
      <c r="T895">
        <v>22604</v>
      </c>
      <c r="U895">
        <v>1</v>
      </c>
      <c r="V895" t="s">
        <v>39</v>
      </c>
      <c r="W895" t="s">
        <v>40</v>
      </c>
      <c r="X895">
        <v>16</v>
      </c>
      <c r="Y895">
        <v>3</v>
      </c>
      <c r="Z895">
        <v>3</v>
      </c>
      <c r="AA895">
        <v>80</v>
      </c>
      <c r="AB895">
        <v>0</v>
      </c>
      <c r="AC895">
        <v>10</v>
      </c>
      <c r="AD895">
        <v>2</v>
      </c>
      <c r="AE895">
        <v>2</v>
      </c>
      <c r="AF895">
        <v>10</v>
      </c>
      <c r="AG895">
        <v>4</v>
      </c>
      <c r="AH895">
        <v>1</v>
      </c>
      <c r="AI895">
        <v>8</v>
      </c>
    </row>
    <row r="896" spans="1:35" x14ac:dyDescent="0.3">
      <c r="A896">
        <v>38</v>
      </c>
      <c r="B896" t="s">
        <v>40</v>
      </c>
      <c r="C896" t="s">
        <v>33</v>
      </c>
      <c r="D896">
        <v>833</v>
      </c>
      <c r="E896" t="s">
        <v>42</v>
      </c>
      <c r="F896">
        <v>18</v>
      </c>
      <c r="G896">
        <v>3</v>
      </c>
      <c r="H896" t="s">
        <v>48</v>
      </c>
      <c r="I896">
        <v>1</v>
      </c>
      <c r="J896">
        <v>1766</v>
      </c>
      <c r="K896">
        <v>2</v>
      </c>
      <c r="L896" s="17" t="s">
        <v>43</v>
      </c>
      <c r="M896">
        <v>60</v>
      </c>
      <c r="N896">
        <v>1</v>
      </c>
      <c r="O896">
        <v>2</v>
      </c>
      <c r="P896" t="s">
        <v>51</v>
      </c>
      <c r="Q896">
        <v>4</v>
      </c>
      <c r="R896" t="s">
        <v>45</v>
      </c>
      <c r="S896" s="6">
        <v>5811</v>
      </c>
      <c r="T896">
        <v>24539</v>
      </c>
      <c r="U896">
        <v>3</v>
      </c>
      <c r="V896" t="s">
        <v>39</v>
      </c>
      <c r="W896" t="s">
        <v>32</v>
      </c>
      <c r="X896">
        <v>16</v>
      </c>
      <c r="Y896">
        <v>3</v>
      </c>
      <c r="Z896">
        <v>3</v>
      </c>
      <c r="AA896">
        <v>80</v>
      </c>
      <c r="AB896">
        <v>1</v>
      </c>
      <c r="AC896">
        <v>15</v>
      </c>
      <c r="AD896">
        <v>2</v>
      </c>
      <c r="AE896">
        <v>3</v>
      </c>
      <c r="AF896">
        <v>1</v>
      </c>
      <c r="AG896">
        <v>0</v>
      </c>
      <c r="AH896">
        <v>1</v>
      </c>
      <c r="AI896">
        <v>0</v>
      </c>
    </row>
    <row r="897" spans="1:35" x14ac:dyDescent="0.3">
      <c r="A897">
        <v>35</v>
      </c>
      <c r="B897" t="s">
        <v>32</v>
      </c>
      <c r="C897" t="s">
        <v>33</v>
      </c>
      <c r="D897">
        <v>303</v>
      </c>
      <c r="E897" t="s">
        <v>34</v>
      </c>
      <c r="F897">
        <v>27</v>
      </c>
      <c r="G897">
        <v>3</v>
      </c>
      <c r="H897" t="s">
        <v>35</v>
      </c>
      <c r="I897">
        <v>1</v>
      </c>
      <c r="J897">
        <v>1797</v>
      </c>
      <c r="K897">
        <v>3</v>
      </c>
      <c r="L897" s="17" t="s">
        <v>43</v>
      </c>
      <c r="M897">
        <v>84</v>
      </c>
      <c r="N897">
        <v>3</v>
      </c>
      <c r="O897">
        <v>2</v>
      </c>
      <c r="P897" t="s">
        <v>37</v>
      </c>
      <c r="Q897">
        <v>4</v>
      </c>
      <c r="R897" t="s">
        <v>38</v>
      </c>
      <c r="S897" s="6">
        <v>5813</v>
      </c>
      <c r="T897">
        <v>13492</v>
      </c>
      <c r="U897">
        <v>1</v>
      </c>
      <c r="V897" t="s">
        <v>39</v>
      </c>
      <c r="W897" t="s">
        <v>32</v>
      </c>
      <c r="X897">
        <v>18</v>
      </c>
      <c r="Y897">
        <v>3</v>
      </c>
      <c r="Z897">
        <v>4</v>
      </c>
      <c r="AA897">
        <v>80</v>
      </c>
      <c r="AB897">
        <v>0</v>
      </c>
      <c r="AC897">
        <v>10</v>
      </c>
      <c r="AD897">
        <v>2</v>
      </c>
      <c r="AE897">
        <v>3</v>
      </c>
      <c r="AF897">
        <v>10</v>
      </c>
      <c r="AG897">
        <v>7</v>
      </c>
      <c r="AH897">
        <v>7</v>
      </c>
      <c r="AI897">
        <v>7</v>
      </c>
    </row>
    <row r="898" spans="1:35" x14ac:dyDescent="0.3">
      <c r="A898">
        <v>26</v>
      </c>
      <c r="B898" t="s">
        <v>32</v>
      </c>
      <c r="C898" t="s">
        <v>33</v>
      </c>
      <c r="D898">
        <v>950</v>
      </c>
      <c r="E898" t="s">
        <v>34</v>
      </c>
      <c r="F898">
        <v>4</v>
      </c>
      <c r="G898">
        <v>4</v>
      </c>
      <c r="H898" t="s">
        <v>56</v>
      </c>
      <c r="I898">
        <v>1</v>
      </c>
      <c r="J898">
        <v>401</v>
      </c>
      <c r="K898">
        <v>4</v>
      </c>
      <c r="L898" s="17" t="s">
        <v>43</v>
      </c>
      <c r="M898">
        <v>48</v>
      </c>
      <c r="N898">
        <v>2</v>
      </c>
      <c r="O898">
        <v>2</v>
      </c>
      <c r="P898" t="s">
        <v>37</v>
      </c>
      <c r="Q898">
        <v>4</v>
      </c>
      <c r="R898" t="s">
        <v>38</v>
      </c>
      <c r="S898" s="6">
        <v>5828</v>
      </c>
      <c r="T898">
        <v>8450</v>
      </c>
      <c r="U898">
        <v>1</v>
      </c>
      <c r="V898" t="s">
        <v>39</v>
      </c>
      <c r="W898" t="s">
        <v>32</v>
      </c>
      <c r="X898">
        <v>12</v>
      </c>
      <c r="Y898">
        <v>3</v>
      </c>
      <c r="Z898">
        <v>2</v>
      </c>
      <c r="AA898">
        <v>80</v>
      </c>
      <c r="AB898">
        <v>0</v>
      </c>
      <c r="AC898">
        <v>8</v>
      </c>
      <c r="AD898">
        <v>0</v>
      </c>
      <c r="AE898">
        <v>3</v>
      </c>
      <c r="AF898">
        <v>8</v>
      </c>
      <c r="AG898">
        <v>7</v>
      </c>
      <c r="AH898">
        <v>7</v>
      </c>
      <c r="AI898">
        <v>4</v>
      </c>
    </row>
    <row r="899" spans="1:35" x14ac:dyDescent="0.3">
      <c r="A899">
        <v>31</v>
      </c>
      <c r="B899" t="s">
        <v>40</v>
      </c>
      <c r="C899" t="s">
        <v>33</v>
      </c>
      <c r="D899">
        <v>616</v>
      </c>
      <c r="E899" t="s">
        <v>42</v>
      </c>
      <c r="F899">
        <v>12</v>
      </c>
      <c r="G899">
        <v>3</v>
      </c>
      <c r="H899" t="s">
        <v>48</v>
      </c>
      <c r="I899">
        <v>1</v>
      </c>
      <c r="J899">
        <v>961</v>
      </c>
      <c r="K899">
        <v>4</v>
      </c>
      <c r="L899" s="17" t="s">
        <v>36</v>
      </c>
      <c r="M899">
        <v>41</v>
      </c>
      <c r="N899">
        <v>3</v>
      </c>
      <c r="O899">
        <v>2</v>
      </c>
      <c r="P899" t="s">
        <v>51</v>
      </c>
      <c r="Q899">
        <v>4</v>
      </c>
      <c r="R899" t="s">
        <v>45</v>
      </c>
      <c r="S899" s="6">
        <v>5855</v>
      </c>
      <c r="T899">
        <v>17369</v>
      </c>
      <c r="U899">
        <v>0</v>
      </c>
      <c r="V899" t="s">
        <v>39</v>
      </c>
      <c r="W899" t="s">
        <v>32</v>
      </c>
      <c r="X899">
        <v>11</v>
      </c>
      <c r="Y899">
        <v>3</v>
      </c>
      <c r="Z899">
        <v>3</v>
      </c>
      <c r="AA899">
        <v>80</v>
      </c>
      <c r="AB899">
        <v>2</v>
      </c>
      <c r="AC899">
        <v>10</v>
      </c>
      <c r="AD899">
        <v>2</v>
      </c>
      <c r="AE899">
        <v>1</v>
      </c>
      <c r="AF899">
        <v>9</v>
      </c>
      <c r="AG899">
        <v>7</v>
      </c>
      <c r="AH899">
        <v>8</v>
      </c>
      <c r="AI899">
        <v>5</v>
      </c>
    </row>
    <row r="900" spans="1:35" x14ac:dyDescent="0.3">
      <c r="A900">
        <v>29</v>
      </c>
      <c r="B900" t="s">
        <v>40</v>
      </c>
      <c r="C900" t="s">
        <v>33</v>
      </c>
      <c r="D900">
        <v>469</v>
      </c>
      <c r="E900" t="s">
        <v>34</v>
      </c>
      <c r="F900">
        <v>10</v>
      </c>
      <c r="G900">
        <v>3</v>
      </c>
      <c r="H900" t="s">
        <v>48</v>
      </c>
      <c r="I900">
        <v>1</v>
      </c>
      <c r="J900">
        <v>1650</v>
      </c>
      <c r="K900">
        <v>3</v>
      </c>
      <c r="L900" s="17" t="s">
        <v>43</v>
      </c>
      <c r="M900">
        <v>42</v>
      </c>
      <c r="N900">
        <v>2</v>
      </c>
      <c r="O900">
        <v>2</v>
      </c>
      <c r="P900" t="s">
        <v>37</v>
      </c>
      <c r="Q900">
        <v>3</v>
      </c>
      <c r="R900" t="s">
        <v>38</v>
      </c>
      <c r="S900" s="6">
        <v>5869</v>
      </c>
      <c r="T900">
        <v>23413</v>
      </c>
      <c r="U900">
        <v>9</v>
      </c>
      <c r="V900" t="s">
        <v>39</v>
      </c>
      <c r="W900" t="s">
        <v>40</v>
      </c>
      <c r="X900">
        <v>11</v>
      </c>
      <c r="Y900">
        <v>3</v>
      </c>
      <c r="Z900">
        <v>3</v>
      </c>
      <c r="AA900">
        <v>80</v>
      </c>
      <c r="AB900">
        <v>0</v>
      </c>
      <c r="AC900">
        <v>8</v>
      </c>
      <c r="AD900">
        <v>2</v>
      </c>
      <c r="AE900">
        <v>3</v>
      </c>
      <c r="AF900">
        <v>5</v>
      </c>
      <c r="AG900">
        <v>2</v>
      </c>
      <c r="AH900">
        <v>1</v>
      </c>
      <c r="AI900">
        <v>4</v>
      </c>
    </row>
    <row r="901" spans="1:35" x14ac:dyDescent="0.3">
      <c r="A901">
        <v>32</v>
      </c>
      <c r="B901" t="s">
        <v>40</v>
      </c>
      <c r="C901" t="s">
        <v>33</v>
      </c>
      <c r="D901">
        <v>824</v>
      </c>
      <c r="E901" t="s">
        <v>42</v>
      </c>
      <c r="F901">
        <v>5</v>
      </c>
      <c r="G901">
        <v>2</v>
      </c>
      <c r="H901" t="s">
        <v>35</v>
      </c>
      <c r="I901">
        <v>1</v>
      </c>
      <c r="J901">
        <v>1555</v>
      </c>
      <c r="K901">
        <v>4</v>
      </c>
      <c r="L901" s="17" t="s">
        <v>36</v>
      </c>
      <c r="M901">
        <v>67</v>
      </c>
      <c r="N901">
        <v>2</v>
      </c>
      <c r="O901">
        <v>2</v>
      </c>
      <c r="P901" t="s">
        <v>44</v>
      </c>
      <c r="Q901">
        <v>2</v>
      </c>
      <c r="R901" t="s">
        <v>45</v>
      </c>
      <c r="S901" s="6">
        <v>5878</v>
      </c>
      <c r="T901">
        <v>15624</v>
      </c>
      <c r="U901">
        <v>3</v>
      </c>
      <c r="V901" t="s">
        <v>39</v>
      </c>
      <c r="W901" t="s">
        <v>40</v>
      </c>
      <c r="X901">
        <v>12</v>
      </c>
      <c r="Y901">
        <v>3</v>
      </c>
      <c r="Z901">
        <v>1</v>
      </c>
      <c r="AA901">
        <v>80</v>
      </c>
      <c r="AB901">
        <v>1</v>
      </c>
      <c r="AC901">
        <v>12</v>
      </c>
      <c r="AD901">
        <v>2</v>
      </c>
      <c r="AE901">
        <v>3</v>
      </c>
      <c r="AF901">
        <v>7</v>
      </c>
      <c r="AG901">
        <v>1</v>
      </c>
      <c r="AH901">
        <v>2</v>
      </c>
      <c r="AI901">
        <v>5</v>
      </c>
    </row>
    <row r="902" spans="1:35" x14ac:dyDescent="0.3">
      <c r="A902">
        <v>39</v>
      </c>
      <c r="B902" t="s">
        <v>40</v>
      </c>
      <c r="C902" t="s">
        <v>33</v>
      </c>
      <c r="D902">
        <v>1329</v>
      </c>
      <c r="E902" t="s">
        <v>34</v>
      </c>
      <c r="F902">
        <v>4</v>
      </c>
      <c r="G902">
        <v>4</v>
      </c>
      <c r="H902" t="s">
        <v>35</v>
      </c>
      <c r="I902">
        <v>1</v>
      </c>
      <c r="J902">
        <v>182</v>
      </c>
      <c r="K902">
        <v>4</v>
      </c>
      <c r="L902" s="17" t="s">
        <v>36</v>
      </c>
      <c r="M902">
        <v>47</v>
      </c>
      <c r="N902">
        <v>2</v>
      </c>
      <c r="O902">
        <v>2</v>
      </c>
      <c r="P902" t="s">
        <v>37</v>
      </c>
      <c r="Q902">
        <v>3</v>
      </c>
      <c r="R902" t="s">
        <v>45</v>
      </c>
      <c r="S902" s="6">
        <v>5902</v>
      </c>
      <c r="T902">
        <v>14590</v>
      </c>
      <c r="U902">
        <v>4</v>
      </c>
      <c r="V902" t="s">
        <v>39</v>
      </c>
      <c r="W902" t="s">
        <v>40</v>
      </c>
      <c r="X902">
        <v>14</v>
      </c>
      <c r="Y902">
        <v>3</v>
      </c>
      <c r="Z902">
        <v>3</v>
      </c>
      <c r="AA902">
        <v>80</v>
      </c>
      <c r="AB902">
        <v>1</v>
      </c>
      <c r="AC902">
        <v>17</v>
      </c>
      <c r="AD902">
        <v>1</v>
      </c>
      <c r="AE902">
        <v>4</v>
      </c>
      <c r="AF902">
        <v>15</v>
      </c>
      <c r="AG902">
        <v>11</v>
      </c>
      <c r="AH902">
        <v>5</v>
      </c>
      <c r="AI902">
        <v>9</v>
      </c>
    </row>
    <row r="903" spans="1:35" x14ac:dyDescent="0.3">
      <c r="A903">
        <v>45</v>
      </c>
      <c r="B903" t="s">
        <v>40</v>
      </c>
      <c r="C903" t="s">
        <v>33</v>
      </c>
      <c r="D903">
        <v>556</v>
      </c>
      <c r="E903" t="s">
        <v>42</v>
      </c>
      <c r="F903">
        <v>25</v>
      </c>
      <c r="G903">
        <v>2</v>
      </c>
      <c r="H903" t="s">
        <v>35</v>
      </c>
      <c r="I903">
        <v>1</v>
      </c>
      <c r="J903">
        <v>1888</v>
      </c>
      <c r="K903">
        <v>2</v>
      </c>
      <c r="L903" s="17" t="s">
        <v>36</v>
      </c>
      <c r="M903">
        <v>93</v>
      </c>
      <c r="N903">
        <v>2</v>
      </c>
      <c r="O903">
        <v>2</v>
      </c>
      <c r="P903" t="s">
        <v>50</v>
      </c>
      <c r="Q903">
        <v>4</v>
      </c>
      <c r="R903" t="s">
        <v>45</v>
      </c>
      <c r="S903" s="6">
        <v>5906</v>
      </c>
      <c r="T903">
        <v>23888</v>
      </c>
      <c r="U903">
        <v>0</v>
      </c>
      <c r="V903" t="s">
        <v>39</v>
      </c>
      <c r="W903" t="s">
        <v>40</v>
      </c>
      <c r="X903">
        <v>13</v>
      </c>
      <c r="Y903">
        <v>3</v>
      </c>
      <c r="Z903">
        <v>4</v>
      </c>
      <c r="AA903">
        <v>80</v>
      </c>
      <c r="AB903">
        <v>2</v>
      </c>
      <c r="AC903">
        <v>10</v>
      </c>
      <c r="AD903">
        <v>2</v>
      </c>
      <c r="AE903">
        <v>2</v>
      </c>
      <c r="AF903">
        <v>9</v>
      </c>
      <c r="AG903">
        <v>8</v>
      </c>
      <c r="AH903">
        <v>3</v>
      </c>
      <c r="AI903">
        <v>8</v>
      </c>
    </row>
    <row r="904" spans="1:35" x14ac:dyDescent="0.3">
      <c r="A904">
        <v>36</v>
      </c>
      <c r="B904" t="s">
        <v>40</v>
      </c>
      <c r="C904" t="s">
        <v>33</v>
      </c>
      <c r="D904">
        <v>1396</v>
      </c>
      <c r="E904" t="s">
        <v>42</v>
      </c>
      <c r="F904">
        <v>5</v>
      </c>
      <c r="G904">
        <v>2</v>
      </c>
      <c r="H904" t="s">
        <v>35</v>
      </c>
      <c r="I904">
        <v>1</v>
      </c>
      <c r="J904">
        <v>304</v>
      </c>
      <c r="K904">
        <v>4</v>
      </c>
      <c r="L904" s="17" t="s">
        <v>43</v>
      </c>
      <c r="M904">
        <v>62</v>
      </c>
      <c r="N904">
        <v>3</v>
      </c>
      <c r="O904">
        <v>2</v>
      </c>
      <c r="P904" t="s">
        <v>47</v>
      </c>
      <c r="Q904">
        <v>2</v>
      </c>
      <c r="R904" t="s">
        <v>38</v>
      </c>
      <c r="S904" s="6">
        <v>5914</v>
      </c>
      <c r="T904">
        <v>9945</v>
      </c>
      <c r="U904">
        <v>8</v>
      </c>
      <c r="V904" t="s">
        <v>39</v>
      </c>
      <c r="W904" t="s">
        <v>40</v>
      </c>
      <c r="X904">
        <v>16</v>
      </c>
      <c r="Y904">
        <v>3</v>
      </c>
      <c r="Z904">
        <v>4</v>
      </c>
      <c r="AA904">
        <v>80</v>
      </c>
      <c r="AB904">
        <v>0</v>
      </c>
      <c r="AC904">
        <v>16</v>
      </c>
      <c r="AD904">
        <v>3</v>
      </c>
      <c r="AE904">
        <v>4</v>
      </c>
      <c r="AF904">
        <v>13</v>
      </c>
      <c r="AG904">
        <v>11</v>
      </c>
      <c r="AH904">
        <v>3</v>
      </c>
      <c r="AI904">
        <v>7</v>
      </c>
    </row>
    <row r="905" spans="1:35" x14ac:dyDescent="0.3">
      <c r="A905">
        <v>31</v>
      </c>
      <c r="B905" t="s">
        <v>40</v>
      </c>
      <c r="C905" t="s">
        <v>33</v>
      </c>
      <c r="D905">
        <v>655</v>
      </c>
      <c r="E905" t="s">
        <v>42</v>
      </c>
      <c r="F905">
        <v>7</v>
      </c>
      <c r="G905">
        <v>4</v>
      </c>
      <c r="H905" t="s">
        <v>35</v>
      </c>
      <c r="I905">
        <v>1</v>
      </c>
      <c r="J905">
        <v>76</v>
      </c>
      <c r="K905">
        <v>4</v>
      </c>
      <c r="L905" s="17" t="s">
        <v>43</v>
      </c>
      <c r="M905">
        <v>48</v>
      </c>
      <c r="N905">
        <v>3</v>
      </c>
      <c r="O905">
        <v>2</v>
      </c>
      <c r="P905" t="s">
        <v>47</v>
      </c>
      <c r="Q905">
        <v>4</v>
      </c>
      <c r="R905" t="s">
        <v>49</v>
      </c>
      <c r="S905" s="6">
        <v>5915</v>
      </c>
      <c r="T905">
        <v>9528</v>
      </c>
      <c r="U905">
        <v>3</v>
      </c>
      <c r="V905" t="s">
        <v>39</v>
      </c>
      <c r="W905" t="s">
        <v>40</v>
      </c>
      <c r="X905">
        <v>22</v>
      </c>
      <c r="Y905">
        <v>4</v>
      </c>
      <c r="Z905">
        <v>4</v>
      </c>
      <c r="AA905">
        <v>80</v>
      </c>
      <c r="AB905">
        <v>1</v>
      </c>
      <c r="AC905">
        <v>10</v>
      </c>
      <c r="AD905">
        <v>3</v>
      </c>
      <c r="AE905">
        <v>2</v>
      </c>
      <c r="AF905">
        <v>7</v>
      </c>
      <c r="AG905">
        <v>7</v>
      </c>
      <c r="AH905">
        <v>1</v>
      </c>
      <c r="AI905">
        <v>7</v>
      </c>
    </row>
    <row r="906" spans="1:35" x14ac:dyDescent="0.3">
      <c r="A906">
        <v>35</v>
      </c>
      <c r="B906" t="s">
        <v>32</v>
      </c>
      <c r="C906" t="s">
        <v>33</v>
      </c>
      <c r="D906">
        <v>556</v>
      </c>
      <c r="E906" t="s">
        <v>42</v>
      </c>
      <c r="F906">
        <v>23</v>
      </c>
      <c r="G906">
        <v>2</v>
      </c>
      <c r="H906" t="s">
        <v>35</v>
      </c>
      <c r="I906">
        <v>1</v>
      </c>
      <c r="J906">
        <v>261</v>
      </c>
      <c r="K906">
        <v>2</v>
      </c>
      <c r="L906" s="17" t="s">
        <v>43</v>
      </c>
      <c r="M906">
        <v>50</v>
      </c>
      <c r="N906">
        <v>2</v>
      </c>
      <c r="O906">
        <v>2</v>
      </c>
      <c r="P906" t="s">
        <v>50</v>
      </c>
      <c r="Q906">
        <v>3</v>
      </c>
      <c r="R906" t="s">
        <v>45</v>
      </c>
      <c r="S906" s="6">
        <v>5916</v>
      </c>
      <c r="T906">
        <v>15497</v>
      </c>
      <c r="U906">
        <v>3</v>
      </c>
      <c r="V906" t="s">
        <v>39</v>
      </c>
      <c r="W906" t="s">
        <v>32</v>
      </c>
      <c r="X906">
        <v>13</v>
      </c>
      <c r="Y906">
        <v>3</v>
      </c>
      <c r="Z906">
        <v>1</v>
      </c>
      <c r="AA906">
        <v>80</v>
      </c>
      <c r="AB906">
        <v>0</v>
      </c>
      <c r="AC906">
        <v>8</v>
      </c>
      <c r="AD906">
        <v>1</v>
      </c>
      <c r="AE906">
        <v>3</v>
      </c>
      <c r="AF906">
        <v>1</v>
      </c>
      <c r="AG906">
        <v>0</v>
      </c>
      <c r="AH906">
        <v>0</v>
      </c>
      <c r="AI906">
        <v>1</v>
      </c>
    </row>
    <row r="907" spans="1:35" x14ac:dyDescent="0.3">
      <c r="A907">
        <v>44</v>
      </c>
      <c r="B907" t="s">
        <v>40</v>
      </c>
      <c r="C907" t="s">
        <v>33</v>
      </c>
      <c r="D907">
        <v>625</v>
      </c>
      <c r="E907" t="s">
        <v>42</v>
      </c>
      <c r="F907">
        <v>4</v>
      </c>
      <c r="G907">
        <v>3</v>
      </c>
      <c r="H907" t="s">
        <v>48</v>
      </c>
      <c r="I907">
        <v>1</v>
      </c>
      <c r="J907">
        <v>852</v>
      </c>
      <c r="K907">
        <v>4</v>
      </c>
      <c r="L907" s="17" t="s">
        <v>43</v>
      </c>
      <c r="M907">
        <v>50</v>
      </c>
      <c r="N907">
        <v>3</v>
      </c>
      <c r="O907">
        <v>2</v>
      </c>
      <c r="P907" t="s">
        <v>51</v>
      </c>
      <c r="Q907">
        <v>2</v>
      </c>
      <c r="R907" t="s">
        <v>38</v>
      </c>
      <c r="S907" s="6">
        <v>5933</v>
      </c>
      <c r="T907">
        <v>5197</v>
      </c>
      <c r="U907">
        <v>9</v>
      </c>
      <c r="V907" t="s">
        <v>39</v>
      </c>
      <c r="W907" t="s">
        <v>40</v>
      </c>
      <c r="X907">
        <v>12</v>
      </c>
      <c r="Y907">
        <v>3</v>
      </c>
      <c r="Z907">
        <v>4</v>
      </c>
      <c r="AA907">
        <v>80</v>
      </c>
      <c r="AB907">
        <v>0</v>
      </c>
      <c r="AC907">
        <v>10</v>
      </c>
      <c r="AD907">
        <v>2</v>
      </c>
      <c r="AE907">
        <v>2</v>
      </c>
      <c r="AF907">
        <v>5</v>
      </c>
      <c r="AG907">
        <v>2</v>
      </c>
      <c r="AH907">
        <v>2</v>
      </c>
      <c r="AI907">
        <v>3</v>
      </c>
    </row>
    <row r="908" spans="1:35" x14ac:dyDescent="0.3">
      <c r="A908">
        <v>54</v>
      </c>
      <c r="B908" t="s">
        <v>40</v>
      </c>
      <c r="C908" t="s">
        <v>33</v>
      </c>
      <c r="D908">
        <v>1147</v>
      </c>
      <c r="E908" t="s">
        <v>34</v>
      </c>
      <c r="F908">
        <v>3</v>
      </c>
      <c r="G908">
        <v>3</v>
      </c>
      <c r="H908" t="s">
        <v>56</v>
      </c>
      <c r="I908">
        <v>1</v>
      </c>
      <c r="J908">
        <v>303</v>
      </c>
      <c r="K908">
        <v>4</v>
      </c>
      <c r="L908" s="17" t="s">
        <v>36</v>
      </c>
      <c r="M908">
        <v>52</v>
      </c>
      <c r="N908">
        <v>3</v>
      </c>
      <c r="O908">
        <v>2</v>
      </c>
      <c r="P908" t="s">
        <v>37</v>
      </c>
      <c r="Q908">
        <v>1</v>
      </c>
      <c r="R908" t="s">
        <v>45</v>
      </c>
      <c r="S908" s="6">
        <v>5940</v>
      </c>
      <c r="T908">
        <v>17011</v>
      </c>
      <c r="U908">
        <v>2</v>
      </c>
      <c r="V908" t="s">
        <v>39</v>
      </c>
      <c r="W908" t="s">
        <v>40</v>
      </c>
      <c r="X908">
        <v>14</v>
      </c>
      <c r="Y908">
        <v>3</v>
      </c>
      <c r="Z908">
        <v>4</v>
      </c>
      <c r="AA908">
        <v>80</v>
      </c>
      <c r="AB908">
        <v>1</v>
      </c>
      <c r="AC908">
        <v>16</v>
      </c>
      <c r="AD908">
        <v>4</v>
      </c>
      <c r="AE908">
        <v>3</v>
      </c>
      <c r="AF908">
        <v>6</v>
      </c>
      <c r="AG908">
        <v>2</v>
      </c>
      <c r="AH908">
        <v>0</v>
      </c>
      <c r="AI908">
        <v>5</v>
      </c>
    </row>
    <row r="909" spans="1:35" x14ac:dyDescent="0.3">
      <c r="A909">
        <v>34</v>
      </c>
      <c r="B909" t="s">
        <v>40</v>
      </c>
      <c r="C909" t="s">
        <v>33</v>
      </c>
      <c r="D909">
        <v>470</v>
      </c>
      <c r="E909" t="s">
        <v>42</v>
      </c>
      <c r="F909">
        <v>2</v>
      </c>
      <c r="G909">
        <v>4</v>
      </c>
      <c r="H909" t="s">
        <v>35</v>
      </c>
      <c r="I909">
        <v>1</v>
      </c>
      <c r="J909">
        <v>339</v>
      </c>
      <c r="K909">
        <v>4</v>
      </c>
      <c r="L909" s="17" t="s">
        <v>43</v>
      </c>
      <c r="M909">
        <v>84</v>
      </c>
      <c r="N909">
        <v>2</v>
      </c>
      <c r="O909">
        <v>2</v>
      </c>
      <c r="P909" t="s">
        <v>50</v>
      </c>
      <c r="Q909">
        <v>1</v>
      </c>
      <c r="R909" t="s">
        <v>45</v>
      </c>
      <c r="S909" s="6">
        <v>5957</v>
      </c>
      <c r="T909">
        <v>23687</v>
      </c>
      <c r="U909">
        <v>6</v>
      </c>
      <c r="V909" t="s">
        <v>39</v>
      </c>
      <c r="W909" t="s">
        <v>40</v>
      </c>
      <c r="X909">
        <v>13</v>
      </c>
      <c r="Y909">
        <v>3</v>
      </c>
      <c r="Z909">
        <v>2</v>
      </c>
      <c r="AA909">
        <v>80</v>
      </c>
      <c r="AB909">
        <v>1</v>
      </c>
      <c r="AC909">
        <v>13</v>
      </c>
      <c r="AD909">
        <v>3</v>
      </c>
      <c r="AE909">
        <v>3</v>
      </c>
      <c r="AF909">
        <v>11</v>
      </c>
      <c r="AG909">
        <v>9</v>
      </c>
      <c r="AH909">
        <v>5</v>
      </c>
      <c r="AI909">
        <v>9</v>
      </c>
    </row>
    <row r="910" spans="1:35" x14ac:dyDescent="0.3">
      <c r="A910">
        <v>33</v>
      </c>
      <c r="B910" t="s">
        <v>40</v>
      </c>
      <c r="C910" t="s">
        <v>41</v>
      </c>
      <c r="D910">
        <v>1303</v>
      </c>
      <c r="E910" t="s">
        <v>42</v>
      </c>
      <c r="F910">
        <v>7</v>
      </c>
      <c r="G910">
        <v>2</v>
      </c>
      <c r="H910" t="s">
        <v>35</v>
      </c>
      <c r="I910">
        <v>1</v>
      </c>
      <c r="J910">
        <v>1970</v>
      </c>
      <c r="K910">
        <v>4</v>
      </c>
      <c r="L910" s="17" t="s">
        <v>43</v>
      </c>
      <c r="M910">
        <v>36</v>
      </c>
      <c r="N910">
        <v>3</v>
      </c>
      <c r="O910">
        <v>2</v>
      </c>
      <c r="P910" t="s">
        <v>51</v>
      </c>
      <c r="Q910">
        <v>3</v>
      </c>
      <c r="R910" t="s">
        <v>49</v>
      </c>
      <c r="S910" s="6">
        <v>5968</v>
      </c>
      <c r="T910">
        <v>18079</v>
      </c>
      <c r="U910">
        <v>1</v>
      </c>
      <c r="V910" t="s">
        <v>39</v>
      </c>
      <c r="W910" t="s">
        <v>40</v>
      </c>
      <c r="X910">
        <v>20</v>
      </c>
      <c r="Y910">
        <v>4</v>
      </c>
      <c r="Z910">
        <v>3</v>
      </c>
      <c r="AA910">
        <v>80</v>
      </c>
      <c r="AB910">
        <v>3</v>
      </c>
      <c r="AC910">
        <v>9</v>
      </c>
      <c r="AD910">
        <v>2</v>
      </c>
      <c r="AE910">
        <v>3</v>
      </c>
      <c r="AF910">
        <v>9</v>
      </c>
      <c r="AG910">
        <v>7</v>
      </c>
      <c r="AH910">
        <v>2</v>
      </c>
      <c r="AI910">
        <v>8</v>
      </c>
    </row>
    <row r="911" spans="1:35" x14ac:dyDescent="0.3">
      <c r="A911">
        <v>37</v>
      </c>
      <c r="B911" t="s">
        <v>40</v>
      </c>
      <c r="C911" t="s">
        <v>33</v>
      </c>
      <c r="D911">
        <v>1319</v>
      </c>
      <c r="E911" t="s">
        <v>42</v>
      </c>
      <c r="F911">
        <v>6</v>
      </c>
      <c r="G911">
        <v>3</v>
      </c>
      <c r="H911" t="s">
        <v>48</v>
      </c>
      <c r="I911">
        <v>1</v>
      </c>
      <c r="J911">
        <v>474</v>
      </c>
      <c r="K911">
        <v>3</v>
      </c>
      <c r="L911" s="17" t="s">
        <v>43</v>
      </c>
      <c r="M911">
        <v>51</v>
      </c>
      <c r="N911">
        <v>4</v>
      </c>
      <c r="O911">
        <v>2</v>
      </c>
      <c r="P911" t="s">
        <v>44</v>
      </c>
      <c r="Q911">
        <v>1</v>
      </c>
      <c r="R911" t="s">
        <v>49</v>
      </c>
      <c r="S911" s="6">
        <v>5974</v>
      </c>
      <c r="T911">
        <v>17001</v>
      </c>
      <c r="U911">
        <v>4</v>
      </c>
      <c r="V911" t="s">
        <v>39</v>
      </c>
      <c r="W911" t="s">
        <v>32</v>
      </c>
      <c r="X911">
        <v>13</v>
      </c>
      <c r="Y911">
        <v>3</v>
      </c>
      <c r="Z911">
        <v>1</v>
      </c>
      <c r="AA911">
        <v>80</v>
      </c>
      <c r="AB911">
        <v>2</v>
      </c>
      <c r="AC911">
        <v>13</v>
      </c>
      <c r="AD911">
        <v>2</v>
      </c>
      <c r="AE911">
        <v>3</v>
      </c>
      <c r="AF911">
        <v>7</v>
      </c>
      <c r="AG911">
        <v>7</v>
      </c>
      <c r="AH911">
        <v>6</v>
      </c>
      <c r="AI911">
        <v>7</v>
      </c>
    </row>
    <row r="912" spans="1:35" x14ac:dyDescent="0.3">
      <c r="A912">
        <v>38</v>
      </c>
      <c r="B912" t="s">
        <v>40</v>
      </c>
      <c r="C912" t="s">
        <v>41</v>
      </c>
      <c r="D912">
        <v>240</v>
      </c>
      <c r="E912" t="s">
        <v>42</v>
      </c>
      <c r="F912">
        <v>2</v>
      </c>
      <c r="G912">
        <v>4</v>
      </c>
      <c r="H912" t="s">
        <v>35</v>
      </c>
      <c r="I912">
        <v>1</v>
      </c>
      <c r="J912">
        <v>803</v>
      </c>
      <c r="K912">
        <v>1</v>
      </c>
      <c r="L912" s="17" t="s">
        <v>36</v>
      </c>
      <c r="M912">
        <v>75</v>
      </c>
      <c r="N912">
        <v>4</v>
      </c>
      <c r="O912">
        <v>2</v>
      </c>
      <c r="P912" t="s">
        <v>50</v>
      </c>
      <c r="Q912">
        <v>1</v>
      </c>
      <c r="R912" t="s">
        <v>38</v>
      </c>
      <c r="S912" s="6">
        <v>5980</v>
      </c>
      <c r="T912">
        <v>26085</v>
      </c>
      <c r="U912">
        <v>6</v>
      </c>
      <c r="V912" t="s">
        <v>39</v>
      </c>
      <c r="W912" t="s">
        <v>32</v>
      </c>
      <c r="X912">
        <v>12</v>
      </c>
      <c r="Y912">
        <v>3</v>
      </c>
      <c r="Z912">
        <v>4</v>
      </c>
      <c r="AA912">
        <v>80</v>
      </c>
      <c r="AB912">
        <v>0</v>
      </c>
      <c r="AC912">
        <v>17</v>
      </c>
      <c r="AD912">
        <v>2</v>
      </c>
      <c r="AE912">
        <v>3</v>
      </c>
      <c r="AF912">
        <v>15</v>
      </c>
      <c r="AG912">
        <v>7</v>
      </c>
      <c r="AH912">
        <v>4</v>
      </c>
      <c r="AI912">
        <v>12</v>
      </c>
    </row>
    <row r="913" spans="1:35" x14ac:dyDescent="0.3">
      <c r="A913">
        <v>44</v>
      </c>
      <c r="B913" t="s">
        <v>40</v>
      </c>
      <c r="C913" t="s">
        <v>33</v>
      </c>
      <c r="D913">
        <v>1112</v>
      </c>
      <c r="E913" t="s">
        <v>58</v>
      </c>
      <c r="F913">
        <v>1</v>
      </c>
      <c r="G913">
        <v>4</v>
      </c>
      <c r="H913" t="s">
        <v>35</v>
      </c>
      <c r="I913">
        <v>1</v>
      </c>
      <c r="J913">
        <v>665</v>
      </c>
      <c r="K913">
        <v>1</v>
      </c>
      <c r="L913" s="17" t="s">
        <v>36</v>
      </c>
      <c r="M913">
        <v>50</v>
      </c>
      <c r="N913">
        <v>2</v>
      </c>
      <c r="O913">
        <v>2</v>
      </c>
      <c r="P913" t="s">
        <v>58</v>
      </c>
      <c r="Q913">
        <v>3</v>
      </c>
      <c r="R913" t="s">
        <v>38</v>
      </c>
      <c r="S913" s="6">
        <v>5985</v>
      </c>
      <c r="T913">
        <v>26894</v>
      </c>
      <c r="U913">
        <v>4</v>
      </c>
      <c r="V913" t="s">
        <v>39</v>
      </c>
      <c r="W913" t="s">
        <v>40</v>
      </c>
      <c r="X913">
        <v>11</v>
      </c>
      <c r="Y913">
        <v>3</v>
      </c>
      <c r="Z913">
        <v>2</v>
      </c>
      <c r="AA913">
        <v>80</v>
      </c>
      <c r="AB913">
        <v>0</v>
      </c>
      <c r="AC913">
        <v>10</v>
      </c>
      <c r="AD913">
        <v>1</v>
      </c>
      <c r="AE913">
        <v>4</v>
      </c>
      <c r="AF913">
        <v>2</v>
      </c>
      <c r="AG913">
        <v>2</v>
      </c>
      <c r="AH913">
        <v>0</v>
      </c>
      <c r="AI913">
        <v>2</v>
      </c>
    </row>
    <row r="914" spans="1:35" x14ac:dyDescent="0.3">
      <c r="A914">
        <v>41</v>
      </c>
      <c r="B914" t="s">
        <v>32</v>
      </c>
      <c r="C914" t="s">
        <v>33</v>
      </c>
      <c r="D914">
        <v>1102</v>
      </c>
      <c r="E914" t="s">
        <v>34</v>
      </c>
      <c r="F914">
        <v>1</v>
      </c>
      <c r="G914">
        <v>2</v>
      </c>
      <c r="H914" t="s">
        <v>35</v>
      </c>
      <c r="I914">
        <v>1</v>
      </c>
      <c r="J914">
        <v>1</v>
      </c>
      <c r="K914">
        <v>2</v>
      </c>
      <c r="L914" s="17" t="s">
        <v>36</v>
      </c>
      <c r="M914">
        <v>94</v>
      </c>
      <c r="N914">
        <v>3</v>
      </c>
      <c r="O914">
        <v>2</v>
      </c>
      <c r="P914" t="s">
        <v>37</v>
      </c>
      <c r="Q914">
        <v>4</v>
      </c>
      <c r="R914" t="s">
        <v>38</v>
      </c>
      <c r="S914" s="6">
        <v>5993</v>
      </c>
      <c r="T914">
        <v>19479</v>
      </c>
      <c r="U914">
        <v>8</v>
      </c>
      <c r="V914" t="s">
        <v>39</v>
      </c>
      <c r="W914" t="s">
        <v>32</v>
      </c>
      <c r="X914">
        <v>11</v>
      </c>
      <c r="Y914">
        <v>3</v>
      </c>
      <c r="Z914">
        <v>1</v>
      </c>
      <c r="AA914">
        <v>80</v>
      </c>
      <c r="AB914">
        <v>0</v>
      </c>
      <c r="AC914">
        <v>8</v>
      </c>
      <c r="AD914">
        <v>0</v>
      </c>
      <c r="AE914">
        <v>1</v>
      </c>
      <c r="AF914">
        <v>6</v>
      </c>
      <c r="AG914">
        <v>4</v>
      </c>
      <c r="AH914">
        <v>0</v>
      </c>
      <c r="AI914">
        <v>5</v>
      </c>
    </row>
    <row r="915" spans="1:35" x14ac:dyDescent="0.3">
      <c r="A915">
        <v>37</v>
      </c>
      <c r="B915" t="s">
        <v>40</v>
      </c>
      <c r="C915" t="s">
        <v>33</v>
      </c>
      <c r="D915">
        <v>1115</v>
      </c>
      <c r="E915" t="s">
        <v>42</v>
      </c>
      <c r="F915">
        <v>1</v>
      </c>
      <c r="G915">
        <v>4</v>
      </c>
      <c r="H915" t="s">
        <v>35</v>
      </c>
      <c r="I915">
        <v>1</v>
      </c>
      <c r="J915">
        <v>77</v>
      </c>
      <c r="K915">
        <v>1</v>
      </c>
      <c r="L915" s="17" t="s">
        <v>43</v>
      </c>
      <c r="M915">
        <v>51</v>
      </c>
      <c r="N915">
        <v>2</v>
      </c>
      <c r="O915">
        <v>2</v>
      </c>
      <c r="P915" t="s">
        <v>50</v>
      </c>
      <c r="Q915">
        <v>3</v>
      </c>
      <c r="R915" t="s">
        <v>49</v>
      </c>
      <c r="S915" s="6">
        <v>5993</v>
      </c>
      <c r="T915">
        <v>2689</v>
      </c>
      <c r="U915">
        <v>1</v>
      </c>
      <c r="V915" t="s">
        <v>39</v>
      </c>
      <c r="W915" t="s">
        <v>40</v>
      </c>
      <c r="X915">
        <v>18</v>
      </c>
      <c r="Y915">
        <v>3</v>
      </c>
      <c r="Z915">
        <v>3</v>
      </c>
      <c r="AA915">
        <v>80</v>
      </c>
      <c r="AB915">
        <v>1</v>
      </c>
      <c r="AC915">
        <v>7</v>
      </c>
      <c r="AD915">
        <v>2</v>
      </c>
      <c r="AE915">
        <v>4</v>
      </c>
      <c r="AF915">
        <v>7</v>
      </c>
      <c r="AG915">
        <v>5</v>
      </c>
      <c r="AH915">
        <v>0</v>
      </c>
      <c r="AI915">
        <v>7</v>
      </c>
    </row>
    <row r="916" spans="1:35" x14ac:dyDescent="0.3">
      <c r="A916">
        <v>34</v>
      </c>
      <c r="B916" t="s">
        <v>40</v>
      </c>
      <c r="C916" t="s">
        <v>33</v>
      </c>
      <c r="D916">
        <v>511</v>
      </c>
      <c r="E916" t="s">
        <v>34</v>
      </c>
      <c r="F916">
        <v>3</v>
      </c>
      <c r="G916">
        <v>2</v>
      </c>
      <c r="H916" t="s">
        <v>35</v>
      </c>
      <c r="I916">
        <v>1</v>
      </c>
      <c r="J916">
        <v>1779</v>
      </c>
      <c r="K916">
        <v>4</v>
      </c>
      <c r="L916" s="17" t="s">
        <v>36</v>
      </c>
      <c r="M916">
        <v>32</v>
      </c>
      <c r="N916">
        <v>1</v>
      </c>
      <c r="O916">
        <v>2</v>
      </c>
      <c r="P916" t="s">
        <v>37</v>
      </c>
      <c r="Q916">
        <v>4</v>
      </c>
      <c r="R916" t="s">
        <v>38</v>
      </c>
      <c r="S916" s="6">
        <v>6029</v>
      </c>
      <c r="T916">
        <v>25353</v>
      </c>
      <c r="U916">
        <v>5</v>
      </c>
      <c r="V916" t="s">
        <v>39</v>
      </c>
      <c r="W916" t="s">
        <v>40</v>
      </c>
      <c r="X916">
        <v>12</v>
      </c>
      <c r="Y916">
        <v>3</v>
      </c>
      <c r="Z916">
        <v>1</v>
      </c>
      <c r="AA916">
        <v>80</v>
      </c>
      <c r="AB916">
        <v>0</v>
      </c>
      <c r="AC916">
        <v>6</v>
      </c>
      <c r="AD916">
        <v>3</v>
      </c>
      <c r="AE916">
        <v>3</v>
      </c>
      <c r="AF916">
        <v>2</v>
      </c>
      <c r="AG916">
        <v>2</v>
      </c>
      <c r="AH916">
        <v>2</v>
      </c>
      <c r="AI916">
        <v>2</v>
      </c>
    </row>
    <row r="917" spans="1:35" x14ac:dyDescent="0.3">
      <c r="A917">
        <v>41</v>
      </c>
      <c r="B917" t="s">
        <v>40</v>
      </c>
      <c r="C917" t="s">
        <v>33</v>
      </c>
      <c r="D917">
        <v>483</v>
      </c>
      <c r="E917" t="s">
        <v>42</v>
      </c>
      <c r="F917">
        <v>6</v>
      </c>
      <c r="G917">
        <v>3</v>
      </c>
      <c r="H917" t="s">
        <v>48</v>
      </c>
      <c r="I917">
        <v>1</v>
      </c>
      <c r="J917">
        <v>466</v>
      </c>
      <c r="K917">
        <v>4</v>
      </c>
      <c r="L917" s="17" t="s">
        <v>43</v>
      </c>
      <c r="M917">
        <v>95</v>
      </c>
      <c r="N917">
        <v>2</v>
      </c>
      <c r="O917">
        <v>2</v>
      </c>
      <c r="P917" t="s">
        <v>50</v>
      </c>
      <c r="Q917">
        <v>2</v>
      </c>
      <c r="R917" t="s">
        <v>38</v>
      </c>
      <c r="S917" s="6">
        <v>6032</v>
      </c>
      <c r="T917">
        <v>10110</v>
      </c>
      <c r="U917">
        <v>6</v>
      </c>
      <c r="V917" t="s">
        <v>39</v>
      </c>
      <c r="W917" t="s">
        <v>32</v>
      </c>
      <c r="X917">
        <v>15</v>
      </c>
      <c r="Y917">
        <v>3</v>
      </c>
      <c r="Z917">
        <v>4</v>
      </c>
      <c r="AA917">
        <v>80</v>
      </c>
      <c r="AB917">
        <v>0</v>
      </c>
      <c r="AC917">
        <v>8</v>
      </c>
      <c r="AD917">
        <v>3</v>
      </c>
      <c r="AE917">
        <v>3</v>
      </c>
      <c r="AF917">
        <v>5</v>
      </c>
      <c r="AG917">
        <v>4</v>
      </c>
      <c r="AH917">
        <v>1</v>
      </c>
      <c r="AI917">
        <v>2</v>
      </c>
    </row>
    <row r="918" spans="1:35" x14ac:dyDescent="0.3">
      <c r="A918">
        <v>42</v>
      </c>
      <c r="B918" t="s">
        <v>40</v>
      </c>
      <c r="C918" t="s">
        <v>33</v>
      </c>
      <c r="D918">
        <v>932</v>
      </c>
      <c r="E918" t="s">
        <v>42</v>
      </c>
      <c r="F918">
        <v>1</v>
      </c>
      <c r="G918">
        <v>2</v>
      </c>
      <c r="H918" t="s">
        <v>35</v>
      </c>
      <c r="I918">
        <v>1</v>
      </c>
      <c r="J918">
        <v>827</v>
      </c>
      <c r="K918">
        <v>4</v>
      </c>
      <c r="L918" s="17" t="s">
        <v>36</v>
      </c>
      <c r="M918">
        <v>43</v>
      </c>
      <c r="N918">
        <v>2</v>
      </c>
      <c r="O918">
        <v>2</v>
      </c>
      <c r="P918" t="s">
        <v>50</v>
      </c>
      <c r="Q918">
        <v>4</v>
      </c>
      <c r="R918" t="s">
        <v>45</v>
      </c>
      <c r="S918" s="6">
        <v>6062</v>
      </c>
      <c r="T918">
        <v>4051</v>
      </c>
      <c r="U918">
        <v>9</v>
      </c>
      <c r="V918" t="s">
        <v>39</v>
      </c>
      <c r="W918" t="s">
        <v>32</v>
      </c>
      <c r="X918">
        <v>13</v>
      </c>
      <c r="Y918">
        <v>3</v>
      </c>
      <c r="Z918">
        <v>4</v>
      </c>
      <c r="AA918">
        <v>80</v>
      </c>
      <c r="AB918">
        <v>1</v>
      </c>
      <c r="AC918">
        <v>8</v>
      </c>
      <c r="AD918">
        <v>4</v>
      </c>
      <c r="AE918">
        <v>3</v>
      </c>
      <c r="AF918">
        <v>4</v>
      </c>
      <c r="AG918">
        <v>3</v>
      </c>
      <c r="AH918">
        <v>0</v>
      </c>
      <c r="AI918">
        <v>2</v>
      </c>
    </row>
    <row r="919" spans="1:35" x14ac:dyDescent="0.3">
      <c r="A919">
        <v>34</v>
      </c>
      <c r="B919" t="s">
        <v>32</v>
      </c>
      <c r="C919" t="s">
        <v>41</v>
      </c>
      <c r="D919">
        <v>658</v>
      </c>
      <c r="E919" t="s">
        <v>42</v>
      </c>
      <c r="F919">
        <v>7</v>
      </c>
      <c r="G919">
        <v>3</v>
      </c>
      <c r="H919" t="s">
        <v>35</v>
      </c>
      <c r="I919">
        <v>1</v>
      </c>
      <c r="J919">
        <v>147</v>
      </c>
      <c r="K919">
        <v>1</v>
      </c>
      <c r="L919" s="17" t="s">
        <v>43</v>
      </c>
      <c r="M919">
        <v>66</v>
      </c>
      <c r="N919">
        <v>1</v>
      </c>
      <c r="O919">
        <v>2</v>
      </c>
      <c r="P919" t="s">
        <v>47</v>
      </c>
      <c r="Q919">
        <v>3</v>
      </c>
      <c r="R919" t="s">
        <v>38</v>
      </c>
      <c r="S919" s="6">
        <v>6074</v>
      </c>
      <c r="T919">
        <v>22887</v>
      </c>
      <c r="U919">
        <v>1</v>
      </c>
      <c r="V919" t="s">
        <v>39</v>
      </c>
      <c r="W919" t="s">
        <v>32</v>
      </c>
      <c r="X919">
        <v>24</v>
      </c>
      <c r="Y919">
        <v>4</v>
      </c>
      <c r="Z919">
        <v>4</v>
      </c>
      <c r="AA919">
        <v>80</v>
      </c>
      <c r="AB919">
        <v>0</v>
      </c>
      <c r="AC919">
        <v>9</v>
      </c>
      <c r="AD919">
        <v>3</v>
      </c>
      <c r="AE919">
        <v>3</v>
      </c>
      <c r="AF919">
        <v>9</v>
      </c>
      <c r="AG919">
        <v>7</v>
      </c>
      <c r="AH919">
        <v>0</v>
      </c>
      <c r="AI919">
        <v>6</v>
      </c>
    </row>
    <row r="920" spans="1:35" x14ac:dyDescent="0.3">
      <c r="A920">
        <v>38</v>
      </c>
      <c r="B920" t="s">
        <v>40</v>
      </c>
      <c r="C920" t="s">
        <v>41</v>
      </c>
      <c r="D920">
        <v>888</v>
      </c>
      <c r="E920" t="s">
        <v>58</v>
      </c>
      <c r="F920">
        <v>10</v>
      </c>
      <c r="G920">
        <v>4</v>
      </c>
      <c r="H920" t="s">
        <v>58</v>
      </c>
      <c r="I920">
        <v>1</v>
      </c>
      <c r="J920">
        <v>1563</v>
      </c>
      <c r="K920">
        <v>3</v>
      </c>
      <c r="L920" s="17" t="s">
        <v>43</v>
      </c>
      <c r="M920">
        <v>71</v>
      </c>
      <c r="N920">
        <v>3</v>
      </c>
      <c r="O920">
        <v>2</v>
      </c>
      <c r="P920" t="s">
        <v>58</v>
      </c>
      <c r="Q920">
        <v>3</v>
      </c>
      <c r="R920" t="s">
        <v>45</v>
      </c>
      <c r="S920" s="6">
        <v>6077</v>
      </c>
      <c r="T920">
        <v>14814</v>
      </c>
      <c r="U920">
        <v>3</v>
      </c>
      <c r="V920" t="s">
        <v>39</v>
      </c>
      <c r="W920" t="s">
        <v>40</v>
      </c>
      <c r="X920">
        <v>11</v>
      </c>
      <c r="Y920">
        <v>3</v>
      </c>
      <c r="Z920">
        <v>3</v>
      </c>
      <c r="AA920">
        <v>80</v>
      </c>
      <c r="AB920">
        <v>0</v>
      </c>
      <c r="AC920">
        <v>10</v>
      </c>
      <c r="AD920">
        <v>2</v>
      </c>
      <c r="AE920">
        <v>3</v>
      </c>
      <c r="AF920">
        <v>6</v>
      </c>
      <c r="AG920">
        <v>3</v>
      </c>
      <c r="AH920">
        <v>1</v>
      </c>
      <c r="AI920">
        <v>2</v>
      </c>
    </row>
    <row r="921" spans="1:35" x14ac:dyDescent="0.3">
      <c r="A921">
        <v>30</v>
      </c>
      <c r="B921" t="s">
        <v>40</v>
      </c>
      <c r="C921" t="s">
        <v>33</v>
      </c>
      <c r="D921">
        <v>317</v>
      </c>
      <c r="E921" t="s">
        <v>42</v>
      </c>
      <c r="F921">
        <v>2</v>
      </c>
      <c r="G921">
        <v>3</v>
      </c>
      <c r="H921" t="s">
        <v>35</v>
      </c>
      <c r="I921">
        <v>1</v>
      </c>
      <c r="J921">
        <v>548</v>
      </c>
      <c r="K921">
        <v>3</v>
      </c>
      <c r="L921" s="17" t="s">
        <v>36</v>
      </c>
      <c r="M921">
        <v>43</v>
      </c>
      <c r="N921">
        <v>1</v>
      </c>
      <c r="O921">
        <v>2</v>
      </c>
      <c r="P921" t="s">
        <v>50</v>
      </c>
      <c r="Q921">
        <v>4</v>
      </c>
      <c r="R921" t="s">
        <v>38</v>
      </c>
      <c r="S921" s="6">
        <v>6091</v>
      </c>
      <c r="T921">
        <v>24793</v>
      </c>
      <c r="U921">
        <v>2</v>
      </c>
      <c r="V921" t="s">
        <v>39</v>
      </c>
      <c r="W921" t="s">
        <v>40</v>
      </c>
      <c r="X921">
        <v>20</v>
      </c>
      <c r="Y921">
        <v>4</v>
      </c>
      <c r="Z921">
        <v>3</v>
      </c>
      <c r="AA921">
        <v>80</v>
      </c>
      <c r="AB921">
        <v>0</v>
      </c>
      <c r="AC921">
        <v>11</v>
      </c>
      <c r="AD921">
        <v>2</v>
      </c>
      <c r="AE921">
        <v>3</v>
      </c>
      <c r="AF921">
        <v>5</v>
      </c>
      <c r="AG921">
        <v>4</v>
      </c>
      <c r="AH921">
        <v>0</v>
      </c>
      <c r="AI921">
        <v>2</v>
      </c>
    </row>
    <row r="922" spans="1:35" x14ac:dyDescent="0.3">
      <c r="A922">
        <v>30</v>
      </c>
      <c r="B922" t="s">
        <v>40</v>
      </c>
      <c r="C922" t="s">
        <v>33</v>
      </c>
      <c r="D922">
        <v>570</v>
      </c>
      <c r="E922" t="s">
        <v>34</v>
      </c>
      <c r="F922">
        <v>5</v>
      </c>
      <c r="G922">
        <v>3</v>
      </c>
      <c r="H922" t="s">
        <v>56</v>
      </c>
      <c r="I922">
        <v>1</v>
      </c>
      <c r="J922">
        <v>456</v>
      </c>
      <c r="K922">
        <v>4</v>
      </c>
      <c r="L922" s="17" t="s">
        <v>36</v>
      </c>
      <c r="M922">
        <v>30</v>
      </c>
      <c r="N922">
        <v>2</v>
      </c>
      <c r="O922">
        <v>2</v>
      </c>
      <c r="P922" t="s">
        <v>37</v>
      </c>
      <c r="Q922">
        <v>3</v>
      </c>
      <c r="R922" t="s">
        <v>49</v>
      </c>
      <c r="S922" s="6">
        <v>6118</v>
      </c>
      <c r="T922">
        <v>5431</v>
      </c>
      <c r="U922">
        <v>1</v>
      </c>
      <c r="V922" t="s">
        <v>39</v>
      </c>
      <c r="W922" t="s">
        <v>40</v>
      </c>
      <c r="X922">
        <v>13</v>
      </c>
      <c r="Y922">
        <v>3</v>
      </c>
      <c r="Z922">
        <v>3</v>
      </c>
      <c r="AA922">
        <v>80</v>
      </c>
      <c r="AB922">
        <v>3</v>
      </c>
      <c r="AC922">
        <v>10</v>
      </c>
      <c r="AD922">
        <v>2</v>
      </c>
      <c r="AE922">
        <v>3</v>
      </c>
      <c r="AF922">
        <v>10</v>
      </c>
      <c r="AG922">
        <v>9</v>
      </c>
      <c r="AH922">
        <v>1</v>
      </c>
      <c r="AI922">
        <v>2</v>
      </c>
    </row>
    <row r="923" spans="1:35" x14ac:dyDescent="0.3">
      <c r="A923">
        <v>39</v>
      </c>
      <c r="B923" t="s">
        <v>40</v>
      </c>
      <c r="C923" t="s">
        <v>33</v>
      </c>
      <c r="D923">
        <v>1498</v>
      </c>
      <c r="E923" t="s">
        <v>34</v>
      </c>
      <c r="F923">
        <v>21</v>
      </c>
      <c r="G923">
        <v>4</v>
      </c>
      <c r="H923" t="s">
        <v>35</v>
      </c>
      <c r="I923">
        <v>1</v>
      </c>
      <c r="J923">
        <v>1390</v>
      </c>
      <c r="K923">
        <v>1</v>
      </c>
      <c r="L923" s="17" t="s">
        <v>43</v>
      </c>
      <c r="M923">
        <v>44</v>
      </c>
      <c r="N923">
        <v>2</v>
      </c>
      <c r="O923">
        <v>2</v>
      </c>
      <c r="P923" t="s">
        <v>37</v>
      </c>
      <c r="Q923">
        <v>4</v>
      </c>
      <c r="R923" t="s">
        <v>45</v>
      </c>
      <c r="S923" s="6">
        <v>6120</v>
      </c>
      <c r="T923">
        <v>3567</v>
      </c>
      <c r="U923">
        <v>3</v>
      </c>
      <c r="V923" t="s">
        <v>39</v>
      </c>
      <c r="W923" t="s">
        <v>32</v>
      </c>
      <c r="X923">
        <v>12</v>
      </c>
      <c r="Y923">
        <v>3</v>
      </c>
      <c r="Z923">
        <v>4</v>
      </c>
      <c r="AA923">
        <v>80</v>
      </c>
      <c r="AB923">
        <v>2</v>
      </c>
      <c r="AC923">
        <v>8</v>
      </c>
      <c r="AD923">
        <v>2</v>
      </c>
      <c r="AE923">
        <v>4</v>
      </c>
      <c r="AF923">
        <v>5</v>
      </c>
      <c r="AG923">
        <v>4</v>
      </c>
      <c r="AH923">
        <v>1</v>
      </c>
      <c r="AI923">
        <v>4</v>
      </c>
    </row>
    <row r="924" spans="1:35" x14ac:dyDescent="0.3">
      <c r="A924">
        <v>34</v>
      </c>
      <c r="B924" t="s">
        <v>40</v>
      </c>
      <c r="C924" t="s">
        <v>33</v>
      </c>
      <c r="D924">
        <v>507</v>
      </c>
      <c r="E924" t="s">
        <v>34</v>
      </c>
      <c r="F924">
        <v>15</v>
      </c>
      <c r="G924">
        <v>2</v>
      </c>
      <c r="H924" t="s">
        <v>48</v>
      </c>
      <c r="I924">
        <v>1</v>
      </c>
      <c r="J924">
        <v>1356</v>
      </c>
      <c r="K924">
        <v>3</v>
      </c>
      <c r="L924" s="17" t="s">
        <v>36</v>
      </c>
      <c r="M924">
        <v>66</v>
      </c>
      <c r="N924">
        <v>3</v>
      </c>
      <c r="O924">
        <v>2</v>
      </c>
      <c r="P924" t="s">
        <v>37</v>
      </c>
      <c r="Q924">
        <v>1</v>
      </c>
      <c r="R924" t="s">
        <v>38</v>
      </c>
      <c r="S924" s="6">
        <v>6125</v>
      </c>
      <c r="T924">
        <v>23553</v>
      </c>
      <c r="U924">
        <v>1</v>
      </c>
      <c r="V924" t="s">
        <v>39</v>
      </c>
      <c r="W924" t="s">
        <v>40</v>
      </c>
      <c r="X924">
        <v>12</v>
      </c>
      <c r="Y924">
        <v>3</v>
      </c>
      <c r="Z924">
        <v>4</v>
      </c>
      <c r="AA924">
        <v>80</v>
      </c>
      <c r="AB924">
        <v>0</v>
      </c>
      <c r="AC924">
        <v>10</v>
      </c>
      <c r="AD924">
        <v>6</v>
      </c>
      <c r="AE924">
        <v>4</v>
      </c>
      <c r="AF924">
        <v>10</v>
      </c>
      <c r="AG924">
        <v>8</v>
      </c>
      <c r="AH924">
        <v>9</v>
      </c>
      <c r="AI924">
        <v>6</v>
      </c>
    </row>
    <row r="925" spans="1:35" x14ac:dyDescent="0.3">
      <c r="A925">
        <v>51</v>
      </c>
      <c r="B925" t="s">
        <v>40</v>
      </c>
      <c r="C925" t="s">
        <v>33</v>
      </c>
      <c r="D925">
        <v>1169</v>
      </c>
      <c r="E925" t="s">
        <v>42</v>
      </c>
      <c r="F925">
        <v>7</v>
      </c>
      <c r="G925">
        <v>4</v>
      </c>
      <c r="H925" t="s">
        <v>48</v>
      </c>
      <c r="I925">
        <v>1</v>
      </c>
      <c r="J925">
        <v>211</v>
      </c>
      <c r="K925">
        <v>2</v>
      </c>
      <c r="L925" s="17" t="s">
        <v>43</v>
      </c>
      <c r="M925">
        <v>34</v>
      </c>
      <c r="N925">
        <v>2</v>
      </c>
      <c r="O925">
        <v>2</v>
      </c>
      <c r="P925" t="s">
        <v>50</v>
      </c>
      <c r="Q925">
        <v>3</v>
      </c>
      <c r="R925" t="s">
        <v>45</v>
      </c>
      <c r="S925" s="6">
        <v>6132</v>
      </c>
      <c r="T925">
        <v>13983</v>
      </c>
      <c r="U925">
        <v>2</v>
      </c>
      <c r="V925" t="s">
        <v>39</v>
      </c>
      <c r="W925" t="s">
        <v>40</v>
      </c>
      <c r="X925">
        <v>17</v>
      </c>
      <c r="Y925">
        <v>3</v>
      </c>
      <c r="Z925">
        <v>3</v>
      </c>
      <c r="AA925">
        <v>80</v>
      </c>
      <c r="AB925">
        <v>0</v>
      </c>
      <c r="AC925">
        <v>10</v>
      </c>
      <c r="AD925">
        <v>2</v>
      </c>
      <c r="AE925">
        <v>3</v>
      </c>
      <c r="AF925">
        <v>1</v>
      </c>
      <c r="AG925">
        <v>0</v>
      </c>
      <c r="AH925">
        <v>0</v>
      </c>
      <c r="AI925">
        <v>0</v>
      </c>
    </row>
    <row r="926" spans="1:35" x14ac:dyDescent="0.3">
      <c r="A926">
        <v>36</v>
      </c>
      <c r="B926" t="s">
        <v>32</v>
      </c>
      <c r="C926" t="s">
        <v>33</v>
      </c>
      <c r="D926">
        <v>1456</v>
      </c>
      <c r="E926" t="s">
        <v>34</v>
      </c>
      <c r="F926">
        <v>13</v>
      </c>
      <c r="G926">
        <v>5</v>
      </c>
      <c r="H926" t="s">
        <v>56</v>
      </c>
      <c r="I926">
        <v>1</v>
      </c>
      <c r="J926">
        <v>1733</v>
      </c>
      <c r="K926">
        <v>2</v>
      </c>
      <c r="L926" s="17" t="s">
        <v>43</v>
      </c>
      <c r="M926">
        <v>96</v>
      </c>
      <c r="N926">
        <v>2</v>
      </c>
      <c r="O926">
        <v>2</v>
      </c>
      <c r="P926" t="s">
        <v>37</v>
      </c>
      <c r="Q926">
        <v>1</v>
      </c>
      <c r="R926" t="s">
        <v>49</v>
      </c>
      <c r="S926" s="6">
        <v>6134</v>
      </c>
      <c r="T926">
        <v>8658</v>
      </c>
      <c r="U926">
        <v>5</v>
      </c>
      <c r="V926" t="s">
        <v>39</v>
      </c>
      <c r="W926" t="s">
        <v>32</v>
      </c>
      <c r="X926">
        <v>13</v>
      </c>
      <c r="Y926">
        <v>3</v>
      </c>
      <c r="Z926">
        <v>2</v>
      </c>
      <c r="AA926">
        <v>80</v>
      </c>
      <c r="AB926">
        <v>3</v>
      </c>
      <c r="AC926">
        <v>16</v>
      </c>
      <c r="AD926">
        <v>3</v>
      </c>
      <c r="AE926">
        <v>3</v>
      </c>
      <c r="AF926">
        <v>2</v>
      </c>
      <c r="AG926">
        <v>2</v>
      </c>
      <c r="AH926">
        <v>2</v>
      </c>
      <c r="AI926">
        <v>2</v>
      </c>
    </row>
    <row r="927" spans="1:35" x14ac:dyDescent="0.3">
      <c r="A927">
        <v>34</v>
      </c>
      <c r="B927" t="s">
        <v>40</v>
      </c>
      <c r="C927" t="s">
        <v>33</v>
      </c>
      <c r="D927">
        <v>970</v>
      </c>
      <c r="E927" t="s">
        <v>42</v>
      </c>
      <c r="F927">
        <v>8</v>
      </c>
      <c r="G927">
        <v>2</v>
      </c>
      <c r="H927" t="s">
        <v>48</v>
      </c>
      <c r="I927">
        <v>1</v>
      </c>
      <c r="J927">
        <v>757</v>
      </c>
      <c r="K927">
        <v>2</v>
      </c>
      <c r="L927" s="17" t="s">
        <v>36</v>
      </c>
      <c r="M927">
        <v>96</v>
      </c>
      <c r="N927">
        <v>3</v>
      </c>
      <c r="O927">
        <v>2</v>
      </c>
      <c r="P927" t="s">
        <v>51</v>
      </c>
      <c r="Q927">
        <v>3</v>
      </c>
      <c r="R927" t="s">
        <v>38</v>
      </c>
      <c r="S927" s="6">
        <v>6142</v>
      </c>
      <c r="T927">
        <v>7360</v>
      </c>
      <c r="U927">
        <v>3</v>
      </c>
      <c r="V927" t="s">
        <v>39</v>
      </c>
      <c r="W927" t="s">
        <v>40</v>
      </c>
      <c r="X927">
        <v>11</v>
      </c>
      <c r="Y927">
        <v>3</v>
      </c>
      <c r="Z927">
        <v>4</v>
      </c>
      <c r="AA927">
        <v>80</v>
      </c>
      <c r="AB927">
        <v>0</v>
      </c>
      <c r="AC927">
        <v>10</v>
      </c>
      <c r="AD927">
        <v>2</v>
      </c>
      <c r="AE927">
        <v>3</v>
      </c>
      <c r="AF927">
        <v>5</v>
      </c>
      <c r="AG927">
        <v>1</v>
      </c>
      <c r="AH927">
        <v>4</v>
      </c>
      <c r="AI927">
        <v>3</v>
      </c>
    </row>
    <row r="928" spans="1:35" x14ac:dyDescent="0.3">
      <c r="A928">
        <v>35</v>
      </c>
      <c r="B928" t="s">
        <v>40</v>
      </c>
      <c r="C928" t="s">
        <v>33</v>
      </c>
      <c r="D928">
        <v>670</v>
      </c>
      <c r="E928" t="s">
        <v>42</v>
      </c>
      <c r="F928">
        <v>10</v>
      </c>
      <c r="G928">
        <v>4</v>
      </c>
      <c r="H928" t="s">
        <v>48</v>
      </c>
      <c r="I928">
        <v>1</v>
      </c>
      <c r="J928">
        <v>1587</v>
      </c>
      <c r="K928">
        <v>1</v>
      </c>
      <c r="L928" s="17" t="s">
        <v>36</v>
      </c>
      <c r="M928">
        <v>51</v>
      </c>
      <c r="N928">
        <v>3</v>
      </c>
      <c r="O928">
        <v>2</v>
      </c>
      <c r="P928" t="s">
        <v>51</v>
      </c>
      <c r="Q928">
        <v>3</v>
      </c>
      <c r="R928" t="s">
        <v>38</v>
      </c>
      <c r="S928" s="6">
        <v>6142</v>
      </c>
      <c r="T928">
        <v>4223</v>
      </c>
      <c r="U928">
        <v>3</v>
      </c>
      <c r="V928" t="s">
        <v>39</v>
      </c>
      <c r="W928" t="s">
        <v>32</v>
      </c>
      <c r="X928">
        <v>16</v>
      </c>
      <c r="Y928">
        <v>3</v>
      </c>
      <c r="Z928">
        <v>3</v>
      </c>
      <c r="AA928">
        <v>80</v>
      </c>
      <c r="AB928">
        <v>0</v>
      </c>
      <c r="AC928">
        <v>10</v>
      </c>
      <c r="AD928">
        <v>4</v>
      </c>
      <c r="AE928">
        <v>3</v>
      </c>
      <c r="AF928">
        <v>5</v>
      </c>
      <c r="AG928">
        <v>2</v>
      </c>
      <c r="AH928">
        <v>0</v>
      </c>
      <c r="AI928">
        <v>4</v>
      </c>
    </row>
    <row r="929" spans="1:35" x14ac:dyDescent="0.3">
      <c r="A929">
        <v>27</v>
      </c>
      <c r="B929" t="s">
        <v>40</v>
      </c>
      <c r="C929" t="s">
        <v>33</v>
      </c>
      <c r="D929">
        <v>155</v>
      </c>
      <c r="E929" t="s">
        <v>42</v>
      </c>
      <c r="F929">
        <v>4</v>
      </c>
      <c r="G929">
        <v>3</v>
      </c>
      <c r="H929" t="s">
        <v>35</v>
      </c>
      <c r="I929">
        <v>1</v>
      </c>
      <c r="J929">
        <v>2064</v>
      </c>
      <c r="K929">
        <v>2</v>
      </c>
      <c r="L929" s="17" t="s">
        <v>43</v>
      </c>
      <c r="M929">
        <v>87</v>
      </c>
      <c r="N929">
        <v>4</v>
      </c>
      <c r="O929">
        <v>2</v>
      </c>
      <c r="P929" t="s">
        <v>50</v>
      </c>
      <c r="Q929">
        <v>2</v>
      </c>
      <c r="R929" t="s">
        <v>45</v>
      </c>
      <c r="S929" s="6">
        <v>6142</v>
      </c>
      <c r="T929">
        <v>5174</v>
      </c>
      <c r="U929">
        <v>1</v>
      </c>
      <c r="V929" t="s">
        <v>39</v>
      </c>
      <c r="W929" t="s">
        <v>32</v>
      </c>
      <c r="X929">
        <v>20</v>
      </c>
      <c r="Y929">
        <v>4</v>
      </c>
      <c r="Z929">
        <v>2</v>
      </c>
      <c r="AA929">
        <v>80</v>
      </c>
      <c r="AB929">
        <v>1</v>
      </c>
      <c r="AC929">
        <v>6</v>
      </c>
      <c r="AD929">
        <v>0</v>
      </c>
      <c r="AE929">
        <v>3</v>
      </c>
      <c r="AF929">
        <v>6</v>
      </c>
      <c r="AG929">
        <v>2</v>
      </c>
      <c r="AH929">
        <v>0</v>
      </c>
      <c r="AI929">
        <v>3</v>
      </c>
    </row>
    <row r="930" spans="1:35" x14ac:dyDescent="0.3">
      <c r="A930">
        <v>33</v>
      </c>
      <c r="B930" t="s">
        <v>40</v>
      </c>
      <c r="C930" t="s">
        <v>52</v>
      </c>
      <c r="D930">
        <v>750</v>
      </c>
      <c r="E930" t="s">
        <v>34</v>
      </c>
      <c r="F930">
        <v>22</v>
      </c>
      <c r="G930">
        <v>2</v>
      </c>
      <c r="H930" t="s">
        <v>56</v>
      </c>
      <c r="I930">
        <v>1</v>
      </c>
      <c r="J930">
        <v>160</v>
      </c>
      <c r="K930">
        <v>3</v>
      </c>
      <c r="L930" s="17" t="s">
        <v>43</v>
      </c>
      <c r="M930">
        <v>95</v>
      </c>
      <c r="N930">
        <v>3</v>
      </c>
      <c r="O930">
        <v>2</v>
      </c>
      <c r="P930" t="s">
        <v>37</v>
      </c>
      <c r="Q930">
        <v>2</v>
      </c>
      <c r="R930" t="s">
        <v>45</v>
      </c>
      <c r="S930" s="6">
        <v>6146</v>
      </c>
      <c r="T930">
        <v>15480</v>
      </c>
      <c r="U930">
        <v>0</v>
      </c>
      <c r="V930" t="s">
        <v>39</v>
      </c>
      <c r="W930" t="s">
        <v>40</v>
      </c>
      <c r="X930">
        <v>13</v>
      </c>
      <c r="Y930">
        <v>3</v>
      </c>
      <c r="Z930">
        <v>1</v>
      </c>
      <c r="AA930">
        <v>80</v>
      </c>
      <c r="AB930">
        <v>1</v>
      </c>
      <c r="AC930">
        <v>8</v>
      </c>
      <c r="AD930">
        <v>2</v>
      </c>
      <c r="AE930">
        <v>4</v>
      </c>
      <c r="AF930">
        <v>7</v>
      </c>
      <c r="AG930">
        <v>7</v>
      </c>
      <c r="AH930">
        <v>0</v>
      </c>
      <c r="AI930">
        <v>7</v>
      </c>
    </row>
    <row r="931" spans="1:35" x14ac:dyDescent="0.3">
      <c r="A931">
        <v>41</v>
      </c>
      <c r="B931" t="s">
        <v>40</v>
      </c>
      <c r="C931" t="s">
        <v>52</v>
      </c>
      <c r="D931">
        <v>256</v>
      </c>
      <c r="E931" t="s">
        <v>34</v>
      </c>
      <c r="F931">
        <v>10</v>
      </c>
      <c r="G931">
        <v>2</v>
      </c>
      <c r="H931" t="s">
        <v>48</v>
      </c>
      <c r="I931">
        <v>1</v>
      </c>
      <c r="J931">
        <v>1329</v>
      </c>
      <c r="K931">
        <v>3</v>
      </c>
      <c r="L931" s="17" t="s">
        <v>43</v>
      </c>
      <c r="M931">
        <v>40</v>
      </c>
      <c r="N931">
        <v>1</v>
      </c>
      <c r="O931">
        <v>2</v>
      </c>
      <c r="P931" t="s">
        <v>37</v>
      </c>
      <c r="Q931">
        <v>2</v>
      </c>
      <c r="R931" t="s">
        <v>38</v>
      </c>
      <c r="S931" s="6">
        <v>6151</v>
      </c>
      <c r="T931">
        <v>22074</v>
      </c>
      <c r="U931">
        <v>1</v>
      </c>
      <c r="V931" t="s">
        <v>39</v>
      </c>
      <c r="W931" t="s">
        <v>40</v>
      </c>
      <c r="X931">
        <v>13</v>
      </c>
      <c r="Y931">
        <v>3</v>
      </c>
      <c r="Z931">
        <v>1</v>
      </c>
      <c r="AA931">
        <v>80</v>
      </c>
      <c r="AB931">
        <v>0</v>
      </c>
      <c r="AC931">
        <v>19</v>
      </c>
      <c r="AD931">
        <v>4</v>
      </c>
      <c r="AE931">
        <v>3</v>
      </c>
      <c r="AF931">
        <v>19</v>
      </c>
      <c r="AG931">
        <v>2</v>
      </c>
      <c r="AH931">
        <v>11</v>
      </c>
      <c r="AI931">
        <v>9</v>
      </c>
    </row>
    <row r="932" spans="1:35" x14ac:dyDescent="0.3">
      <c r="A932">
        <v>32</v>
      </c>
      <c r="B932" t="s">
        <v>40</v>
      </c>
      <c r="C932" t="s">
        <v>33</v>
      </c>
      <c r="D932">
        <v>427</v>
      </c>
      <c r="E932" t="s">
        <v>42</v>
      </c>
      <c r="F932">
        <v>1</v>
      </c>
      <c r="G932">
        <v>3</v>
      </c>
      <c r="H932" t="s">
        <v>48</v>
      </c>
      <c r="I932">
        <v>1</v>
      </c>
      <c r="J932">
        <v>78</v>
      </c>
      <c r="K932">
        <v>1</v>
      </c>
      <c r="L932" s="17" t="s">
        <v>43</v>
      </c>
      <c r="M932">
        <v>33</v>
      </c>
      <c r="N932">
        <v>3</v>
      </c>
      <c r="O932">
        <v>2</v>
      </c>
      <c r="P932" t="s">
        <v>50</v>
      </c>
      <c r="Q932">
        <v>4</v>
      </c>
      <c r="R932" t="s">
        <v>45</v>
      </c>
      <c r="S932" s="6">
        <v>6162</v>
      </c>
      <c r="T932">
        <v>10877</v>
      </c>
      <c r="U932">
        <v>1</v>
      </c>
      <c r="V932" t="s">
        <v>39</v>
      </c>
      <c r="W932" t="s">
        <v>32</v>
      </c>
      <c r="X932">
        <v>22</v>
      </c>
      <c r="Y932">
        <v>4</v>
      </c>
      <c r="Z932">
        <v>2</v>
      </c>
      <c r="AA932">
        <v>80</v>
      </c>
      <c r="AB932">
        <v>1</v>
      </c>
      <c r="AC932">
        <v>9</v>
      </c>
      <c r="AD932">
        <v>3</v>
      </c>
      <c r="AE932">
        <v>3</v>
      </c>
      <c r="AF932">
        <v>9</v>
      </c>
      <c r="AG932">
        <v>8</v>
      </c>
      <c r="AH932">
        <v>7</v>
      </c>
      <c r="AI932">
        <v>8</v>
      </c>
    </row>
    <row r="933" spans="1:35" x14ac:dyDescent="0.3">
      <c r="A933">
        <v>32</v>
      </c>
      <c r="B933" t="s">
        <v>40</v>
      </c>
      <c r="C933" t="s">
        <v>33</v>
      </c>
      <c r="D933">
        <v>859</v>
      </c>
      <c r="E933" t="s">
        <v>42</v>
      </c>
      <c r="F933">
        <v>4</v>
      </c>
      <c r="G933">
        <v>3</v>
      </c>
      <c r="H933" t="s">
        <v>35</v>
      </c>
      <c r="I933">
        <v>1</v>
      </c>
      <c r="J933">
        <v>830</v>
      </c>
      <c r="K933">
        <v>3</v>
      </c>
      <c r="L933" s="17" t="s">
        <v>36</v>
      </c>
      <c r="M933">
        <v>98</v>
      </c>
      <c r="N933">
        <v>2</v>
      </c>
      <c r="O933">
        <v>2</v>
      </c>
      <c r="P933" t="s">
        <v>50</v>
      </c>
      <c r="Q933">
        <v>3</v>
      </c>
      <c r="R933" t="s">
        <v>45</v>
      </c>
      <c r="S933" s="6">
        <v>6162</v>
      </c>
      <c r="T933">
        <v>19124</v>
      </c>
      <c r="U933">
        <v>1</v>
      </c>
      <c r="V933" t="s">
        <v>39</v>
      </c>
      <c r="W933" t="s">
        <v>40</v>
      </c>
      <c r="X933">
        <v>12</v>
      </c>
      <c r="Y933">
        <v>3</v>
      </c>
      <c r="Z933">
        <v>3</v>
      </c>
      <c r="AA933">
        <v>80</v>
      </c>
      <c r="AB933">
        <v>1</v>
      </c>
      <c r="AC933">
        <v>14</v>
      </c>
      <c r="AD933">
        <v>3</v>
      </c>
      <c r="AE933">
        <v>3</v>
      </c>
      <c r="AF933">
        <v>14</v>
      </c>
      <c r="AG933">
        <v>13</v>
      </c>
      <c r="AH933">
        <v>6</v>
      </c>
      <c r="AI933">
        <v>8</v>
      </c>
    </row>
    <row r="934" spans="1:35" x14ac:dyDescent="0.3">
      <c r="A934">
        <v>31</v>
      </c>
      <c r="B934" t="s">
        <v>32</v>
      </c>
      <c r="C934" t="s">
        <v>33</v>
      </c>
      <c r="D934">
        <v>249</v>
      </c>
      <c r="E934" t="s">
        <v>34</v>
      </c>
      <c r="F934">
        <v>6</v>
      </c>
      <c r="G934">
        <v>4</v>
      </c>
      <c r="H934" t="s">
        <v>35</v>
      </c>
      <c r="I934">
        <v>1</v>
      </c>
      <c r="J934">
        <v>163</v>
      </c>
      <c r="K934">
        <v>2</v>
      </c>
      <c r="L934" s="17" t="s">
        <v>43</v>
      </c>
      <c r="M934">
        <v>76</v>
      </c>
      <c r="N934">
        <v>1</v>
      </c>
      <c r="O934">
        <v>2</v>
      </c>
      <c r="P934" t="s">
        <v>37</v>
      </c>
      <c r="Q934">
        <v>3</v>
      </c>
      <c r="R934" t="s">
        <v>45</v>
      </c>
      <c r="S934" s="6">
        <v>6172</v>
      </c>
      <c r="T934">
        <v>20739</v>
      </c>
      <c r="U934">
        <v>4</v>
      </c>
      <c r="V934" t="s">
        <v>39</v>
      </c>
      <c r="W934" t="s">
        <v>32</v>
      </c>
      <c r="X934">
        <v>18</v>
      </c>
      <c r="Y934">
        <v>3</v>
      </c>
      <c r="Z934">
        <v>2</v>
      </c>
      <c r="AA934">
        <v>80</v>
      </c>
      <c r="AB934">
        <v>0</v>
      </c>
      <c r="AC934">
        <v>12</v>
      </c>
      <c r="AD934">
        <v>3</v>
      </c>
      <c r="AE934">
        <v>2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31</v>
      </c>
      <c r="B935" t="s">
        <v>32</v>
      </c>
      <c r="C935" t="s">
        <v>33</v>
      </c>
      <c r="D935">
        <v>330</v>
      </c>
      <c r="E935" t="s">
        <v>42</v>
      </c>
      <c r="F935">
        <v>22</v>
      </c>
      <c r="G935">
        <v>4</v>
      </c>
      <c r="H935" t="s">
        <v>48</v>
      </c>
      <c r="I935">
        <v>1</v>
      </c>
      <c r="J935">
        <v>1389</v>
      </c>
      <c r="K935">
        <v>4</v>
      </c>
      <c r="L935" s="17" t="s">
        <v>43</v>
      </c>
      <c r="M935">
        <v>98</v>
      </c>
      <c r="N935">
        <v>3</v>
      </c>
      <c r="O935">
        <v>2</v>
      </c>
      <c r="P935" t="s">
        <v>50</v>
      </c>
      <c r="Q935">
        <v>3</v>
      </c>
      <c r="R935" t="s">
        <v>45</v>
      </c>
      <c r="S935" s="6">
        <v>6179</v>
      </c>
      <c r="T935">
        <v>21057</v>
      </c>
      <c r="U935">
        <v>1</v>
      </c>
      <c r="V935" t="s">
        <v>39</v>
      </c>
      <c r="W935" t="s">
        <v>32</v>
      </c>
      <c r="X935">
        <v>15</v>
      </c>
      <c r="Y935">
        <v>3</v>
      </c>
      <c r="Z935">
        <v>4</v>
      </c>
      <c r="AA935">
        <v>80</v>
      </c>
      <c r="AB935">
        <v>2</v>
      </c>
      <c r="AC935">
        <v>10</v>
      </c>
      <c r="AD935">
        <v>3</v>
      </c>
      <c r="AE935">
        <v>2</v>
      </c>
      <c r="AF935">
        <v>10</v>
      </c>
      <c r="AG935">
        <v>2</v>
      </c>
      <c r="AH935">
        <v>6</v>
      </c>
      <c r="AI935">
        <v>7</v>
      </c>
    </row>
    <row r="936" spans="1:35" x14ac:dyDescent="0.3">
      <c r="A936">
        <v>25</v>
      </c>
      <c r="B936" t="s">
        <v>40</v>
      </c>
      <c r="C936" t="s">
        <v>33</v>
      </c>
      <c r="D936">
        <v>883</v>
      </c>
      <c r="E936" t="s">
        <v>34</v>
      </c>
      <c r="F936">
        <v>26</v>
      </c>
      <c r="G936">
        <v>1</v>
      </c>
      <c r="H936" t="s">
        <v>48</v>
      </c>
      <c r="I936">
        <v>1</v>
      </c>
      <c r="J936">
        <v>781</v>
      </c>
      <c r="K936">
        <v>3</v>
      </c>
      <c r="L936" s="17" t="s">
        <v>36</v>
      </c>
      <c r="M936">
        <v>32</v>
      </c>
      <c r="N936">
        <v>3</v>
      </c>
      <c r="O936">
        <v>2</v>
      </c>
      <c r="P936" t="s">
        <v>37</v>
      </c>
      <c r="Q936">
        <v>4</v>
      </c>
      <c r="R936" t="s">
        <v>38</v>
      </c>
      <c r="S936" s="6">
        <v>6180</v>
      </c>
      <c r="T936">
        <v>22807</v>
      </c>
      <c r="U936">
        <v>1</v>
      </c>
      <c r="V936" t="s">
        <v>39</v>
      </c>
      <c r="W936" t="s">
        <v>40</v>
      </c>
      <c r="X936">
        <v>23</v>
      </c>
      <c r="Y936">
        <v>4</v>
      </c>
      <c r="Z936">
        <v>2</v>
      </c>
      <c r="AA936">
        <v>80</v>
      </c>
      <c r="AB936">
        <v>0</v>
      </c>
      <c r="AC936">
        <v>6</v>
      </c>
      <c r="AD936">
        <v>5</v>
      </c>
      <c r="AE936">
        <v>2</v>
      </c>
      <c r="AF936">
        <v>6</v>
      </c>
      <c r="AG936">
        <v>5</v>
      </c>
      <c r="AH936">
        <v>1</v>
      </c>
      <c r="AI936">
        <v>4</v>
      </c>
    </row>
    <row r="937" spans="1:35" x14ac:dyDescent="0.3">
      <c r="A937">
        <v>36</v>
      </c>
      <c r="B937" t="s">
        <v>40</v>
      </c>
      <c r="C937" t="s">
        <v>33</v>
      </c>
      <c r="D937">
        <v>928</v>
      </c>
      <c r="E937" t="s">
        <v>34</v>
      </c>
      <c r="F937">
        <v>1</v>
      </c>
      <c r="G937">
        <v>2</v>
      </c>
      <c r="H937" t="s">
        <v>35</v>
      </c>
      <c r="I937">
        <v>1</v>
      </c>
      <c r="J937">
        <v>857</v>
      </c>
      <c r="K937">
        <v>2</v>
      </c>
      <c r="L937" s="17" t="s">
        <v>43</v>
      </c>
      <c r="M937">
        <v>56</v>
      </c>
      <c r="N937">
        <v>3</v>
      </c>
      <c r="O937">
        <v>2</v>
      </c>
      <c r="P937" t="s">
        <v>37</v>
      </c>
      <c r="Q937">
        <v>4</v>
      </c>
      <c r="R937" t="s">
        <v>45</v>
      </c>
      <c r="S937" s="6">
        <v>6201</v>
      </c>
      <c r="T937">
        <v>2823</v>
      </c>
      <c r="U937">
        <v>1</v>
      </c>
      <c r="V937" t="s">
        <v>39</v>
      </c>
      <c r="W937" t="s">
        <v>32</v>
      </c>
      <c r="X937">
        <v>14</v>
      </c>
      <c r="Y937">
        <v>3</v>
      </c>
      <c r="Z937">
        <v>4</v>
      </c>
      <c r="AA937">
        <v>80</v>
      </c>
      <c r="AB937">
        <v>1</v>
      </c>
      <c r="AC937">
        <v>18</v>
      </c>
      <c r="AD937">
        <v>1</v>
      </c>
      <c r="AE937">
        <v>2</v>
      </c>
      <c r="AF937">
        <v>18</v>
      </c>
      <c r="AG937">
        <v>14</v>
      </c>
      <c r="AH937">
        <v>4</v>
      </c>
      <c r="AI937">
        <v>11</v>
      </c>
    </row>
    <row r="938" spans="1:35" x14ac:dyDescent="0.3">
      <c r="A938">
        <v>32</v>
      </c>
      <c r="B938" t="s">
        <v>40</v>
      </c>
      <c r="C938" t="s">
        <v>33</v>
      </c>
      <c r="D938">
        <v>604</v>
      </c>
      <c r="E938" t="s">
        <v>34</v>
      </c>
      <c r="F938">
        <v>8</v>
      </c>
      <c r="G938">
        <v>3</v>
      </c>
      <c r="H938" t="s">
        <v>48</v>
      </c>
      <c r="I938">
        <v>1</v>
      </c>
      <c r="J938">
        <v>1304</v>
      </c>
      <c r="K938">
        <v>3</v>
      </c>
      <c r="L938" s="17" t="s">
        <v>43</v>
      </c>
      <c r="M938">
        <v>56</v>
      </c>
      <c r="N938">
        <v>4</v>
      </c>
      <c r="O938">
        <v>2</v>
      </c>
      <c r="P938" t="s">
        <v>37</v>
      </c>
      <c r="Q938">
        <v>4</v>
      </c>
      <c r="R938" t="s">
        <v>45</v>
      </c>
      <c r="S938" s="6">
        <v>6209</v>
      </c>
      <c r="T938">
        <v>11693</v>
      </c>
      <c r="U938">
        <v>1</v>
      </c>
      <c r="V938" t="s">
        <v>39</v>
      </c>
      <c r="W938" t="s">
        <v>40</v>
      </c>
      <c r="X938">
        <v>15</v>
      </c>
      <c r="Y938">
        <v>3</v>
      </c>
      <c r="Z938">
        <v>3</v>
      </c>
      <c r="AA938">
        <v>80</v>
      </c>
      <c r="AB938">
        <v>2</v>
      </c>
      <c r="AC938">
        <v>10</v>
      </c>
      <c r="AD938">
        <v>4</v>
      </c>
      <c r="AE938">
        <v>4</v>
      </c>
      <c r="AF938">
        <v>10</v>
      </c>
      <c r="AG938">
        <v>7</v>
      </c>
      <c r="AH938">
        <v>0</v>
      </c>
      <c r="AI938">
        <v>8</v>
      </c>
    </row>
    <row r="939" spans="1:35" x14ac:dyDescent="0.3">
      <c r="A939">
        <v>27</v>
      </c>
      <c r="B939" t="s">
        <v>40</v>
      </c>
      <c r="C939" t="s">
        <v>33</v>
      </c>
      <c r="D939">
        <v>1130</v>
      </c>
      <c r="E939" t="s">
        <v>34</v>
      </c>
      <c r="F939">
        <v>8</v>
      </c>
      <c r="G939">
        <v>4</v>
      </c>
      <c r="H939" t="s">
        <v>56</v>
      </c>
      <c r="I939">
        <v>1</v>
      </c>
      <c r="J939">
        <v>458</v>
      </c>
      <c r="K939">
        <v>2</v>
      </c>
      <c r="L939" s="17" t="s">
        <v>36</v>
      </c>
      <c r="M939">
        <v>56</v>
      </c>
      <c r="N939">
        <v>3</v>
      </c>
      <c r="O939">
        <v>2</v>
      </c>
      <c r="P939" t="s">
        <v>37</v>
      </c>
      <c r="Q939">
        <v>2</v>
      </c>
      <c r="R939" t="s">
        <v>45</v>
      </c>
      <c r="S939" s="6">
        <v>6214</v>
      </c>
      <c r="T939">
        <v>3415</v>
      </c>
      <c r="U939">
        <v>1</v>
      </c>
      <c r="V939" t="s">
        <v>39</v>
      </c>
      <c r="W939" t="s">
        <v>40</v>
      </c>
      <c r="X939">
        <v>18</v>
      </c>
      <c r="Y939">
        <v>3</v>
      </c>
      <c r="Z939">
        <v>1</v>
      </c>
      <c r="AA939">
        <v>80</v>
      </c>
      <c r="AB939">
        <v>1</v>
      </c>
      <c r="AC939">
        <v>8</v>
      </c>
      <c r="AD939">
        <v>3</v>
      </c>
      <c r="AE939">
        <v>3</v>
      </c>
      <c r="AF939">
        <v>8</v>
      </c>
      <c r="AG939">
        <v>7</v>
      </c>
      <c r="AH939">
        <v>0</v>
      </c>
      <c r="AI939">
        <v>7</v>
      </c>
    </row>
    <row r="940" spans="1:35" x14ac:dyDescent="0.3">
      <c r="A940">
        <v>32</v>
      </c>
      <c r="B940" t="s">
        <v>40</v>
      </c>
      <c r="C940" t="s">
        <v>33</v>
      </c>
      <c r="D940">
        <v>548</v>
      </c>
      <c r="E940" t="s">
        <v>42</v>
      </c>
      <c r="F940">
        <v>1</v>
      </c>
      <c r="G940">
        <v>3</v>
      </c>
      <c r="H940" t="s">
        <v>35</v>
      </c>
      <c r="I940">
        <v>1</v>
      </c>
      <c r="J940">
        <v>96</v>
      </c>
      <c r="K940">
        <v>2</v>
      </c>
      <c r="L940" s="17" t="s">
        <v>43</v>
      </c>
      <c r="M940">
        <v>66</v>
      </c>
      <c r="N940">
        <v>3</v>
      </c>
      <c r="O940">
        <v>2</v>
      </c>
      <c r="P940" t="s">
        <v>44</v>
      </c>
      <c r="Q940">
        <v>2</v>
      </c>
      <c r="R940" t="s">
        <v>45</v>
      </c>
      <c r="S940" s="6">
        <v>6220</v>
      </c>
      <c r="T940">
        <v>7346</v>
      </c>
      <c r="U940">
        <v>1</v>
      </c>
      <c r="V940" t="s">
        <v>39</v>
      </c>
      <c r="W940" t="s">
        <v>40</v>
      </c>
      <c r="X940">
        <v>17</v>
      </c>
      <c r="Y940">
        <v>3</v>
      </c>
      <c r="Z940">
        <v>2</v>
      </c>
      <c r="AA940">
        <v>80</v>
      </c>
      <c r="AB940">
        <v>2</v>
      </c>
      <c r="AC940">
        <v>10</v>
      </c>
      <c r="AD940">
        <v>3</v>
      </c>
      <c r="AE940">
        <v>3</v>
      </c>
      <c r="AF940">
        <v>10</v>
      </c>
      <c r="AG940">
        <v>4</v>
      </c>
      <c r="AH940">
        <v>0</v>
      </c>
      <c r="AI940">
        <v>9</v>
      </c>
    </row>
    <row r="941" spans="1:35" x14ac:dyDescent="0.3">
      <c r="A941">
        <v>41</v>
      </c>
      <c r="B941" t="s">
        <v>40</v>
      </c>
      <c r="C941" t="s">
        <v>52</v>
      </c>
      <c r="D941">
        <v>267</v>
      </c>
      <c r="E941" t="s">
        <v>34</v>
      </c>
      <c r="F941">
        <v>10</v>
      </c>
      <c r="G941">
        <v>2</v>
      </c>
      <c r="H941" t="s">
        <v>35</v>
      </c>
      <c r="I941">
        <v>1</v>
      </c>
      <c r="J941">
        <v>599</v>
      </c>
      <c r="K941">
        <v>4</v>
      </c>
      <c r="L941" s="17" t="s">
        <v>43</v>
      </c>
      <c r="M941">
        <v>56</v>
      </c>
      <c r="N941">
        <v>3</v>
      </c>
      <c r="O941">
        <v>2</v>
      </c>
      <c r="P941" t="s">
        <v>37</v>
      </c>
      <c r="Q941">
        <v>4</v>
      </c>
      <c r="R941" t="s">
        <v>38</v>
      </c>
      <c r="S941" s="6">
        <v>6230</v>
      </c>
      <c r="T941">
        <v>13430</v>
      </c>
      <c r="U941">
        <v>7</v>
      </c>
      <c r="V941" t="s">
        <v>39</v>
      </c>
      <c r="W941" t="s">
        <v>40</v>
      </c>
      <c r="X941">
        <v>14</v>
      </c>
      <c r="Y941">
        <v>3</v>
      </c>
      <c r="Z941">
        <v>4</v>
      </c>
      <c r="AA941">
        <v>80</v>
      </c>
      <c r="AB941">
        <v>0</v>
      </c>
      <c r="AC941">
        <v>16</v>
      </c>
      <c r="AD941">
        <v>3</v>
      </c>
      <c r="AE941">
        <v>3</v>
      </c>
      <c r="AF941">
        <v>14</v>
      </c>
      <c r="AG941">
        <v>3</v>
      </c>
      <c r="AH941">
        <v>1</v>
      </c>
      <c r="AI941">
        <v>10</v>
      </c>
    </row>
    <row r="942" spans="1:35" x14ac:dyDescent="0.3">
      <c r="A942">
        <v>25</v>
      </c>
      <c r="B942" t="s">
        <v>40</v>
      </c>
      <c r="C942" t="s">
        <v>33</v>
      </c>
      <c r="D942">
        <v>1372</v>
      </c>
      <c r="E942" t="s">
        <v>34</v>
      </c>
      <c r="F942">
        <v>18</v>
      </c>
      <c r="G942">
        <v>1</v>
      </c>
      <c r="H942" t="s">
        <v>35</v>
      </c>
      <c r="I942">
        <v>1</v>
      </c>
      <c r="J942">
        <v>1399</v>
      </c>
      <c r="K942">
        <v>1</v>
      </c>
      <c r="L942" s="17" t="s">
        <v>43</v>
      </c>
      <c r="M942">
        <v>93</v>
      </c>
      <c r="N942">
        <v>4</v>
      </c>
      <c r="O942">
        <v>2</v>
      </c>
      <c r="P942" t="s">
        <v>37</v>
      </c>
      <c r="Q942">
        <v>3</v>
      </c>
      <c r="R942" t="s">
        <v>45</v>
      </c>
      <c r="S942" s="6">
        <v>6232</v>
      </c>
      <c r="T942">
        <v>12477</v>
      </c>
      <c r="U942">
        <v>2</v>
      </c>
      <c r="V942" t="s">
        <v>39</v>
      </c>
      <c r="W942" t="s">
        <v>40</v>
      </c>
      <c r="X942">
        <v>11</v>
      </c>
      <c r="Y942">
        <v>3</v>
      </c>
      <c r="Z942">
        <v>2</v>
      </c>
      <c r="AA942">
        <v>80</v>
      </c>
      <c r="AB942">
        <v>0</v>
      </c>
      <c r="AC942">
        <v>6</v>
      </c>
      <c r="AD942">
        <v>3</v>
      </c>
      <c r="AE942">
        <v>2</v>
      </c>
      <c r="AF942">
        <v>3</v>
      </c>
      <c r="AG942">
        <v>2</v>
      </c>
      <c r="AH942">
        <v>1</v>
      </c>
      <c r="AI942">
        <v>2</v>
      </c>
    </row>
    <row r="943" spans="1:35" x14ac:dyDescent="0.3">
      <c r="A943">
        <v>42</v>
      </c>
      <c r="B943" t="s">
        <v>40</v>
      </c>
      <c r="C943" t="s">
        <v>33</v>
      </c>
      <c r="D943">
        <v>462</v>
      </c>
      <c r="E943" t="s">
        <v>34</v>
      </c>
      <c r="F943">
        <v>14</v>
      </c>
      <c r="G943">
        <v>2</v>
      </c>
      <c r="H943" t="s">
        <v>48</v>
      </c>
      <c r="I943">
        <v>1</v>
      </c>
      <c r="J943">
        <v>936</v>
      </c>
      <c r="K943">
        <v>3</v>
      </c>
      <c r="L943" s="17" t="s">
        <v>36</v>
      </c>
      <c r="M943">
        <v>68</v>
      </c>
      <c r="N943">
        <v>2</v>
      </c>
      <c r="O943">
        <v>2</v>
      </c>
      <c r="P943" t="s">
        <v>37</v>
      </c>
      <c r="Q943">
        <v>3</v>
      </c>
      <c r="R943" t="s">
        <v>38</v>
      </c>
      <c r="S943" s="6">
        <v>6244</v>
      </c>
      <c r="T943">
        <v>7824</v>
      </c>
      <c r="U943">
        <v>7</v>
      </c>
      <c r="V943" t="s">
        <v>39</v>
      </c>
      <c r="W943" t="s">
        <v>40</v>
      </c>
      <c r="X943">
        <v>17</v>
      </c>
      <c r="Y943">
        <v>3</v>
      </c>
      <c r="Z943">
        <v>1</v>
      </c>
      <c r="AA943">
        <v>80</v>
      </c>
      <c r="AB943">
        <v>0</v>
      </c>
      <c r="AC943">
        <v>10</v>
      </c>
      <c r="AD943">
        <v>6</v>
      </c>
      <c r="AE943">
        <v>3</v>
      </c>
      <c r="AF943">
        <v>5</v>
      </c>
      <c r="AG943">
        <v>4</v>
      </c>
      <c r="AH943">
        <v>0</v>
      </c>
      <c r="AI943">
        <v>3</v>
      </c>
    </row>
    <row r="944" spans="1:35" x14ac:dyDescent="0.3">
      <c r="A944">
        <v>38</v>
      </c>
      <c r="B944" t="s">
        <v>40</v>
      </c>
      <c r="C944" t="s">
        <v>33</v>
      </c>
      <c r="D944">
        <v>1084</v>
      </c>
      <c r="E944" t="s">
        <v>42</v>
      </c>
      <c r="F944">
        <v>29</v>
      </c>
      <c r="G944">
        <v>3</v>
      </c>
      <c r="H944" t="s">
        <v>57</v>
      </c>
      <c r="I944">
        <v>1</v>
      </c>
      <c r="J944">
        <v>273</v>
      </c>
      <c r="K944">
        <v>4</v>
      </c>
      <c r="L944" s="17" t="s">
        <v>43</v>
      </c>
      <c r="M944">
        <v>54</v>
      </c>
      <c r="N944">
        <v>3</v>
      </c>
      <c r="O944">
        <v>2</v>
      </c>
      <c r="P944" t="s">
        <v>50</v>
      </c>
      <c r="Q944">
        <v>4</v>
      </c>
      <c r="R944" t="s">
        <v>45</v>
      </c>
      <c r="S944" s="6">
        <v>6261</v>
      </c>
      <c r="T944">
        <v>4185</v>
      </c>
      <c r="U944">
        <v>3</v>
      </c>
      <c r="V944" t="s">
        <v>39</v>
      </c>
      <c r="W944" t="s">
        <v>40</v>
      </c>
      <c r="X944">
        <v>18</v>
      </c>
      <c r="Y944">
        <v>3</v>
      </c>
      <c r="Z944">
        <v>1</v>
      </c>
      <c r="AA944">
        <v>80</v>
      </c>
      <c r="AB944">
        <v>1</v>
      </c>
      <c r="AC944">
        <v>9</v>
      </c>
      <c r="AD944">
        <v>3</v>
      </c>
      <c r="AE944">
        <v>1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26</v>
      </c>
      <c r="B945" t="s">
        <v>40</v>
      </c>
      <c r="C945" t="s">
        <v>33</v>
      </c>
      <c r="D945">
        <v>703</v>
      </c>
      <c r="E945" t="s">
        <v>34</v>
      </c>
      <c r="F945">
        <v>28</v>
      </c>
      <c r="G945">
        <v>2</v>
      </c>
      <c r="H945" t="s">
        <v>56</v>
      </c>
      <c r="I945">
        <v>1</v>
      </c>
      <c r="J945">
        <v>641</v>
      </c>
      <c r="K945">
        <v>1</v>
      </c>
      <c r="L945" s="17" t="s">
        <v>43</v>
      </c>
      <c r="M945">
        <v>66</v>
      </c>
      <c r="N945">
        <v>3</v>
      </c>
      <c r="O945">
        <v>2</v>
      </c>
      <c r="P945" t="s">
        <v>37</v>
      </c>
      <c r="Q945">
        <v>2</v>
      </c>
      <c r="R945" t="s">
        <v>45</v>
      </c>
      <c r="S945" s="6">
        <v>6272</v>
      </c>
      <c r="T945">
        <v>7428</v>
      </c>
      <c r="U945">
        <v>1</v>
      </c>
      <c r="V945" t="s">
        <v>39</v>
      </c>
      <c r="W945" t="s">
        <v>40</v>
      </c>
      <c r="X945">
        <v>20</v>
      </c>
      <c r="Y945">
        <v>4</v>
      </c>
      <c r="Z945">
        <v>4</v>
      </c>
      <c r="AA945">
        <v>80</v>
      </c>
      <c r="AB945">
        <v>2</v>
      </c>
      <c r="AC945">
        <v>6</v>
      </c>
      <c r="AD945">
        <v>5</v>
      </c>
      <c r="AE945">
        <v>4</v>
      </c>
      <c r="AF945">
        <v>5</v>
      </c>
      <c r="AG945">
        <v>3</v>
      </c>
      <c r="AH945">
        <v>1</v>
      </c>
      <c r="AI945">
        <v>4</v>
      </c>
    </row>
    <row r="946" spans="1:35" x14ac:dyDescent="0.3">
      <c r="A946">
        <v>42</v>
      </c>
      <c r="B946" t="s">
        <v>40</v>
      </c>
      <c r="C946" t="s">
        <v>52</v>
      </c>
      <c r="D946">
        <v>179</v>
      </c>
      <c r="E946" t="s">
        <v>58</v>
      </c>
      <c r="F946">
        <v>2</v>
      </c>
      <c r="G946">
        <v>5</v>
      </c>
      <c r="H946" t="s">
        <v>48</v>
      </c>
      <c r="I946">
        <v>1</v>
      </c>
      <c r="J946">
        <v>1231</v>
      </c>
      <c r="K946">
        <v>4</v>
      </c>
      <c r="L946" s="17" t="s">
        <v>43</v>
      </c>
      <c r="M946">
        <v>79</v>
      </c>
      <c r="N946">
        <v>4</v>
      </c>
      <c r="O946">
        <v>2</v>
      </c>
      <c r="P946" t="s">
        <v>58</v>
      </c>
      <c r="Q946">
        <v>1</v>
      </c>
      <c r="R946" t="s">
        <v>45</v>
      </c>
      <c r="S946" s="6">
        <v>6272</v>
      </c>
      <c r="T946">
        <v>12858</v>
      </c>
      <c r="U946">
        <v>7</v>
      </c>
      <c r="V946" t="s">
        <v>39</v>
      </c>
      <c r="W946" t="s">
        <v>40</v>
      </c>
      <c r="X946">
        <v>16</v>
      </c>
      <c r="Y946">
        <v>3</v>
      </c>
      <c r="Z946">
        <v>1</v>
      </c>
      <c r="AA946">
        <v>80</v>
      </c>
      <c r="AB946">
        <v>1</v>
      </c>
      <c r="AC946">
        <v>10</v>
      </c>
      <c r="AD946">
        <v>3</v>
      </c>
      <c r="AE946">
        <v>4</v>
      </c>
      <c r="AF946">
        <v>4</v>
      </c>
      <c r="AG946">
        <v>3</v>
      </c>
      <c r="AH946">
        <v>0</v>
      </c>
      <c r="AI946">
        <v>3</v>
      </c>
    </row>
    <row r="947" spans="1:35" x14ac:dyDescent="0.3">
      <c r="A947">
        <v>34</v>
      </c>
      <c r="B947" t="s">
        <v>40</v>
      </c>
      <c r="C947" t="s">
        <v>33</v>
      </c>
      <c r="D947">
        <v>304</v>
      </c>
      <c r="E947" t="s">
        <v>34</v>
      </c>
      <c r="F947">
        <v>2</v>
      </c>
      <c r="G947">
        <v>3</v>
      </c>
      <c r="H947" t="s">
        <v>46</v>
      </c>
      <c r="I947">
        <v>1</v>
      </c>
      <c r="J947">
        <v>786</v>
      </c>
      <c r="K947">
        <v>4</v>
      </c>
      <c r="L947" s="17" t="s">
        <v>43</v>
      </c>
      <c r="M947">
        <v>60</v>
      </c>
      <c r="N947">
        <v>3</v>
      </c>
      <c r="O947">
        <v>2</v>
      </c>
      <c r="P947" t="s">
        <v>37</v>
      </c>
      <c r="Q947">
        <v>4</v>
      </c>
      <c r="R947" t="s">
        <v>38</v>
      </c>
      <c r="S947" s="6">
        <v>6274</v>
      </c>
      <c r="T947">
        <v>18686</v>
      </c>
      <c r="U947">
        <v>1</v>
      </c>
      <c r="V947" t="s">
        <v>39</v>
      </c>
      <c r="W947" t="s">
        <v>40</v>
      </c>
      <c r="X947">
        <v>22</v>
      </c>
      <c r="Y947">
        <v>4</v>
      </c>
      <c r="Z947">
        <v>3</v>
      </c>
      <c r="AA947">
        <v>80</v>
      </c>
      <c r="AB947">
        <v>0</v>
      </c>
      <c r="AC947">
        <v>6</v>
      </c>
      <c r="AD947">
        <v>5</v>
      </c>
      <c r="AE947">
        <v>3</v>
      </c>
      <c r="AF947">
        <v>6</v>
      </c>
      <c r="AG947">
        <v>5</v>
      </c>
      <c r="AH947">
        <v>1</v>
      </c>
      <c r="AI947">
        <v>4</v>
      </c>
    </row>
    <row r="948" spans="1:35" x14ac:dyDescent="0.3">
      <c r="A948">
        <v>38</v>
      </c>
      <c r="B948" t="s">
        <v>40</v>
      </c>
      <c r="C948" t="s">
        <v>41</v>
      </c>
      <c r="D948">
        <v>471</v>
      </c>
      <c r="E948" t="s">
        <v>42</v>
      </c>
      <c r="F948">
        <v>12</v>
      </c>
      <c r="G948">
        <v>3</v>
      </c>
      <c r="H948" t="s">
        <v>35</v>
      </c>
      <c r="I948">
        <v>1</v>
      </c>
      <c r="J948">
        <v>837</v>
      </c>
      <c r="K948">
        <v>1</v>
      </c>
      <c r="L948" s="17" t="s">
        <v>43</v>
      </c>
      <c r="M948">
        <v>45</v>
      </c>
      <c r="N948">
        <v>2</v>
      </c>
      <c r="O948">
        <v>2</v>
      </c>
      <c r="P948" t="s">
        <v>51</v>
      </c>
      <c r="Q948">
        <v>1</v>
      </c>
      <c r="R948" t="s">
        <v>49</v>
      </c>
      <c r="S948" s="6">
        <v>6288</v>
      </c>
      <c r="T948">
        <v>4284</v>
      </c>
      <c r="U948">
        <v>2</v>
      </c>
      <c r="V948" t="s">
        <v>39</v>
      </c>
      <c r="W948" t="s">
        <v>40</v>
      </c>
      <c r="X948">
        <v>15</v>
      </c>
      <c r="Y948">
        <v>3</v>
      </c>
      <c r="Z948">
        <v>3</v>
      </c>
      <c r="AA948">
        <v>80</v>
      </c>
      <c r="AB948">
        <v>1</v>
      </c>
      <c r="AC948">
        <v>13</v>
      </c>
      <c r="AD948">
        <v>3</v>
      </c>
      <c r="AE948">
        <v>2</v>
      </c>
      <c r="AF948">
        <v>4</v>
      </c>
      <c r="AG948">
        <v>3</v>
      </c>
      <c r="AH948">
        <v>1</v>
      </c>
      <c r="AI948">
        <v>2</v>
      </c>
    </row>
    <row r="949" spans="1:35" x14ac:dyDescent="0.3">
      <c r="A949">
        <v>29</v>
      </c>
      <c r="B949" t="s">
        <v>40</v>
      </c>
      <c r="C949" t="s">
        <v>41</v>
      </c>
      <c r="D949">
        <v>461</v>
      </c>
      <c r="E949" t="s">
        <v>42</v>
      </c>
      <c r="F949">
        <v>1</v>
      </c>
      <c r="G949">
        <v>3</v>
      </c>
      <c r="H949" t="s">
        <v>35</v>
      </c>
      <c r="I949">
        <v>1</v>
      </c>
      <c r="J949">
        <v>1753</v>
      </c>
      <c r="K949">
        <v>4</v>
      </c>
      <c r="L949" s="17" t="s">
        <v>43</v>
      </c>
      <c r="M949">
        <v>70</v>
      </c>
      <c r="N949">
        <v>4</v>
      </c>
      <c r="O949">
        <v>2</v>
      </c>
      <c r="P949" t="s">
        <v>51</v>
      </c>
      <c r="Q949">
        <v>3</v>
      </c>
      <c r="R949" t="s">
        <v>38</v>
      </c>
      <c r="S949" s="6">
        <v>6294</v>
      </c>
      <c r="T949">
        <v>23060</v>
      </c>
      <c r="U949">
        <v>8</v>
      </c>
      <c r="V949" t="s">
        <v>39</v>
      </c>
      <c r="W949" t="s">
        <v>32</v>
      </c>
      <c r="X949">
        <v>12</v>
      </c>
      <c r="Y949">
        <v>3</v>
      </c>
      <c r="Z949">
        <v>4</v>
      </c>
      <c r="AA949">
        <v>80</v>
      </c>
      <c r="AB949">
        <v>0</v>
      </c>
      <c r="AC949">
        <v>10</v>
      </c>
      <c r="AD949">
        <v>5</v>
      </c>
      <c r="AE949">
        <v>4</v>
      </c>
      <c r="AF949">
        <v>3</v>
      </c>
      <c r="AG949">
        <v>2</v>
      </c>
      <c r="AH949">
        <v>0</v>
      </c>
      <c r="AI949">
        <v>2</v>
      </c>
    </row>
    <row r="950" spans="1:35" x14ac:dyDescent="0.3">
      <c r="A950">
        <v>56</v>
      </c>
      <c r="B950" t="s">
        <v>40</v>
      </c>
      <c r="C950" t="s">
        <v>52</v>
      </c>
      <c r="D950">
        <v>667</v>
      </c>
      <c r="E950" t="s">
        <v>42</v>
      </c>
      <c r="F950">
        <v>1</v>
      </c>
      <c r="G950">
        <v>4</v>
      </c>
      <c r="H950" t="s">
        <v>35</v>
      </c>
      <c r="I950">
        <v>1</v>
      </c>
      <c r="J950">
        <v>2026</v>
      </c>
      <c r="K950">
        <v>3</v>
      </c>
      <c r="L950" s="17" t="s">
        <v>43</v>
      </c>
      <c r="M950">
        <v>57</v>
      </c>
      <c r="N950">
        <v>3</v>
      </c>
      <c r="O950">
        <v>2</v>
      </c>
      <c r="P950" t="s">
        <v>51</v>
      </c>
      <c r="Q950">
        <v>3</v>
      </c>
      <c r="R950" t="s">
        <v>49</v>
      </c>
      <c r="S950" s="6">
        <v>6306</v>
      </c>
      <c r="T950">
        <v>26236</v>
      </c>
      <c r="U950">
        <v>1</v>
      </c>
      <c r="V950" t="s">
        <v>39</v>
      </c>
      <c r="W950" t="s">
        <v>40</v>
      </c>
      <c r="X950">
        <v>21</v>
      </c>
      <c r="Y950">
        <v>4</v>
      </c>
      <c r="Z950">
        <v>1</v>
      </c>
      <c r="AA950">
        <v>80</v>
      </c>
      <c r="AB950">
        <v>1</v>
      </c>
      <c r="AC950">
        <v>13</v>
      </c>
      <c r="AD950">
        <v>2</v>
      </c>
      <c r="AE950">
        <v>2</v>
      </c>
      <c r="AF950">
        <v>13</v>
      </c>
      <c r="AG950">
        <v>12</v>
      </c>
      <c r="AH950">
        <v>1</v>
      </c>
      <c r="AI950">
        <v>9</v>
      </c>
    </row>
    <row r="951" spans="1:35" x14ac:dyDescent="0.3">
      <c r="A951">
        <v>32</v>
      </c>
      <c r="B951" t="s">
        <v>40</v>
      </c>
      <c r="C951" t="s">
        <v>33</v>
      </c>
      <c r="D951">
        <v>646</v>
      </c>
      <c r="E951" t="s">
        <v>42</v>
      </c>
      <c r="F951">
        <v>9</v>
      </c>
      <c r="G951">
        <v>4</v>
      </c>
      <c r="H951" t="s">
        <v>35</v>
      </c>
      <c r="I951">
        <v>1</v>
      </c>
      <c r="J951">
        <v>679</v>
      </c>
      <c r="K951">
        <v>1</v>
      </c>
      <c r="L951" s="17" t="s">
        <v>36</v>
      </c>
      <c r="M951">
        <v>92</v>
      </c>
      <c r="N951">
        <v>3</v>
      </c>
      <c r="O951">
        <v>2</v>
      </c>
      <c r="P951" t="s">
        <v>44</v>
      </c>
      <c r="Q951">
        <v>4</v>
      </c>
      <c r="R951" t="s">
        <v>45</v>
      </c>
      <c r="S951" s="6">
        <v>6322</v>
      </c>
      <c r="T951">
        <v>18089</v>
      </c>
      <c r="U951">
        <v>1</v>
      </c>
      <c r="V951" t="s">
        <v>39</v>
      </c>
      <c r="W951" t="s">
        <v>32</v>
      </c>
      <c r="X951">
        <v>12</v>
      </c>
      <c r="Y951">
        <v>3</v>
      </c>
      <c r="Z951">
        <v>4</v>
      </c>
      <c r="AA951">
        <v>80</v>
      </c>
      <c r="AB951">
        <v>1</v>
      </c>
      <c r="AC951">
        <v>6</v>
      </c>
      <c r="AD951">
        <v>2</v>
      </c>
      <c r="AE951">
        <v>2</v>
      </c>
      <c r="AF951">
        <v>6</v>
      </c>
      <c r="AG951">
        <v>4</v>
      </c>
      <c r="AH951">
        <v>0</v>
      </c>
      <c r="AI951">
        <v>5</v>
      </c>
    </row>
    <row r="952" spans="1:35" x14ac:dyDescent="0.3">
      <c r="A952">
        <v>40</v>
      </c>
      <c r="B952" t="s">
        <v>40</v>
      </c>
      <c r="C952" t="s">
        <v>41</v>
      </c>
      <c r="D952">
        <v>692</v>
      </c>
      <c r="E952" t="s">
        <v>42</v>
      </c>
      <c r="F952">
        <v>11</v>
      </c>
      <c r="G952">
        <v>3</v>
      </c>
      <c r="H952" t="s">
        <v>57</v>
      </c>
      <c r="I952">
        <v>1</v>
      </c>
      <c r="J952">
        <v>1985</v>
      </c>
      <c r="K952">
        <v>4</v>
      </c>
      <c r="L952" s="17" t="s">
        <v>36</v>
      </c>
      <c r="M952">
        <v>73</v>
      </c>
      <c r="N952">
        <v>3</v>
      </c>
      <c r="O952">
        <v>2</v>
      </c>
      <c r="P952" t="s">
        <v>47</v>
      </c>
      <c r="Q952">
        <v>3</v>
      </c>
      <c r="R952" t="s">
        <v>45</v>
      </c>
      <c r="S952" s="6">
        <v>6323</v>
      </c>
      <c r="T952">
        <v>26849</v>
      </c>
      <c r="U952">
        <v>1</v>
      </c>
      <c r="V952" t="s">
        <v>39</v>
      </c>
      <c r="W952" t="s">
        <v>40</v>
      </c>
      <c r="X952">
        <v>11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2</v>
      </c>
      <c r="AE952">
        <v>4</v>
      </c>
      <c r="AF952">
        <v>10</v>
      </c>
      <c r="AG952">
        <v>9</v>
      </c>
      <c r="AH952">
        <v>9</v>
      </c>
      <c r="AI952">
        <v>4</v>
      </c>
    </row>
    <row r="953" spans="1:35" x14ac:dyDescent="0.3">
      <c r="A953">
        <v>37</v>
      </c>
      <c r="B953" t="s">
        <v>40</v>
      </c>
      <c r="C953" t="s">
        <v>33</v>
      </c>
      <c r="D953">
        <v>342</v>
      </c>
      <c r="E953" t="s">
        <v>34</v>
      </c>
      <c r="F953">
        <v>16</v>
      </c>
      <c r="G953">
        <v>4</v>
      </c>
      <c r="H953" t="s">
        <v>56</v>
      </c>
      <c r="I953">
        <v>1</v>
      </c>
      <c r="J953">
        <v>868</v>
      </c>
      <c r="K953">
        <v>4</v>
      </c>
      <c r="L953" s="17" t="s">
        <v>43</v>
      </c>
      <c r="M953">
        <v>66</v>
      </c>
      <c r="N953">
        <v>2</v>
      </c>
      <c r="O953">
        <v>2</v>
      </c>
      <c r="P953" t="s">
        <v>37</v>
      </c>
      <c r="Q953">
        <v>3</v>
      </c>
      <c r="R953" t="s">
        <v>49</v>
      </c>
      <c r="S953" s="6">
        <v>6334</v>
      </c>
      <c r="T953">
        <v>24558</v>
      </c>
      <c r="U953">
        <v>4</v>
      </c>
      <c r="V953" t="s">
        <v>39</v>
      </c>
      <c r="W953" t="s">
        <v>40</v>
      </c>
      <c r="X953">
        <v>19</v>
      </c>
      <c r="Y953">
        <v>3</v>
      </c>
      <c r="Z953">
        <v>4</v>
      </c>
      <c r="AA953">
        <v>80</v>
      </c>
      <c r="AB953">
        <v>2</v>
      </c>
      <c r="AC953">
        <v>9</v>
      </c>
      <c r="AD953">
        <v>2</v>
      </c>
      <c r="AE953">
        <v>3</v>
      </c>
      <c r="AF953">
        <v>1</v>
      </c>
      <c r="AG953">
        <v>0</v>
      </c>
      <c r="AH953">
        <v>0</v>
      </c>
      <c r="AI953">
        <v>0</v>
      </c>
    </row>
    <row r="954" spans="1:35" x14ac:dyDescent="0.3">
      <c r="A954">
        <v>30</v>
      </c>
      <c r="B954" t="s">
        <v>40</v>
      </c>
      <c r="C954" t="s">
        <v>33</v>
      </c>
      <c r="D954">
        <v>1240</v>
      </c>
      <c r="E954" t="s">
        <v>58</v>
      </c>
      <c r="F954">
        <v>9</v>
      </c>
      <c r="G954">
        <v>3</v>
      </c>
      <c r="H954" t="s">
        <v>58</v>
      </c>
      <c r="I954">
        <v>1</v>
      </c>
      <c r="J954">
        <v>184</v>
      </c>
      <c r="K954">
        <v>3</v>
      </c>
      <c r="L954" s="17" t="s">
        <v>43</v>
      </c>
      <c r="M954">
        <v>48</v>
      </c>
      <c r="N954">
        <v>3</v>
      </c>
      <c r="O954">
        <v>2</v>
      </c>
      <c r="P954" t="s">
        <v>58</v>
      </c>
      <c r="Q954">
        <v>4</v>
      </c>
      <c r="R954" t="s">
        <v>45</v>
      </c>
      <c r="S954" s="6">
        <v>6347</v>
      </c>
      <c r="T954">
        <v>13982</v>
      </c>
      <c r="U954">
        <v>0</v>
      </c>
      <c r="V954" t="s">
        <v>39</v>
      </c>
      <c r="W954" t="s">
        <v>32</v>
      </c>
      <c r="X954">
        <v>19</v>
      </c>
      <c r="Y954">
        <v>3</v>
      </c>
      <c r="Z954">
        <v>4</v>
      </c>
      <c r="AA954">
        <v>80</v>
      </c>
      <c r="AB954">
        <v>0</v>
      </c>
      <c r="AC954">
        <v>12</v>
      </c>
      <c r="AD954">
        <v>2</v>
      </c>
      <c r="AE954">
        <v>1</v>
      </c>
      <c r="AF954">
        <v>11</v>
      </c>
      <c r="AG954">
        <v>9</v>
      </c>
      <c r="AH954">
        <v>4</v>
      </c>
      <c r="AI954">
        <v>7</v>
      </c>
    </row>
    <row r="955" spans="1:35" x14ac:dyDescent="0.3">
      <c r="A955">
        <v>37</v>
      </c>
      <c r="B955" t="s">
        <v>40</v>
      </c>
      <c r="C955" t="s">
        <v>33</v>
      </c>
      <c r="D955">
        <v>1192</v>
      </c>
      <c r="E955" t="s">
        <v>42</v>
      </c>
      <c r="F955">
        <v>5</v>
      </c>
      <c r="G955">
        <v>2</v>
      </c>
      <c r="H955" t="s">
        <v>48</v>
      </c>
      <c r="I955">
        <v>1</v>
      </c>
      <c r="J955">
        <v>460</v>
      </c>
      <c r="K955">
        <v>4</v>
      </c>
      <c r="L955" s="17" t="s">
        <v>43</v>
      </c>
      <c r="M955">
        <v>61</v>
      </c>
      <c r="N955">
        <v>3</v>
      </c>
      <c r="O955">
        <v>2</v>
      </c>
      <c r="P955" t="s">
        <v>50</v>
      </c>
      <c r="Q955">
        <v>4</v>
      </c>
      <c r="R955" t="s">
        <v>49</v>
      </c>
      <c r="S955" s="6">
        <v>6347</v>
      </c>
      <c r="T955">
        <v>23177</v>
      </c>
      <c r="U955">
        <v>7</v>
      </c>
      <c r="V955" t="s">
        <v>39</v>
      </c>
      <c r="W955" t="s">
        <v>40</v>
      </c>
      <c r="X955">
        <v>16</v>
      </c>
      <c r="Y955">
        <v>3</v>
      </c>
      <c r="Z955">
        <v>3</v>
      </c>
      <c r="AA955">
        <v>80</v>
      </c>
      <c r="AB955">
        <v>2</v>
      </c>
      <c r="AC955">
        <v>8</v>
      </c>
      <c r="AD955">
        <v>2</v>
      </c>
      <c r="AE955">
        <v>2</v>
      </c>
      <c r="AF955">
        <v>6</v>
      </c>
      <c r="AG955">
        <v>2</v>
      </c>
      <c r="AH955">
        <v>0</v>
      </c>
      <c r="AI955">
        <v>4</v>
      </c>
    </row>
    <row r="956" spans="1:35" x14ac:dyDescent="0.3">
      <c r="A956">
        <v>50</v>
      </c>
      <c r="B956" t="s">
        <v>40</v>
      </c>
      <c r="C956" t="s">
        <v>52</v>
      </c>
      <c r="D956">
        <v>145</v>
      </c>
      <c r="E956" t="s">
        <v>34</v>
      </c>
      <c r="F956">
        <v>1</v>
      </c>
      <c r="G956">
        <v>3</v>
      </c>
      <c r="H956" t="s">
        <v>35</v>
      </c>
      <c r="I956">
        <v>1</v>
      </c>
      <c r="J956">
        <v>1040</v>
      </c>
      <c r="K956">
        <v>4</v>
      </c>
      <c r="L956" s="17" t="s">
        <v>36</v>
      </c>
      <c r="M956">
        <v>95</v>
      </c>
      <c r="N956">
        <v>3</v>
      </c>
      <c r="O956">
        <v>2</v>
      </c>
      <c r="P956" t="s">
        <v>37</v>
      </c>
      <c r="Q956">
        <v>3</v>
      </c>
      <c r="R956" t="s">
        <v>45</v>
      </c>
      <c r="S956" s="6">
        <v>6347</v>
      </c>
      <c r="T956">
        <v>24920</v>
      </c>
      <c r="U956">
        <v>0</v>
      </c>
      <c r="V956" t="s">
        <v>39</v>
      </c>
      <c r="W956" t="s">
        <v>40</v>
      </c>
      <c r="X956">
        <v>12</v>
      </c>
      <c r="Y956">
        <v>3</v>
      </c>
      <c r="Z956">
        <v>1</v>
      </c>
      <c r="AA956">
        <v>80</v>
      </c>
      <c r="AB956">
        <v>1</v>
      </c>
      <c r="AC956">
        <v>19</v>
      </c>
      <c r="AD956">
        <v>3</v>
      </c>
      <c r="AE956">
        <v>3</v>
      </c>
      <c r="AF956">
        <v>18</v>
      </c>
      <c r="AG956">
        <v>7</v>
      </c>
      <c r="AH956">
        <v>0</v>
      </c>
      <c r="AI956">
        <v>13</v>
      </c>
    </row>
    <row r="957" spans="1:35" x14ac:dyDescent="0.3">
      <c r="A957">
        <v>27</v>
      </c>
      <c r="B957" t="s">
        <v>40</v>
      </c>
      <c r="C957" t="s">
        <v>52</v>
      </c>
      <c r="D957">
        <v>210</v>
      </c>
      <c r="E957" t="s">
        <v>34</v>
      </c>
      <c r="F957">
        <v>1</v>
      </c>
      <c r="G957">
        <v>1</v>
      </c>
      <c r="H957" t="s">
        <v>56</v>
      </c>
      <c r="I957">
        <v>1</v>
      </c>
      <c r="J957">
        <v>449</v>
      </c>
      <c r="K957">
        <v>3</v>
      </c>
      <c r="L957" s="17" t="s">
        <v>43</v>
      </c>
      <c r="M957">
        <v>73</v>
      </c>
      <c r="N957">
        <v>3</v>
      </c>
      <c r="O957">
        <v>2</v>
      </c>
      <c r="P957" t="s">
        <v>37</v>
      </c>
      <c r="Q957">
        <v>2</v>
      </c>
      <c r="R957" t="s">
        <v>45</v>
      </c>
      <c r="S957" s="6">
        <v>6349</v>
      </c>
      <c r="T957">
        <v>22107</v>
      </c>
      <c r="U957">
        <v>0</v>
      </c>
      <c r="V957" t="s">
        <v>39</v>
      </c>
      <c r="W957" t="s">
        <v>32</v>
      </c>
      <c r="X957">
        <v>13</v>
      </c>
      <c r="Y957">
        <v>3</v>
      </c>
      <c r="Z957">
        <v>4</v>
      </c>
      <c r="AA957">
        <v>80</v>
      </c>
      <c r="AB957">
        <v>1</v>
      </c>
      <c r="AC957">
        <v>6</v>
      </c>
      <c r="AD957">
        <v>0</v>
      </c>
      <c r="AE957">
        <v>3</v>
      </c>
      <c r="AF957">
        <v>5</v>
      </c>
      <c r="AG957">
        <v>4</v>
      </c>
      <c r="AH957">
        <v>1</v>
      </c>
      <c r="AI957">
        <v>4</v>
      </c>
    </row>
    <row r="958" spans="1:35" x14ac:dyDescent="0.3">
      <c r="A958">
        <v>40</v>
      </c>
      <c r="B958" t="s">
        <v>40</v>
      </c>
      <c r="C958" t="s">
        <v>33</v>
      </c>
      <c r="D958">
        <v>1202</v>
      </c>
      <c r="E958" t="s">
        <v>42</v>
      </c>
      <c r="F958">
        <v>2</v>
      </c>
      <c r="G958">
        <v>1</v>
      </c>
      <c r="H958" t="s">
        <v>48</v>
      </c>
      <c r="I958">
        <v>1</v>
      </c>
      <c r="J958">
        <v>1375</v>
      </c>
      <c r="K958">
        <v>2</v>
      </c>
      <c r="L958" s="17" t="s">
        <v>36</v>
      </c>
      <c r="M958">
        <v>89</v>
      </c>
      <c r="N958">
        <v>4</v>
      </c>
      <c r="O958">
        <v>2</v>
      </c>
      <c r="P958" t="s">
        <v>51</v>
      </c>
      <c r="Q958">
        <v>3</v>
      </c>
      <c r="R958" t="s">
        <v>49</v>
      </c>
      <c r="S958" s="6">
        <v>6377</v>
      </c>
      <c r="T958">
        <v>13888</v>
      </c>
      <c r="U958">
        <v>5</v>
      </c>
      <c r="V958" t="s">
        <v>39</v>
      </c>
      <c r="W958" t="s">
        <v>40</v>
      </c>
      <c r="X958">
        <v>20</v>
      </c>
      <c r="Y958">
        <v>4</v>
      </c>
      <c r="Z958">
        <v>2</v>
      </c>
      <c r="AA958">
        <v>80</v>
      </c>
      <c r="AB958">
        <v>3</v>
      </c>
      <c r="AC958">
        <v>15</v>
      </c>
      <c r="AD958">
        <v>0</v>
      </c>
      <c r="AE958">
        <v>3</v>
      </c>
      <c r="AF958">
        <v>12</v>
      </c>
      <c r="AG958">
        <v>11</v>
      </c>
      <c r="AH958">
        <v>11</v>
      </c>
      <c r="AI958">
        <v>8</v>
      </c>
    </row>
    <row r="959" spans="1:35" x14ac:dyDescent="0.3">
      <c r="A959">
        <v>40</v>
      </c>
      <c r="B959" t="s">
        <v>32</v>
      </c>
      <c r="C959" t="s">
        <v>33</v>
      </c>
      <c r="D959">
        <v>575</v>
      </c>
      <c r="E959" t="s">
        <v>34</v>
      </c>
      <c r="F959">
        <v>22</v>
      </c>
      <c r="G959">
        <v>2</v>
      </c>
      <c r="H959" t="s">
        <v>56</v>
      </c>
      <c r="I959">
        <v>1</v>
      </c>
      <c r="J959">
        <v>492</v>
      </c>
      <c r="K959">
        <v>3</v>
      </c>
      <c r="L959" s="17" t="s">
        <v>43</v>
      </c>
      <c r="M959">
        <v>68</v>
      </c>
      <c r="N959">
        <v>2</v>
      </c>
      <c r="O959">
        <v>2</v>
      </c>
      <c r="P959" t="s">
        <v>37</v>
      </c>
      <c r="Q959">
        <v>3</v>
      </c>
      <c r="R959" t="s">
        <v>45</v>
      </c>
      <c r="S959" s="6">
        <v>6380</v>
      </c>
      <c r="T959">
        <v>6110</v>
      </c>
      <c r="U959">
        <v>2</v>
      </c>
      <c r="V959" t="s">
        <v>39</v>
      </c>
      <c r="W959" t="s">
        <v>32</v>
      </c>
      <c r="X959">
        <v>12</v>
      </c>
      <c r="Y959">
        <v>3</v>
      </c>
      <c r="Z959">
        <v>1</v>
      </c>
      <c r="AA959">
        <v>80</v>
      </c>
      <c r="AB959">
        <v>2</v>
      </c>
      <c r="AC959">
        <v>8</v>
      </c>
      <c r="AD959">
        <v>6</v>
      </c>
      <c r="AE959">
        <v>3</v>
      </c>
      <c r="AF959">
        <v>6</v>
      </c>
      <c r="AG959">
        <v>4</v>
      </c>
      <c r="AH959">
        <v>1</v>
      </c>
      <c r="AI959">
        <v>0</v>
      </c>
    </row>
    <row r="960" spans="1:35" x14ac:dyDescent="0.3">
      <c r="A960">
        <v>29</v>
      </c>
      <c r="B960" t="s">
        <v>40</v>
      </c>
      <c r="C960" t="s">
        <v>33</v>
      </c>
      <c r="D960">
        <v>726</v>
      </c>
      <c r="E960" t="s">
        <v>42</v>
      </c>
      <c r="F960">
        <v>29</v>
      </c>
      <c r="G960">
        <v>1</v>
      </c>
      <c r="H960" t="s">
        <v>35</v>
      </c>
      <c r="I960">
        <v>1</v>
      </c>
      <c r="J960">
        <v>1859</v>
      </c>
      <c r="K960">
        <v>4</v>
      </c>
      <c r="L960" s="17" t="s">
        <v>43</v>
      </c>
      <c r="M960">
        <v>93</v>
      </c>
      <c r="N960">
        <v>1</v>
      </c>
      <c r="O960">
        <v>2</v>
      </c>
      <c r="P960" t="s">
        <v>51</v>
      </c>
      <c r="Q960">
        <v>3</v>
      </c>
      <c r="R960" t="s">
        <v>49</v>
      </c>
      <c r="S960" s="6">
        <v>6384</v>
      </c>
      <c r="T960">
        <v>21143</v>
      </c>
      <c r="U960">
        <v>8</v>
      </c>
      <c r="V960" t="s">
        <v>39</v>
      </c>
      <c r="W960" t="s">
        <v>40</v>
      </c>
      <c r="X960">
        <v>17</v>
      </c>
      <c r="Y960">
        <v>3</v>
      </c>
      <c r="Z960">
        <v>4</v>
      </c>
      <c r="AA960">
        <v>80</v>
      </c>
      <c r="AB960">
        <v>2</v>
      </c>
      <c r="AC960">
        <v>11</v>
      </c>
      <c r="AD960">
        <v>3</v>
      </c>
      <c r="AE960">
        <v>3</v>
      </c>
      <c r="AF960">
        <v>7</v>
      </c>
      <c r="AG960">
        <v>0</v>
      </c>
      <c r="AH960">
        <v>1</v>
      </c>
      <c r="AI960">
        <v>6</v>
      </c>
    </row>
    <row r="961" spans="1:35" x14ac:dyDescent="0.3">
      <c r="A961">
        <v>55</v>
      </c>
      <c r="B961" t="s">
        <v>40</v>
      </c>
      <c r="C961" t="s">
        <v>41</v>
      </c>
      <c r="D961">
        <v>135</v>
      </c>
      <c r="E961" t="s">
        <v>42</v>
      </c>
      <c r="F961">
        <v>18</v>
      </c>
      <c r="G961">
        <v>4</v>
      </c>
      <c r="H961" t="s">
        <v>48</v>
      </c>
      <c r="I961">
        <v>1</v>
      </c>
      <c r="J961">
        <v>1034</v>
      </c>
      <c r="K961">
        <v>3</v>
      </c>
      <c r="L961" s="17" t="s">
        <v>43</v>
      </c>
      <c r="M961">
        <v>62</v>
      </c>
      <c r="N961">
        <v>3</v>
      </c>
      <c r="O961">
        <v>2</v>
      </c>
      <c r="P961" t="s">
        <v>51</v>
      </c>
      <c r="Q961">
        <v>2</v>
      </c>
      <c r="R961" t="s">
        <v>45</v>
      </c>
      <c r="S961" s="6">
        <v>6385</v>
      </c>
      <c r="T961">
        <v>12992</v>
      </c>
      <c r="U961">
        <v>3</v>
      </c>
      <c r="V961" t="s">
        <v>39</v>
      </c>
      <c r="W961" t="s">
        <v>32</v>
      </c>
      <c r="X961">
        <v>14</v>
      </c>
      <c r="Y961">
        <v>3</v>
      </c>
      <c r="Z961">
        <v>4</v>
      </c>
      <c r="AA961">
        <v>80</v>
      </c>
      <c r="AB961">
        <v>2</v>
      </c>
      <c r="AC961">
        <v>17</v>
      </c>
      <c r="AD961">
        <v>3</v>
      </c>
      <c r="AE961">
        <v>3</v>
      </c>
      <c r="AF961">
        <v>8</v>
      </c>
      <c r="AG961">
        <v>7</v>
      </c>
      <c r="AH961">
        <v>6</v>
      </c>
      <c r="AI961">
        <v>7</v>
      </c>
    </row>
    <row r="962" spans="1:35" x14ac:dyDescent="0.3">
      <c r="A962">
        <v>33</v>
      </c>
      <c r="B962" t="s">
        <v>40</v>
      </c>
      <c r="C962" t="s">
        <v>33</v>
      </c>
      <c r="D962">
        <v>516</v>
      </c>
      <c r="E962" t="s">
        <v>42</v>
      </c>
      <c r="F962">
        <v>8</v>
      </c>
      <c r="G962">
        <v>5</v>
      </c>
      <c r="H962" t="s">
        <v>35</v>
      </c>
      <c r="I962">
        <v>1</v>
      </c>
      <c r="J962">
        <v>1515</v>
      </c>
      <c r="K962">
        <v>4</v>
      </c>
      <c r="L962" s="17" t="s">
        <v>43</v>
      </c>
      <c r="M962">
        <v>69</v>
      </c>
      <c r="N962">
        <v>3</v>
      </c>
      <c r="O962">
        <v>2</v>
      </c>
      <c r="P962" t="s">
        <v>51</v>
      </c>
      <c r="Q962">
        <v>3</v>
      </c>
      <c r="R962" t="s">
        <v>38</v>
      </c>
      <c r="S962" s="6">
        <v>6388</v>
      </c>
      <c r="T962">
        <v>22049</v>
      </c>
      <c r="U962">
        <v>2</v>
      </c>
      <c r="V962" t="s">
        <v>39</v>
      </c>
      <c r="W962" t="s">
        <v>32</v>
      </c>
      <c r="X962">
        <v>17</v>
      </c>
      <c r="Y962">
        <v>3</v>
      </c>
      <c r="Z962">
        <v>1</v>
      </c>
      <c r="AA962">
        <v>80</v>
      </c>
      <c r="AB962">
        <v>0</v>
      </c>
      <c r="AC962">
        <v>14</v>
      </c>
      <c r="AD962">
        <v>6</v>
      </c>
      <c r="AE962">
        <v>3</v>
      </c>
      <c r="AF962">
        <v>0</v>
      </c>
      <c r="AG962">
        <v>0</v>
      </c>
      <c r="AH962">
        <v>0</v>
      </c>
      <c r="AI962">
        <v>0</v>
      </c>
    </row>
    <row r="963" spans="1:35" x14ac:dyDescent="0.3">
      <c r="A963">
        <v>39</v>
      </c>
      <c r="B963" t="s">
        <v>40</v>
      </c>
      <c r="C963" t="s">
        <v>33</v>
      </c>
      <c r="D963">
        <v>141</v>
      </c>
      <c r="E963" t="s">
        <v>58</v>
      </c>
      <c r="F963">
        <v>3</v>
      </c>
      <c r="G963">
        <v>3</v>
      </c>
      <c r="H963" t="s">
        <v>58</v>
      </c>
      <c r="I963">
        <v>1</v>
      </c>
      <c r="J963">
        <v>760</v>
      </c>
      <c r="K963">
        <v>3</v>
      </c>
      <c r="L963" s="17" t="s">
        <v>36</v>
      </c>
      <c r="M963">
        <v>44</v>
      </c>
      <c r="N963">
        <v>4</v>
      </c>
      <c r="O963">
        <v>2</v>
      </c>
      <c r="P963" t="s">
        <v>58</v>
      </c>
      <c r="Q963">
        <v>2</v>
      </c>
      <c r="R963" t="s">
        <v>45</v>
      </c>
      <c r="S963" s="6">
        <v>6389</v>
      </c>
      <c r="T963">
        <v>18767</v>
      </c>
      <c r="U963">
        <v>9</v>
      </c>
      <c r="V963" t="s">
        <v>39</v>
      </c>
      <c r="W963" t="s">
        <v>40</v>
      </c>
      <c r="X963">
        <v>15</v>
      </c>
      <c r="Y963">
        <v>3</v>
      </c>
      <c r="Z963">
        <v>3</v>
      </c>
      <c r="AA963">
        <v>80</v>
      </c>
      <c r="AB963">
        <v>1</v>
      </c>
      <c r="AC963">
        <v>12</v>
      </c>
      <c r="AD963">
        <v>3</v>
      </c>
      <c r="AE963">
        <v>1</v>
      </c>
      <c r="AF963">
        <v>8</v>
      </c>
      <c r="AG963">
        <v>3</v>
      </c>
      <c r="AH963">
        <v>3</v>
      </c>
      <c r="AI963">
        <v>6</v>
      </c>
    </row>
    <row r="964" spans="1:35" x14ac:dyDescent="0.3">
      <c r="A964">
        <v>33</v>
      </c>
      <c r="B964" t="s">
        <v>40</v>
      </c>
      <c r="C964" t="s">
        <v>33</v>
      </c>
      <c r="D964">
        <v>1242</v>
      </c>
      <c r="E964" t="s">
        <v>34</v>
      </c>
      <c r="F964">
        <v>8</v>
      </c>
      <c r="G964">
        <v>4</v>
      </c>
      <c r="H964" t="s">
        <v>35</v>
      </c>
      <c r="I964">
        <v>1</v>
      </c>
      <c r="J964">
        <v>1560</v>
      </c>
      <c r="K964">
        <v>1</v>
      </c>
      <c r="L964" s="17" t="s">
        <v>43</v>
      </c>
      <c r="M964">
        <v>46</v>
      </c>
      <c r="N964">
        <v>3</v>
      </c>
      <c r="O964">
        <v>2</v>
      </c>
      <c r="P964" t="s">
        <v>37</v>
      </c>
      <c r="Q964">
        <v>1</v>
      </c>
      <c r="R964" t="s">
        <v>45</v>
      </c>
      <c r="S964" s="6">
        <v>6392</v>
      </c>
      <c r="T964">
        <v>10589</v>
      </c>
      <c r="U964">
        <v>2</v>
      </c>
      <c r="V964" t="s">
        <v>39</v>
      </c>
      <c r="W964" t="s">
        <v>40</v>
      </c>
      <c r="X964">
        <v>13</v>
      </c>
      <c r="Y964">
        <v>3</v>
      </c>
      <c r="Z964">
        <v>4</v>
      </c>
      <c r="AA964">
        <v>80</v>
      </c>
      <c r="AB964">
        <v>1</v>
      </c>
      <c r="AC964">
        <v>8</v>
      </c>
      <c r="AD964">
        <v>6</v>
      </c>
      <c r="AE964">
        <v>1</v>
      </c>
      <c r="AF964">
        <v>2</v>
      </c>
      <c r="AG964">
        <v>2</v>
      </c>
      <c r="AH964">
        <v>2</v>
      </c>
      <c r="AI964">
        <v>2</v>
      </c>
    </row>
    <row r="965" spans="1:35" x14ac:dyDescent="0.3">
      <c r="A965">
        <v>26</v>
      </c>
      <c r="B965" t="s">
        <v>40</v>
      </c>
      <c r="C965" t="s">
        <v>41</v>
      </c>
      <c r="D965">
        <v>1479</v>
      </c>
      <c r="E965" t="s">
        <v>42</v>
      </c>
      <c r="F965">
        <v>1</v>
      </c>
      <c r="G965">
        <v>3</v>
      </c>
      <c r="H965" t="s">
        <v>35</v>
      </c>
      <c r="I965">
        <v>1</v>
      </c>
      <c r="J965">
        <v>384</v>
      </c>
      <c r="K965">
        <v>3</v>
      </c>
      <c r="L965" s="17" t="s">
        <v>36</v>
      </c>
      <c r="M965">
        <v>84</v>
      </c>
      <c r="N965">
        <v>3</v>
      </c>
      <c r="O965">
        <v>2</v>
      </c>
      <c r="P965" t="s">
        <v>50</v>
      </c>
      <c r="Q965">
        <v>2</v>
      </c>
      <c r="R965" t="s">
        <v>49</v>
      </c>
      <c r="S965" s="6">
        <v>6397</v>
      </c>
      <c r="T965">
        <v>26767</v>
      </c>
      <c r="U965">
        <v>1</v>
      </c>
      <c r="V965" t="s">
        <v>39</v>
      </c>
      <c r="W965" t="s">
        <v>40</v>
      </c>
      <c r="X965">
        <v>20</v>
      </c>
      <c r="Y965">
        <v>4</v>
      </c>
      <c r="Z965">
        <v>1</v>
      </c>
      <c r="AA965">
        <v>80</v>
      </c>
      <c r="AB965">
        <v>1</v>
      </c>
      <c r="AC965">
        <v>6</v>
      </c>
      <c r="AD965">
        <v>6</v>
      </c>
      <c r="AE965">
        <v>1</v>
      </c>
      <c r="AF965">
        <v>6</v>
      </c>
      <c r="AG965">
        <v>5</v>
      </c>
      <c r="AH965">
        <v>1</v>
      </c>
      <c r="AI965">
        <v>4</v>
      </c>
    </row>
    <row r="966" spans="1:35" x14ac:dyDescent="0.3">
      <c r="A966">
        <v>47</v>
      </c>
      <c r="B966" t="s">
        <v>32</v>
      </c>
      <c r="C966" t="s">
        <v>41</v>
      </c>
      <c r="D966">
        <v>719</v>
      </c>
      <c r="E966" t="s">
        <v>34</v>
      </c>
      <c r="F966">
        <v>27</v>
      </c>
      <c r="G966">
        <v>2</v>
      </c>
      <c r="H966" t="s">
        <v>35</v>
      </c>
      <c r="I966">
        <v>1</v>
      </c>
      <c r="J966">
        <v>785</v>
      </c>
      <c r="K966">
        <v>2</v>
      </c>
      <c r="L966" s="17" t="s">
        <v>36</v>
      </c>
      <c r="M966">
        <v>77</v>
      </c>
      <c r="N966">
        <v>4</v>
      </c>
      <c r="O966">
        <v>2</v>
      </c>
      <c r="P966" t="s">
        <v>37</v>
      </c>
      <c r="Q966">
        <v>3</v>
      </c>
      <c r="R966" t="s">
        <v>38</v>
      </c>
      <c r="S966" s="6">
        <v>6397</v>
      </c>
      <c r="T966">
        <v>10339</v>
      </c>
      <c r="U966">
        <v>4</v>
      </c>
      <c r="V966" t="s">
        <v>39</v>
      </c>
      <c r="W966" t="s">
        <v>32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8</v>
      </c>
      <c r="AD966">
        <v>2</v>
      </c>
      <c r="AE966">
        <v>3</v>
      </c>
      <c r="AF966">
        <v>5</v>
      </c>
      <c r="AG966">
        <v>4</v>
      </c>
      <c r="AH966">
        <v>1</v>
      </c>
      <c r="AI966">
        <v>3</v>
      </c>
    </row>
    <row r="967" spans="1:35" x14ac:dyDescent="0.3">
      <c r="A967">
        <v>31</v>
      </c>
      <c r="B967" t="s">
        <v>40</v>
      </c>
      <c r="C967" t="s">
        <v>33</v>
      </c>
      <c r="D967">
        <v>106</v>
      </c>
      <c r="E967" t="s">
        <v>58</v>
      </c>
      <c r="F967">
        <v>2</v>
      </c>
      <c r="G967">
        <v>3</v>
      </c>
      <c r="H967" t="s">
        <v>58</v>
      </c>
      <c r="I967">
        <v>1</v>
      </c>
      <c r="J967">
        <v>424</v>
      </c>
      <c r="K967">
        <v>1</v>
      </c>
      <c r="L967" s="17" t="s">
        <v>43</v>
      </c>
      <c r="M967">
        <v>62</v>
      </c>
      <c r="N967">
        <v>2</v>
      </c>
      <c r="O967">
        <v>2</v>
      </c>
      <c r="P967" t="s">
        <v>58</v>
      </c>
      <c r="Q967">
        <v>1</v>
      </c>
      <c r="R967" t="s">
        <v>45</v>
      </c>
      <c r="S967" s="6">
        <v>6410</v>
      </c>
      <c r="T967">
        <v>17822</v>
      </c>
      <c r="U967">
        <v>3</v>
      </c>
      <c r="V967" t="s">
        <v>39</v>
      </c>
      <c r="W967" t="s">
        <v>40</v>
      </c>
      <c r="X967">
        <v>12</v>
      </c>
      <c r="Y967">
        <v>3</v>
      </c>
      <c r="Z967">
        <v>4</v>
      </c>
      <c r="AA967">
        <v>80</v>
      </c>
      <c r="AB967">
        <v>0</v>
      </c>
      <c r="AC967">
        <v>9</v>
      </c>
      <c r="AD967">
        <v>1</v>
      </c>
      <c r="AE967">
        <v>3</v>
      </c>
      <c r="AF967">
        <v>2</v>
      </c>
      <c r="AG967">
        <v>2</v>
      </c>
      <c r="AH967">
        <v>1</v>
      </c>
      <c r="AI967">
        <v>0</v>
      </c>
    </row>
    <row r="968" spans="1:35" x14ac:dyDescent="0.3">
      <c r="A968">
        <v>41</v>
      </c>
      <c r="B968" t="s">
        <v>40</v>
      </c>
      <c r="C968" t="s">
        <v>52</v>
      </c>
      <c r="D968">
        <v>552</v>
      </c>
      <c r="E968" t="s">
        <v>58</v>
      </c>
      <c r="F968">
        <v>4</v>
      </c>
      <c r="G968">
        <v>3</v>
      </c>
      <c r="H968" t="s">
        <v>58</v>
      </c>
      <c r="I968">
        <v>1</v>
      </c>
      <c r="J968">
        <v>1722</v>
      </c>
      <c r="K968">
        <v>3</v>
      </c>
      <c r="L968" s="17" t="s">
        <v>43</v>
      </c>
      <c r="M968">
        <v>60</v>
      </c>
      <c r="N968">
        <v>1</v>
      </c>
      <c r="O968">
        <v>2</v>
      </c>
      <c r="P968" t="s">
        <v>58</v>
      </c>
      <c r="Q968">
        <v>2</v>
      </c>
      <c r="R968" t="s">
        <v>45</v>
      </c>
      <c r="S968" s="6">
        <v>6430</v>
      </c>
      <c r="T968">
        <v>20794</v>
      </c>
      <c r="U968">
        <v>6</v>
      </c>
      <c r="V968" t="s">
        <v>39</v>
      </c>
      <c r="W968" t="s">
        <v>40</v>
      </c>
      <c r="X968">
        <v>19</v>
      </c>
      <c r="Y968">
        <v>3</v>
      </c>
      <c r="Z968">
        <v>2</v>
      </c>
      <c r="AA968">
        <v>80</v>
      </c>
      <c r="AB968">
        <v>1</v>
      </c>
      <c r="AC968">
        <v>10</v>
      </c>
      <c r="AD968">
        <v>4</v>
      </c>
      <c r="AE968">
        <v>3</v>
      </c>
      <c r="AF968">
        <v>3</v>
      </c>
      <c r="AG968">
        <v>2</v>
      </c>
      <c r="AH968">
        <v>1</v>
      </c>
      <c r="AI968">
        <v>2</v>
      </c>
    </row>
    <row r="969" spans="1:35" x14ac:dyDescent="0.3">
      <c r="A969">
        <v>45</v>
      </c>
      <c r="B969" t="s">
        <v>40</v>
      </c>
      <c r="C969" t="s">
        <v>41</v>
      </c>
      <c r="D969">
        <v>1199</v>
      </c>
      <c r="E969" t="s">
        <v>42</v>
      </c>
      <c r="F969">
        <v>7</v>
      </c>
      <c r="G969">
        <v>4</v>
      </c>
      <c r="H969" t="s">
        <v>35</v>
      </c>
      <c r="I969">
        <v>1</v>
      </c>
      <c r="J969">
        <v>341</v>
      </c>
      <c r="K969">
        <v>1</v>
      </c>
      <c r="L969" s="17" t="s">
        <v>43</v>
      </c>
      <c r="M969">
        <v>77</v>
      </c>
      <c r="N969">
        <v>4</v>
      </c>
      <c r="O969">
        <v>2</v>
      </c>
      <c r="P969" t="s">
        <v>50</v>
      </c>
      <c r="Q969">
        <v>3</v>
      </c>
      <c r="R969" t="s">
        <v>45</v>
      </c>
      <c r="S969" s="6">
        <v>6434</v>
      </c>
      <c r="T969">
        <v>5118</v>
      </c>
      <c r="U969">
        <v>4</v>
      </c>
      <c r="V969" t="s">
        <v>39</v>
      </c>
      <c r="W969" t="s">
        <v>40</v>
      </c>
      <c r="X969">
        <v>17</v>
      </c>
      <c r="Y969">
        <v>3</v>
      </c>
      <c r="Z969">
        <v>4</v>
      </c>
      <c r="AA969">
        <v>80</v>
      </c>
      <c r="AB969">
        <v>1</v>
      </c>
      <c r="AC969">
        <v>9</v>
      </c>
      <c r="AD969">
        <v>1</v>
      </c>
      <c r="AE969">
        <v>3</v>
      </c>
      <c r="AF969">
        <v>3</v>
      </c>
      <c r="AG969">
        <v>2</v>
      </c>
      <c r="AH969">
        <v>0</v>
      </c>
      <c r="AI969">
        <v>2</v>
      </c>
    </row>
    <row r="970" spans="1:35" x14ac:dyDescent="0.3">
      <c r="A970">
        <v>48</v>
      </c>
      <c r="B970" t="s">
        <v>40</v>
      </c>
      <c r="C970" t="s">
        <v>33</v>
      </c>
      <c r="D970">
        <v>492</v>
      </c>
      <c r="E970" t="s">
        <v>34</v>
      </c>
      <c r="F970">
        <v>16</v>
      </c>
      <c r="G970">
        <v>4</v>
      </c>
      <c r="H970" t="s">
        <v>35</v>
      </c>
      <c r="I970">
        <v>1</v>
      </c>
      <c r="J970">
        <v>1557</v>
      </c>
      <c r="K970">
        <v>3</v>
      </c>
      <c r="L970" s="17" t="s">
        <v>36</v>
      </c>
      <c r="M970">
        <v>96</v>
      </c>
      <c r="N970">
        <v>3</v>
      </c>
      <c r="O970">
        <v>2</v>
      </c>
      <c r="P970" t="s">
        <v>37</v>
      </c>
      <c r="Q970">
        <v>3</v>
      </c>
      <c r="R970" t="s">
        <v>49</v>
      </c>
      <c r="S970" s="6">
        <v>6439</v>
      </c>
      <c r="T970">
        <v>13693</v>
      </c>
      <c r="U970">
        <v>8</v>
      </c>
      <c r="V970" t="s">
        <v>39</v>
      </c>
      <c r="W970" t="s">
        <v>40</v>
      </c>
      <c r="X970">
        <v>14</v>
      </c>
      <c r="Y970">
        <v>3</v>
      </c>
      <c r="Z970">
        <v>3</v>
      </c>
      <c r="AA970">
        <v>80</v>
      </c>
      <c r="AB970">
        <v>1</v>
      </c>
      <c r="AC970">
        <v>18</v>
      </c>
      <c r="AD970">
        <v>2</v>
      </c>
      <c r="AE970">
        <v>3</v>
      </c>
      <c r="AF970">
        <v>8</v>
      </c>
      <c r="AG970">
        <v>7</v>
      </c>
      <c r="AH970">
        <v>7</v>
      </c>
      <c r="AI970">
        <v>7</v>
      </c>
    </row>
    <row r="971" spans="1:35" x14ac:dyDescent="0.3">
      <c r="A971">
        <v>37</v>
      </c>
      <c r="B971" t="s">
        <v>40</v>
      </c>
      <c r="C971" t="s">
        <v>33</v>
      </c>
      <c r="D971">
        <v>446</v>
      </c>
      <c r="E971" t="s">
        <v>42</v>
      </c>
      <c r="F971">
        <v>1</v>
      </c>
      <c r="G971">
        <v>4</v>
      </c>
      <c r="H971" t="s">
        <v>35</v>
      </c>
      <c r="I971">
        <v>1</v>
      </c>
      <c r="J971">
        <v>635</v>
      </c>
      <c r="K971">
        <v>2</v>
      </c>
      <c r="L971" s="17" t="s">
        <v>36</v>
      </c>
      <c r="M971">
        <v>65</v>
      </c>
      <c r="N971">
        <v>3</v>
      </c>
      <c r="O971">
        <v>2</v>
      </c>
      <c r="P971" t="s">
        <v>50</v>
      </c>
      <c r="Q971">
        <v>2</v>
      </c>
      <c r="R971" t="s">
        <v>45</v>
      </c>
      <c r="S971" s="6">
        <v>6447</v>
      </c>
      <c r="T971">
        <v>15701</v>
      </c>
      <c r="U971">
        <v>6</v>
      </c>
      <c r="V971" t="s">
        <v>39</v>
      </c>
      <c r="W971" t="s">
        <v>40</v>
      </c>
      <c r="X971">
        <v>12</v>
      </c>
      <c r="Y971">
        <v>3</v>
      </c>
      <c r="Z971">
        <v>2</v>
      </c>
      <c r="AA971">
        <v>80</v>
      </c>
      <c r="AB971">
        <v>1</v>
      </c>
      <c r="AC971">
        <v>8</v>
      </c>
      <c r="AD971">
        <v>2</v>
      </c>
      <c r="AE971">
        <v>2</v>
      </c>
      <c r="AF971">
        <v>6</v>
      </c>
      <c r="AG971">
        <v>5</v>
      </c>
      <c r="AH971">
        <v>4</v>
      </c>
      <c r="AI971">
        <v>3</v>
      </c>
    </row>
    <row r="972" spans="1:35" x14ac:dyDescent="0.3">
      <c r="A972">
        <v>44</v>
      </c>
      <c r="B972" t="s">
        <v>40</v>
      </c>
      <c r="C972" t="s">
        <v>33</v>
      </c>
      <c r="D972">
        <v>1459</v>
      </c>
      <c r="E972" t="s">
        <v>42</v>
      </c>
      <c r="F972">
        <v>10</v>
      </c>
      <c r="G972">
        <v>4</v>
      </c>
      <c r="H972" t="s">
        <v>46</v>
      </c>
      <c r="I972">
        <v>1</v>
      </c>
      <c r="J972">
        <v>40</v>
      </c>
      <c r="K972">
        <v>4</v>
      </c>
      <c r="L972" s="17" t="s">
        <v>43</v>
      </c>
      <c r="M972">
        <v>41</v>
      </c>
      <c r="N972">
        <v>3</v>
      </c>
      <c r="O972">
        <v>2</v>
      </c>
      <c r="P972" t="s">
        <v>51</v>
      </c>
      <c r="Q972">
        <v>4</v>
      </c>
      <c r="R972" t="s">
        <v>45</v>
      </c>
      <c r="S972" s="6">
        <v>6465</v>
      </c>
      <c r="T972">
        <v>19121</v>
      </c>
      <c r="U972">
        <v>2</v>
      </c>
      <c r="V972" t="s">
        <v>39</v>
      </c>
      <c r="W972" t="s">
        <v>32</v>
      </c>
      <c r="X972">
        <v>13</v>
      </c>
      <c r="Y972">
        <v>3</v>
      </c>
      <c r="Z972">
        <v>4</v>
      </c>
      <c r="AA972">
        <v>80</v>
      </c>
      <c r="AB972">
        <v>0</v>
      </c>
      <c r="AC972">
        <v>9</v>
      </c>
      <c r="AD972">
        <v>5</v>
      </c>
      <c r="AE972">
        <v>4</v>
      </c>
      <c r="AF972">
        <v>4</v>
      </c>
      <c r="AG972">
        <v>2</v>
      </c>
      <c r="AH972">
        <v>1</v>
      </c>
      <c r="AI972">
        <v>3</v>
      </c>
    </row>
    <row r="973" spans="1:35" x14ac:dyDescent="0.3">
      <c r="A973">
        <v>39</v>
      </c>
      <c r="B973" t="s">
        <v>40</v>
      </c>
      <c r="C973" t="s">
        <v>52</v>
      </c>
      <c r="D973">
        <v>792</v>
      </c>
      <c r="E973" t="s">
        <v>42</v>
      </c>
      <c r="F973">
        <v>1</v>
      </c>
      <c r="G973">
        <v>3</v>
      </c>
      <c r="H973" t="s">
        <v>35</v>
      </c>
      <c r="I973">
        <v>1</v>
      </c>
      <c r="J973">
        <v>1737</v>
      </c>
      <c r="K973">
        <v>4</v>
      </c>
      <c r="L973" s="17" t="s">
        <v>43</v>
      </c>
      <c r="M973">
        <v>77</v>
      </c>
      <c r="N973">
        <v>3</v>
      </c>
      <c r="O973">
        <v>2</v>
      </c>
      <c r="P973" t="s">
        <v>47</v>
      </c>
      <c r="Q973">
        <v>4</v>
      </c>
      <c r="R973" t="s">
        <v>45</v>
      </c>
      <c r="S973" s="6">
        <v>6472</v>
      </c>
      <c r="T973">
        <v>8989</v>
      </c>
      <c r="U973">
        <v>1</v>
      </c>
      <c r="V973" t="s">
        <v>39</v>
      </c>
      <c r="W973" t="s">
        <v>32</v>
      </c>
      <c r="X973">
        <v>15</v>
      </c>
      <c r="Y973">
        <v>3</v>
      </c>
      <c r="Z973">
        <v>4</v>
      </c>
      <c r="AA973">
        <v>80</v>
      </c>
      <c r="AB973">
        <v>1</v>
      </c>
      <c r="AC973">
        <v>9</v>
      </c>
      <c r="AD973">
        <v>2</v>
      </c>
      <c r="AE973">
        <v>3</v>
      </c>
      <c r="AF973">
        <v>9</v>
      </c>
      <c r="AG973">
        <v>8</v>
      </c>
      <c r="AH973">
        <v>5</v>
      </c>
      <c r="AI973">
        <v>8</v>
      </c>
    </row>
    <row r="974" spans="1:35" x14ac:dyDescent="0.3">
      <c r="A974">
        <v>37</v>
      </c>
      <c r="B974" t="s">
        <v>40</v>
      </c>
      <c r="C974" t="s">
        <v>33</v>
      </c>
      <c r="D974">
        <v>977</v>
      </c>
      <c r="E974" t="s">
        <v>42</v>
      </c>
      <c r="F974">
        <v>1</v>
      </c>
      <c r="G974">
        <v>3</v>
      </c>
      <c r="H974" t="s">
        <v>35</v>
      </c>
      <c r="I974">
        <v>1</v>
      </c>
      <c r="J974">
        <v>1196</v>
      </c>
      <c r="K974">
        <v>4</v>
      </c>
      <c r="L974" s="17" t="s">
        <v>36</v>
      </c>
      <c r="M974">
        <v>56</v>
      </c>
      <c r="N974">
        <v>2</v>
      </c>
      <c r="O974">
        <v>2</v>
      </c>
      <c r="P974" t="s">
        <v>50</v>
      </c>
      <c r="Q974">
        <v>4</v>
      </c>
      <c r="R974" t="s">
        <v>45</v>
      </c>
      <c r="S974" s="6">
        <v>6474</v>
      </c>
      <c r="T974">
        <v>9961</v>
      </c>
      <c r="U974">
        <v>1</v>
      </c>
      <c r="V974" t="s">
        <v>39</v>
      </c>
      <c r="W974" t="s">
        <v>40</v>
      </c>
      <c r="X974">
        <v>13</v>
      </c>
      <c r="Y974">
        <v>3</v>
      </c>
      <c r="Z974">
        <v>2</v>
      </c>
      <c r="AA974">
        <v>80</v>
      </c>
      <c r="AB974">
        <v>1</v>
      </c>
      <c r="AC974">
        <v>14</v>
      </c>
      <c r="AD974">
        <v>2</v>
      </c>
      <c r="AE974">
        <v>2</v>
      </c>
      <c r="AF974">
        <v>14</v>
      </c>
      <c r="AG974">
        <v>8</v>
      </c>
      <c r="AH974">
        <v>3</v>
      </c>
      <c r="AI974">
        <v>11</v>
      </c>
    </row>
    <row r="975" spans="1:35" x14ac:dyDescent="0.3">
      <c r="A975">
        <v>36</v>
      </c>
      <c r="B975" t="s">
        <v>40</v>
      </c>
      <c r="C975" t="s">
        <v>41</v>
      </c>
      <c r="D975">
        <v>1195</v>
      </c>
      <c r="E975" t="s">
        <v>42</v>
      </c>
      <c r="F975">
        <v>11</v>
      </c>
      <c r="G975">
        <v>3</v>
      </c>
      <c r="H975" t="s">
        <v>35</v>
      </c>
      <c r="I975">
        <v>1</v>
      </c>
      <c r="J975">
        <v>85</v>
      </c>
      <c r="K975">
        <v>2</v>
      </c>
      <c r="L975" s="17" t="s">
        <v>43</v>
      </c>
      <c r="M975">
        <v>95</v>
      </c>
      <c r="N975">
        <v>2</v>
      </c>
      <c r="O975">
        <v>2</v>
      </c>
      <c r="P975" t="s">
        <v>50</v>
      </c>
      <c r="Q975">
        <v>2</v>
      </c>
      <c r="R975" t="s">
        <v>38</v>
      </c>
      <c r="S975" s="6">
        <v>6499</v>
      </c>
      <c r="T975">
        <v>22656</v>
      </c>
      <c r="U975">
        <v>1</v>
      </c>
      <c r="V975" t="s">
        <v>39</v>
      </c>
      <c r="W975" t="s">
        <v>40</v>
      </c>
      <c r="X975">
        <v>13</v>
      </c>
      <c r="Y975">
        <v>3</v>
      </c>
      <c r="Z975">
        <v>3</v>
      </c>
      <c r="AA975">
        <v>80</v>
      </c>
      <c r="AB975">
        <v>0</v>
      </c>
      <c r="AC975">
        <v>6</v>
      </c>
      <c r="AD975">
        <v>3</v>
      </c>
      <c r="AE975">
        <v>3</v>
      </c>
      <c r="AF975">
        <v>6</v>
      </c>
      <c r="AG975">
        <v>5</v>
      </c>
      <c r="AH975">
        <v>0</v>
      </c>
      <c r="AI975">
        <v>3</v>
      </c>
    </row>
    <row r="976" spans="1:35" x14ac:dyDescent="0.3">
      <c r="A976">
        <v>34</v>
      </c>
      <c r="B976" t="s">
        <v>40</v>
      </c>
      <c r="C976" t="s">
        <v>33</v>
      </c>
      <c r="D976">
        <v>1111</v>
      </c>
      <c r="E976" t="s">
        <v>34</v>
      </c>
      <c r="F976">
        <v>8</v>
      </c>
      <c r="G976">
        <v>2</v>
      </c>
      <c r="H976" t="s">
        <v>35</v>
      </c>
      <c r="I976">
        <v>1</v>
      </c>
      <c r="J976">
        <v>808</v>
      </c>
      <c r="K976">
        <v>3</v>
      </c>
      <c r="L976" s="17" t="s">
        <v>36</v>
      </c>
      <c r="M976">
        <v>93</v>
      </c>
      <c r="N976">
        <v>3</v>
      </c>
      <c r="O976">
        <v>2</v>
      </c>
      <c r="P976" t="s">
        <v>37</v>
      </c>
      <c r="Q976">
        <v>1</v>
      </c>
      <c r="R976" t="s">
        <v>45</v>
      </c>
      <c r="S976" s="6">
        <v>6500</v>
      </c>
      <c r="T976">
        <v>13305</v>
      </c>
      <c r="U976">
        <v>5</v>
      </c>
      <c r="V976" t="s">
        <v>39</v>
      </c>
      <c r="W976" t="s">
        <v>40</v>
      </c>
      <c r="X976">
        <v>17</v>
      </c>
      <c r="Y976">
        <v>3</v>
      </c>
      <c r="Z976">
        <v>2</v>
      </c>
      <c r="AA976">
        <v>80</v>
      </c>
      <c r="AB976">
        <v>1</v>
      </c>
      <c r="AC976">
        <v>6</v>
      </c>
      <c r="AD976">
        <v>1</v>
      </c>
      <c r="AE976">
        <v>3</v>
      </c>
      <c r="AF976">
        <v>3</v>
      </c>
      <c r="AG976">
        <v>2</v>
      </c>
      <c r="AH976">
        <v>1</v>
      </c>
      <c r="AI976">
        <v>2</v>
      </c>
    </row>
    <row r="977" spans="1:35" x14ac:dyDescent="0.3">
      <c r="A977">
        <v>27</v>
      </c>
      <c r="B977" t="s">
        <v>40</v>
      </c>
      <c r="C977" t="s">
        <v>33</v>
      </c>
      <c r="D977">
        <v>511</v>
      </c>
      <c r="E977" t="s">
        <v>34</v>
      </c>
      <c r="F977">
        <v>2</v>
      </c>
      <c r="G977">
        <v>2</v>
      </c>
      <c r="H977" t="s">
        <v>48</v>
      </c>
      <c r="I977">
        <v>1</v>
      </c>
      <c r="J977">
        <v>1898</v>
      </c>
      <c r="K977">
        <v>1</v>
      </c>
      <c r="L977" s="17" t="s">
        <v>36</v>
      </c>
      <c r="M977">
        <v>89</v>
      </c>
      <c r="N977">
        <v>4</v>
      </c>
      <c r="O977">
        <v>2</v>
      </c>
      <c r="P977" t="s">
        <v>37</v>
      </c>
      <c r="Q977">
        <v>3</v>
      </c>
      <c r="R977" t="s">
        <v>38</v>
      </c>
      <c r="S977" s="6">
        <v>6500</v>
      </c>
      <c r="T977">
        <v>26997</v>
      </c>
      <c r="U977">
        <v>0</v>
      </c>
      <c r="V977" t="s">
        <v>39</v>
      </c>
      <c r="W977" t="s">
        <v>40</v>
      </c>
      <c r="X977">
        <v>14</v>
      </c>
      <c r="Y977">
        <v>3</v>
      </c>
      <c r="Z977">
        <v>2</v>
      </c>
      <c r="AA977">
        <v>80</v>
      </c>
      <c r="AB977">
        <v>0</v>
      </c>
      <c r="AC977">
        <v>9</v>
      </c>
      <c r="AD977">
        <v>5</v>
      </c>
      <c r="AE977">
        <v>2</v>
      </c>
      <c r="AF977">
        <v>8</v>
      </c>
      <c r="AG977">
        <v>7</v>
      </c>
      <c r="AH977">
        <v>0</v>
      </c>
      <c r="AI977">
        <v>7</v>
      </c>
    </row>
    <row r="978" spans="1:35" x14ac:dyDescent="0.3">
      <c r="A978">
        <v>37</v>
      </c>
      <c r="B978" t="s">
        <v>40</v>
      </c>
      <c r="C978" t="s">
        <v>33</v>
      </c>
      <c r="D978">
        <v>228</v>
      </c>
      <c r="E978" t="s">
        <v>34</v>
      </c>
      <c r="F978">
        <v>6</v>
      </c>
      <c r="G978">
        <v>4</v>
      </c>
      <c r="H978" t="s">
        <v>48</v>
      </c>
      <c r="I978">
        <v>1</v>
      </c>
      <c r="J978">
        <v>378</v>
      </c>
      <c r="K978">
        <v>3</v>
      </c>
      <c r="L978" s="17" t="s">
        <v>43</v>
      </c>
      <c r="M978">
        <v>98</v>
      </c>
      <c r="N978">
        <v>3</v>
      </c>
      <c r="O978">
        <v>2</v>
      </c>
      <c r="P978" t="s">
        <v>37</v>
      </c>
      <c r="Q978">
        <v>4</v>
      </c>
      <c r="R978" t="s">
        <v>45</v>
      </c>
      <c r="S978" s="6">
        <v>6502</v>
      </c>
      <c r="T978">
        <v>22825</v>
      </c>
      <c r="U978">
        <v>4</v>
      </c>
      <c r="V978" t="s">
        <v>39</v>
      </c>
      <c r="W978" t="s">
        <v>40</v>
      </c>
      <c r="X978">
        <v>14</v>
      </c>
      <c r="Y978">
        <v>3</v>
      </c>
      <c r="Z978">
        <v>2</v>
      </c>
      <c r="AA978">
        <v>80</v>
      </c>
      <c r="AB978">
        <v>1</v>
      </c>
      <c r="AC978">
        <v>7</v>
      </c>
      <c r="AD978">
        <v>5</v>
      </c>
      <c r="AE978">
        <v>4</v>
      </c>
      <c r="AF978">
        <v>5</v>
      </c>
      <c r="AG978">
        <v>4</v>
      </c>
      <c r="AH978">
        <v>0</v>
      </c>
      <c r="AI978">
        <v>1</v>
      </c>
    </row>
    <row r="979" spans="1:35" x14ac:dyDescent="0.3">
      <c r="A979">
        <v>40</v>
      </c>
      <c r="B979" t="s">
        <v>40</v>
      </c>
      <c r="C979" t="s">
        <v>33</v>
      </c>
      <c r="D979">
        <v>1194</v>
      </c>
      <c r="E979" t="s">
        <v>42</v>
      </c>
      <c r="F979">
        <v>1</v>
      </c>
      <c r="G979">
        <v>3</v>
      </c>
      <c r="H979" t="s">
        <v>35</v>
      </c>
      <c r="I979">
        <v>1</v>
      </c>
      <c r="J979">
        <v>1822</v>
      </c>
      <c r="K979">
        <v>3</v>
      </c>
      <c r="L979" s="17" t="s">
        <v>36</v>
      </c>
      <c r="M979">
        <v>52</v>
      </c>
      <c r="N979">
        <v>3</v>
      </c>
      <c r="O979">
        <v>2</v>
      </c>
      <c r="P979" t="s">
        <v>51</v>
      </c>
      <c r="Q979">
        <v>4</v>
      </c>
      <c r="R979" t="s">
        <v>49</v>
      </c>
      <c r="S979" s="6">
        <v>6513</v>
      </c>
      <c r="T979">
        <v>9060</v>
      </c>
      <c r="U979">
        <v>4</v>
      </c>
      <c r="V979" t="s">
        <v>39</v>
      </c>
      <c r="W979" t="s">
        <v>40</v>
      </c>
      <c r="X979">
        <v>17</v>
      </c>
      <c r="Y979">
        <v>3</v>
      </c>
      <c r="Z979">
        <v>4</v>
      </c>
      <c r="AA979">
        <v>80</v>
      </c>
      <c r="AB979">
        <v>1</v>
      </c>
      <c r="AC979">
        <v>12</v>
      </c>
      <c r="AD979">
        <v>3</v>
      </c>
      <c r="AE979">
        <v>3</v>
      </c>
      <c r="AF979">
        <v>5</v>
      </c>
      <c r="AG979">
        <v>3</v>
      </c>
      <c r="AH979">
        <v>0</v>
      </c>
      <c r="AI979">
        <v>3</v>
      </c>
    </row>
    <row r="980" spans="1:35" x14ac:dyDescent="0.3">
      <c r="A980">
        <v>40</v>
      </c>
      <c r="B980" t="s">
        <v>40</v>
      </c>
      <c r="C980" t="s">
        <v>33</v>
      </c>
      <c r="D980">
        <v>369</v>
      </c>
      <c r="E980" t="s">
        <v>42</v>
      </c>
      <c r="F980">
        <v>8</v>
      </c>
      <c r="G980">
        <v>2</v>
      </c>
      <c r="H980" t="s">
        <v>35</v>
      </c>
      <c r="I980">
        <v>1</v>
      </c>
      <c r="J980">
        <v>1724</v>
      </c>
      <c r="K980">
        <v>2</v>
      </c>
      <c r="L980" s="17" t="s">
        <v>36</v>
      </c>
      <c r="M980">
        <v>92</v>
      </c>
      <c r="N980">
        <v>3</v>
      </c>
      <c r="O980">
        <v>2</v>
      </c>
      <c r="P980" t="s">
        <v>50</v>
      </c>
      <c r="Q980">
        <v>1</v>
      </c>
      <c r="R980" t="s">
        <v>45</v>
      </c>
      <c r="S980" s="6">
        <v>6516</v>
      </c>
      <c r="T980">
        <v>5041</v>
      </c>
      <c r="U980">
        <v>2</v>
      </c>
      <c r="V980" t="s">
        <v>39</v>
      </c>
      <c r="W980" t="s">
        <v>32</v>
      </c>
      <c r="X980">
        <v>16</v>
      </c>
      <c r="Y980">
        <v>3</v>
      </c>
      <c r="Z980">
        <v>2</v>
      </c>
      <c r="AA980">
        <v>80</v>
      </c>
      <c r="AB980">
        <v>1</v>
      </c>
      <c r="AC980">
        <v>18</v>
      </c>
      <c r="AD980">
        <v>3</v>
      </c>
      <c r="AE980">
        <v>3</v>
      </c>
      <c r="AF980">
        <v>1</v>
      </c>
      <c r="AG980">
        <v>0</v>
      </c>
      <c r="AH980">
        <v>0</v>
      </c>
      <c r="AI980">
        <v>0</v>
      </c>
    </row>
    <row r="981" spans="1:35" x14ac:dyDescent="0.3">
      <c r="A981">
        <v>32</v>
      </c>
      <c r="B981" t="s">
        <v>40</v>
      </c>
      <c r="C981" t="s">
        <v>41</v>
      </c>
      <c r="D981">
        <v>379</v>
      </c>
      <c r="E981" t="s">
        <v>34</v>
      </c>
      <c r="F981">
        <v>5</v>
      </c>
      <c r="G981">
        <v>2</v>
      </c>
      <c r="H981" t="s">
        <v>35</v>
      </c>
      <c r="I981">
        <v>1</v>
      </c>
      <c r="J981">
        <v>889</v>
      </c>
      <c r="K981">
        <v>2</v>
      </c>
      <c r="L981" s="17" t="s">
        <v>43</v>
      </c>
      <c r="M981">
        <v>48</v>
      </c>
      <c r="N981">
        <v>3</v>
      </c>
      <c r="O981">
        <v>2</v>
      </c>
      <c r="P981" t="s">
        <v>37</v>
      </c>
      <c r="Q981">
        <v>2</v>
      </c>
      <c r="R981" t="s">
        <v>45</v>
      </c>
      <c r="S981" s="6">
        <v>6524</v>
      </c>
      <c r="T981">
        <v>8891</v>
      </c>
      <c r="U981">
        <v>1</v>
      </c>
      <c r="V981" t="s">
        <v>39</v>
      </c>
      <c r="W981" t="s">
        <v>40</v>
      </c>
      <c r="X981">
        <v>14</v>
      </c>
      <c r="Y981">
        <v>3</v>
      </c>
      <c r="Z981">
        <v>4</v>
      </c>
      <c r="AA981">
        <v>80</v>
      </c>
      <c r="AB981">
        <v>1</v>
      </c>
      <c r="AC981">
        <v>10</v>
      </c>
      <c r="AD981">
        <v>3</v>
      </c>
      <c r="AE981">
        <v>3</v>
      </c>
      <c r="AF981">
        <v>10</v>
      </c>
      <c r="AG981">
        <v>8</v>
      </c>
      <c r="AH981">
        <v>5</v>
      </c>
      <c r="AI981">
        <v>3</v>
      </c>
    </row>
    <row r="982" spans="1:35" x14ac:dyDescent="0.3">
      <c r="A982">
        <v>34</v>
      </c>
      <c r="B982" t="s">
        <v>40</v>
      </c>
      <c r="C982" t="s">
        <v>52</v>
      </c>
      <c r="D982">
        <v>1381</v>
      </c>
      <c r="E982" t="s">
        <v>34</v>
      </c>
      <c r="F982">
        <v>4</v>
      </c>
      <c r="G982">
        <v>4</v>
      </c>
      <c r="H982" t="s">
        <v>56</v>
      </c>
      <c r="I982">
        <v>1</v>
      </c>
      <c r="J982">
        <v>523</v>
      </c>
      <c r="K982">
        <v>3</v>
      </c>
      <c r="L982" s="17" t="s">
        <v>36</v>
      </c>
      <c r="M982">
        <v>72</v>
      </c>
      <c r="N982">
        <v>3</v>
      </c>
      <c r="O982">
        <v>2</v>
      </c>
      <c r="P982" t="s">
        <v>37</v>
      </c>
      <c r="Q982">
        <v>3</v>
      </c>
      <c r="R982" t="s">
        <v>45</v>
      </c>
      <c r="S982" s="6">
        <v>6538</v>
      </c>
      <c r="T982">
        <v>12740</v>
      </c>
      <c r="U982">
        <v>9</v>
      </c>
      <c r="V982" t="s">
        <v>39</v>
      </c>
      <c r="W982" t="s">
        <v>40</v>
      </c>
      <c r="X982">
        <v>15</v>
      </c>
      <c r="Y982">
        <v>3</v>
      </c>
      <c r="Z982">
        <v>1</v>
      </c>
      <c r="AA982">
        <v>80</v>
      </c>
      <c r="AB982">
        <v>1</v>
      </c>
      <c r="AC982">
        <v>6</v>
      </c>
      <c r="AD982">
        <v>3</v>
      </c>
      <c r="AE982">
        <v>3</v>
      </c>
      <c r="AF982">
        <v>3</v>
      </c>
      <c r="AG982">
        <v>2</v>
      </c>
      <c r="AH982">
        <v>1</v>
      </c>
      <c r="AI982">
        <v>2</v>
      </c>
    </row>
    <row r="983" spans="1:35" x14ac:dyDescent="0.3">
      <c r="A983">
        <v>35</v>
      </c>
      <c r="B983" t="s">
        <v>40</v>
      </c>
      <c r="C983" t="s">
        <v>33</v>
      </c>
      <c r="D983">
        <v>755</v>
      </c>
      <c r="E983" t="s">
        <v>42</v>
      </c>
      <c r="F983">
        <v>9</v>
      </c>
      <c r="G983">
        <v>4</v>
      </c>
      <c r="H983" t="s">
        <v>35</v>
      </c>
      <c r="I983">
        <v>1</v>
      </c>
      <c r="J983">
        <v>496</v>
      </c>
      <c r="K983">
        <v>3</v>
      </c>
      <c r="L983" s="17" t="s">
        <v>43</v>
      </c>
      <c r="M983">
        <v>97</v>
      </c>
      <c r="N983">
        <v>2</v>
      </c>
      <c r="O983">
        <v>2</v>
      </c>
      <c r="P983" t="s">
        <v>51</v>
      </c>
      <c r="Q983">
        <v>2</v>
      </c>
      <c r="R983" t="s">
        <v>38</v>
      </c>
      <c r="S983" s="6">
        <v>6540</v>
      </c>
      <c r="T983">
        <v>19394</v>
      </c>
      <c r="U983">
        <v>9</v>
      </c>
      <c r="V983" t="s">
        <v>39</v>
      </c>
      <c r="W983" t="s">
        <v>40</v>
      </c>
      <c r="X983">
        <v>19</v>
      </c>
      <c r="Y983">
        <v>3</v>
      </c>
      <c r="Z983">
        <v>3</v>
      </c>
      <c r="AA983">
        <v>80</v>
      </c>
      <c r="AB983">
        <v>0</v>
      </c>
      <c r="AC983">
        <v>10</v>
      </c>
      <c r="AD983">
        <v>5</v>
      </c>
      <c r="AE983">
        <v>3</v>
      </c>
      <c r="AF983">
        <v>1</v>
      </c>
      <c r="AG983">
        <v>1</v>
      </c>
      <c r="AH983">
        <v>0</v>
      </c>
      <c r="AI983">
        <v>0</v>
      </c>
    </row>
    <row r="984" spans="1:35" x14ac:dyDescent="0.3">
      <c r="A984">
        <v>42</v>
      </c>
      <c r="B984" t="s">
        <v>40</v>
      </c>
      <c r="C984" t="s">
        <v>33</v>
      </c>
      <c r="D984">
        <v>916</v>
      </c>
      <c r="E984" t="s">
        <v>42</v>
      </c>
      <c r="F984">
        <v>17</v>
      </c>
      <c r="G984">
        <v>2</v>
      </c>
      <c r="H984" t="s">
        <v>35</v>
      </c>
      <c r="I984">
        <v>1</v>
      </c>
      <c r="J984">
        <v>347</v>
      </c>
      <c r="K984">
        <v>4</v>
      </c>
      <c r="L984" s="17" t="s">
        <v>36</v>
      </c>
      <c r="M984">
        <v>82</v>
      </c>
      <c r="N984">
        <v>4</v>
      </c>
      <c r="O984">
        <v>2</v>
      </c>
      <c r="P984" t="s">
        <v>44</v>
      </c>
      <c r="Q984">
        <v>1</v>
      </c>
      <c r="R984" t="s">
        <v>38</v>
      </c>
      <c r="S984" s="6">
        <v>6545</v>
      </c>
      <c r="T984">
        <v>23016</v>
      </c>
      <c r="U984">
        <v>3</v>
      </c>
      <c r="V984" t="s">
        <v>39</v>
      </c>
      <c r="W984" t="s">
        <v>32</v>
      </c>
      <c r="X984">
        <v>13</v>
      </c>
      <c r="Y984">
        <v>3</v>
      </c>
      <c r="Z984">
        <v>3</v>
      </c>
      <c r="AA984">
        <v>80</v>
      </c>
      <c r="AB984">
        <v>0</v>
      </c>
      <c r="AC984">
        <v>10</v>
      </c>
      <c r="AD984">
        <v>1</v>
      </c>
      <c r="AE984">
        <v>3</v>
      </c>
      <c r="AF984">
        <v>3</v>
      </c>
      <c r="AG984">
        <v>2</v>
      </c>
      <c r="AH984">
        <v>0</v>
      </c>
      <c r="AI984">
        <v>2</v>
      </c>
    </row>
    <row r="985" spans="1:35" x14ac:dyDescent="0.3">
      <c r="A985">
        <v>28</v>
      </c>
      <c r="B985" t="s">
        <v>40</v>
      </c>
      <c r="C985" t="s">
        <v>33</v>
      </c>
      <c r="D985">
        <v>1083</v>
      </c>
      <c r="E985" t="s">
        <v>42</v>
      </c>
      <c r="F985">
        <v>29</v>
      </c>
      <c r="G985">
        <v>1</v>
      </c>
      <c r="H985" t="s">
        <v>35</v>
      </c>
      <c r="I985">
        <v>1</v>
      </c>
      <c r="J985">
        <v>1514</v>
      </c>
      <c r="K985">
        <v>3</v>
      </c>
      <c r="L985" s="17" t="s">
        <v>43</v>
      </c>
      <c r="M985">
        <v>96</v>
      </c>
      <c r="N985">
        <v>1</v>
      </c>
      <c r="O985">
        <v>2</v>
      </c>
      <c r="P985" t="s">
        <v>50</v>
      </c>
      <c r="Q985">
        <v>2</v>
      </c>
      <c r="R985" t="s">
        <v>45</v>
      </c>
      <c r="S985" s="6">
        <v>6549</v>
      </c>
      <c r="T985">
        <v>3173</v>
      </c>
      <c r="U985">
        <v>1</v>
      </c>
      <c r="V985" t="s">
        <v>39</v>
      </c>
      <c r="W985" t="s">
        <v>40</v>
      </c>
      <c r="X985">
        <v>14</v>
      </c>
      <c r="Y985">
        <v>3</v>
      </c>
      <c r="Z985">
        <v>2</v>
      </c>
      <c r="AA985">
        <v>80</v>
      </c>
      <c r="AB985">
        <v>2</v>
      </c>
      <c r="AC985">
        <v>8</v>
      </c>
      <c r="AD985">
        <v>2</v>
      </c>
      <c r="AE985">
        <v>2</v>
      </c>
      <c r="AF985">
        <v>8</v>
      </c>
      <c r="AG985">
        <v>6</v>
      </c>
      <c r="AH985">
        <v>1</v>
      </c>
      <c r="AI985">
        <v>7</v>
      </c>
    </row>
    <row r="986" spans="1:35" x14ac:dyDescent="0.3">
      <c r="A986">
        <v>38</v>
      </c>
      <c r="B986" t="s">
        <v>40</v>
      </c>
      <c r="C986" t="s">
        <v>33</v>
      </c>
      <c r="D986">
        <v>1261</v>
      </c>
      <c r="E986" t="s">
        <v>42</v>
      </c>
      <c r="F986">
        <v>2</v>
      </c>
      <c r="G986">
        <v>4</v>
      </c>
      <c r="H986" t="s">
        <v>35</v>
      </c>
      <c r="I986">
        <v>1</v>
      </c>
      <c r="J986">
        <v>271</v>
      </c>
      <c r="K986">
        <v>4</v>
      </c>
      <c r="L986" s="17" t="s">
        <v>43</v>
      </c>
      <c r="M986">
        <v>88</v>
      </c>
      <c r="N986">
        <v>3</v>
      </c>
      <c r="O986">
        <v>2</v>
      </c>
      <c r="P986" t="s">
        <v>50</v>
      </c>
      <c r="Q986">
        <v>3</v>
      </c>
      <c r="R986" t="s">
        <v>45</v>
      </c>
      <c r="S986" s="6">
        <v>6553</v>
      </c>
      <c r="T986">
        <v>7259</v>
      </c>
      <c r="U986">
        <v>9</v>
      </c>
      <c r="V986" t="s">
        <v>39</v>
      </c>
      <c r="W986" t="s">
        <v>40</v>
      </c>
      <c r="X986">
        <v>14</v>
      </c>
      <c r="Y986">
        <v>3</v>
      </c>
      <c r="Z986">
        <v>2</v>
      </c>
      <c r="AA986">
        <v>80</v>
      </c>
      <c r="AB986">
        <v>0</v>
      </c>
      <c r="AC986">
        <v>14</v>
      </c>
      <c r="AD986">
        <v>3</v>
      </c>
      <c r="AE986">
        <v>3</v>
      </c>
      <c r="AF986">
        <v>1</v>
      </c>
      <c r="AG986">
        <v>0</v>
      </c>
      <c r="AH986">
        <v>0</v>
      </c>
      <c r="AI986">
        <v>0</v>
      </c>
    </row>
    <row r="987" spans="1:35" x14ac:dyDescent="0.3">
      <c r="A987">
        <v>49</v>
      </c>
      <c r="B987" t="s">
        <v>40</v>
      </c>
      <c r="C987" t="s">
        <v>33</v>
      </c>
      <c r="D987">
        <v>470</v>
      </c>
      <c r="E987" t="s">
        <v>42</v>
      </c>
      <c r="F987">
        <v>20</v>
      </c>
      <c r="G987">
        <v>4</v>
      </c>
      <c r="H987" t="s">
        <v>48</v>
      </c>
      <c r="I987">
        <v>1</v>
      </c>
      <c r="J987">
        <v>170</v>
      </c>
      <c r="K987">
        <v>3</v>
      </c>
      <c r="L987" s="17" t="s">
        <v>36</v>
      </c>
      <c r="M987">
        <v>96</v>
      </c>
      <c r="N987">
        <v>3</v>
      </c>
      <c r="O987">
        <v>2</v>
      </c>
      <c r="P987" t="s">
        <v>50</v>
      </c>
      <c r="Q987">
        <v>1</v>
      </c>
      <c r="R987" t="s">
        <v>45</v>
      </c>
      <c r="S987" s="6">
        <v>6567</v>
      </c>
      <c r="T987">
        <v>5549</v>
      </c>
      <c r="U987">
        <v>1</v>
      </c>
      <c r="V987" t="s">
        <v>39</v>
      </c>
      <c r="W987" t="s">
        <v>40</v>
      </c>
      <c r="X987">
        <v>14</v>
      </c>
      <c r="Y987">
        <v>3</v>
      </c>
      <c r="Z987">
        <v>3</v>
      </c>
      <c r="AA987">
        <v>80</v>
      </c>
      <c r="AB987">
        <v>0</v>
      </c>
      <c r="AC987">
        <v>16</v>
      </c>
      <c r="AD987">
        <v>2</v>
      </c>
      <c r="AE987">
        <v>2</v>
      </c>
      <c r="AF987">
        <v>15</v>
      </c>
      <c r="AG987">
        <v>11</v>
      </c>
      <c r="AH987">
        <v>5</v>
      </c>
      <c r="AI987">
        <v>11</v>
      </c>
    </row>
    <row r="988" spans="1:35" x14ac:dyDescent="0.3">
      <c r="A988">
        <v>30</v>
      </c>
      <c r="B988" t="s">
        <v>40</v>
      </c>
      <c r="C988" t="s">
        <v>33</v>
      </c>
      <c r="D988">
        <v>1082</v>
      </c>
      <c r="E988" t="s">
        <v>34</v>
      </c>
      <c r="F988">
        <v>12</v>
      </c>
      <c r="G988">
        <v>3</v>
      </c>
      <c r="H988" t="s">
        <v>57</v>
      </c>
      <c r="I988">
        <v>1</v>
      </c>
      <c r="J988">
        <v>533</v>
      </c>
      <c r="K988">
        <v>2</v>
      </c>
      <c r="L988" s="17" t="s">
        <v>36</v>
      </c>
      <c r="M988">
        <v>83</v>
      </c>
      <c r="N988">
        <v>3</v>
      </c>
      <c r="O988">
        <v>2</v>
      </c>
      <c r="P988" t="s">
        <v>37</v>
      </c>
      <c r="Q988">
        <v>3</v>
      </c>
      <c r="R988" t="s">
        <v>38</v>
      </c>
      <c r="S988" s="6">
        <v>6577</v>
      </c>
      <c r="T988">
        <v>19558</v>
      </c>
      <c r="U988">
        <v>0</v>
      </c>
      <c r="V988" t="s">
        <v>39</v>
      </c>
      <c r="W988" t="s">
        <v>40</v>
      </c>
      <c r="X988">
        <v>11</v>
      </c>
      <c r="Y988">
        <v>3</v>
      </c>
      <c r="Z988">
        <v>2</v>
      </c>
      <c r="AA988">
        <v>80</v>
      </c>
      <c r="AB988">
        <v>0</v>
      </c>
      <c r="AC988">
        <v>6</v>
      </c>
      <c r="AD988">
        <v>6</v>
      </c>
      <c r="AE988">
        <v>3</v>
      </c>
      <c r="AF988">
        <v>5</v>
      </c>
      <c r="AG988">
        <v>4</v>
      </c>
      <c r="AH988">
        <v>4</v>
      </c>
      <c r="AI988">
        <v>4</v>
      </c>
    </row>
    <row r="989" spans="1:35" x14ac:dyDescent="0.3">
      <c r="A989">
        <v>30</v>
      </c>
      <c r="B989" t="s">
        <v>40</v>
      </c>
      <c r="C989" t="s">
        <v>33</v>
      </c>
      <c r="D989">
        <v>852</v>
      </c>
      <c r="E989" t="s">
        <v>34</v>
      </c>
      <c r="F989">
        <v>10</v>
      </c>
      <c r="G989">
        <v>3</v>
      </c>
      <c r="H989" t="s">
        <v>56</v>
      </c>
      <c r="I989">
        <v>1</v>
      </c>
      <c r="J989">
        <v>1179</v>
      </c>
      <c r="K989">
        <v>3</v>
      </c>
      <c r="L989" s="17" t="s">
        <v>43</v>
      </c>
      <c r="M989">
        <v>72</v>
      </c>
      <c r="N989">
        <v>2</v>
      </c>
      <c r="O989">
        <v>2</v>
      </c>
      <c r="P989" t="s">
        <v>37</v>
      </c>
      <c r="Q989">
        <v>3</v>
      </c>
      <c r="R989" t="s">
        <v>45</v>
      </c>
      <c r="S989" s="6">
        <v>6578</v>
      </c>
      <c r="T989">
        <v>2706</v>
      </c>
      <c r="U989">
        <v>1</v>
      </c>
      <c r="V989" t="s">
        <v>39</v>
      </c>
      <c r="W989" t="s">
        <v>40</v>
      </c>
      <c r="X989">
        <v>18</v>
      </c>
      <c r="Y989">
        <v>3</v>
      </c>
      <c r="Z989">
        <v>1</v>
      </c>
      <c r="AA989">
        <v>80</v>
      </c>
      <c r="AB989">
        <v>1</v>
      </c>
      <c r="AC989">
        <v>10</v>
      </c>
      <c r="AD989">
        <v>3</v>
      </c>
      <c r="AE989">
        <v>3</v>
      </c>
      <c r="AF989">
        <v>10</v>
      </c>
      <c r="AG989">
        <v>3</v>
      </c>
      <c r="AH989">
        <v>1</v>
      </c>
      <c r="AI989">
        <v>4</v>
      </c>
    </row>
    <row r="990" spans="1:35" x14ac:dyDescent="0.3">
      <c r="A990">
        <v>31</v>
      </c>
      <c r="B990" t="s">
        <v>40</v>
      </c>
      <c r="C990" t="s">
        <v>33</v>
      </c>
      <c r="D990">
        <v>828</v>
      </c>
      <c r="E990" t="s">
        <v>34</v>
      </c>
      <c r="F990">
        <v>2</v>
      </c>
      <c r="G990">
        <v>1</v>
      </c>
      <c r="H990" t="s">
        <v>35</v>
      </c>
      <c r="I990">
        <v>1</v>
      </c>
      <c r="J990">
        <v>604</v>
      </c>
      <c r="K990">
        <v>2</v>
      </c>
      <c r="L990" s="17" t="s">
        <v>43</v>
      </c>
      <c r="M990">
        <v>77</v>
      </c>
      <c r="N990">
        <v>3</v>
      </c>
      <c r="O990">
        <v>2</v>
      </c>
      <c r="P990" t="s">
        <v>37</v>
      </c>
      <c r="Q990">
        <v>4</v>
      </c>
      <c r="R990" t="s">
        <v>38</v>
      </c>
      <c r="S990" s="6">
        <v>6582</v>
      </c>
      <c r="T990">
        <v>8346</v>
      </c>
      <c r="U990">
        <v>4</v>
      </c>
      <c r="V990" t="s">
        <v>39</v>
      </c>
      <c r="W990" t="s">
        <v>32</v>
      </c>
      <c r="X990">
        <v>13</v>
      </c>
      <c r="Y990">
        <v>3</v>
      </c>
      <c r="Z990">
        <v>3</v>
      </c>
      <c r="AA990">
        <v>80</v>
      </c>
      <c r="AB990">
        <v>0</v>
      </c>
      <c r="AC990">
        <v>10</v>
      </c>
      <c r="AD990">
        <v>2</v>
      </c>
      <c r="AE990">
        <v>4</v>
      </c>
      <c r="AF990">
        <v>6</v>
      </c>
      <c r="AG990">
        <v>5</v>
      </c>
      <c r="AH990">
        <v>0</v>
      </c>
      <c r="AI990">
        <v>5</v>
      </c>
    </row>
    <row r="991" spans="1:35" x14ac:dyDescent="0.3">
      <c r="A991">
        <v>31</v>
      </c>
      <c r="B991" t="s">
        <v>40</v>
      </c>
      <c r="C991" t="s">
        <v>33</v>
      </c>
      <c r="D991">
        <v>1079</v>
      </c>
      <c r="E991" t="s">
        <v>34</v>
      </c>
      <c r="F991">
        <v>10</v>
      </c>
      <c r="G991">
        <v>2</v>
      </c>
      <c r="H991" t="s">
        <v>48</v>
      </c>
      <c r="I991">
        <v>1</v>
      </c>
      <c r="J991">
        <v>1912</v>
      </c>
      <c r="K991">
        <v>3</v>
      </c>
      <c r="L991" s="17" t="s">
        <v>36</v>
      </c>
      <c r="M991">
        <v>86</v>
      </c>
      <c r="N991">
        <v>3</v>
      </c>
      <c r="O991">
        <v>2</v>
      </c>
      <c r="P991" t="s">
        <v>37</v>
      </c>
      <c r="Q991">
        <v>4</v>
      </c>
      <c r="R991" t="s">
        <v>49</v>
      </c>
      <c r="S991" s="6">
        <v>6583</v>
      </c>
      <c r="T991">
        <v>20115</v>
      </c>
      <c r="U991">
        <v>2</v>
      </c>
      <c r="V991" t="s">
        <v>39</v>
      </c>
      <c r="W991" t="s">
        <v>32</v>
      </c>
      <c r="X991">
        <v>11</v>
      </c>
      <c r="Y991">
        <v>3</v>
      </c>
      <c r="Z991">
        <v>4</v>
      </c>
      <c r="AA991">
        <v>80</v>
      </c>
      <c r="AB991">
        <v>1</v>
      </c>
      <c r="AC991">
        <v>8</v>
      </c>
      <c r="AD991">
        <v>2</v>
      </c>
      <c r="AE991">
        <v>3</v>
      </c>
      <c r="AF991">
        <v>5</v>
      </c>
      <c r="AG991">
        <v>2</v>
      </c>
      <c r="AH991">
        <v>1</v>
      </c>
      <c r="AI991">
        <v>4</v>
      </c>
    </row>
    <row r="992" spans="1:35" x14ac:dyDescent="0.3">
      <c r="A992">
        <v>36</v>
      </c>
      <c r="B992" t="s">
        <v>40</v>
      </c>
      <c r="C992" t="s">
        <v>33</v>
      </c>
      <c r="D992">
        <v>1425</v>
      </c>
      <c r="E992" t="s">
        <v>42</v>
      </c>
      <c r="F992">
        <v>14</v>
      </c>
      <c r="G992">
        <v>1</v>
      </c>
      <c r="H992" t="s">
        <v>35</v>
      </c>
      <c r="I992">
        <v>1</v>
      </c>
      <c r="J992">
        <v>924</v>
      </c>
      <c r="K992">
        <v>3</v>
      </c>
      <c r="L992" s="17" t="s">
        <v>43</v>
      </c>
      <c r="M992">
        <v>68</v>
      </c>
      <c r="N992">
        <v>3</v>
      </c>
      <c r="O992">
        <v>2</v>
      </c>
      <c r="P992" t="s">
        <v>51</v>
      </c>
      <c r="Q992">
        <v>4</v>
      </c>
      <c r="R992" t="s">
        <v>45</v>
      </c>
      <c r="S992" s="6">
        <v>6586</v>
      </c>
      <c r="T992">
        <v>4821</v>
      </c>
      <c r="U992">
        <v>0</v>
      </c>
      <c r="V992" t="s">
        <v>39</v>
      </c>
      <c r="W992" t="s">
        <v>32</v>
      </c>
      <c r="X992">
        <v>17</v>
      </c>
      <c r="Y992">
        <v>3</v>
      </c>
      <c r="Z992">
        <v>1</v>
      </c>
      <c r="AA992">
        <v>80</v>
      </c>
      <c r="AB992">
        <v>1</v>
      </c>
      <c r="AC992">
        <v>17</v>
      </c>
      <c r="AD992">
        <v>2</v>
      </c>
      <c r="AE992">
        <v>2</v>
      </c>
      <c r="AF992">
        <v>16</v>
      </c>
      <c r="AG992">
        <v>8</v>
      </c>
      <c r="AH992">
        <v>4</v>
      </c>
      <c r="AI992">
        <v>11</v>
      </c>
    </row>
    <row r="993" spans="1:35" x14ac:dyDescent="0.3">
      <c r="A993">
        <v>29</v>
      </c>
      <c r="B993" t="s">
        <v>40</v>
      </c>
      <c r="C993" t="s">
        <v>33</v>
      </c>
      <c r="D993">
        <v>1329</v>
      </c>
      <c r="E993" t="s">
        <v>42</v>
      </c>
      <c r="F993">
        <v>7</v>
      </c>
      <c r="G993">
        <v>3</v>
      </c>
      <c r="H993" t="s">
        <v>35</v>
      </c>
      <c r="I993">
        <v>1</v>
      </c>
      <c r="J993">
        <v>1260</v>
      </c>
      <c r="K993">
        <v>3</v>
      </c>
      <c r="L993" s="17" t="s">
        <v>43</v>
      </c>
      <c r="M993">
        <v>82</v>
      </c>
      <c r="N993">
        <v>3</v>
      </c>
      <c r="O993">
        <v>2</v>
      </c>
      <c r="P993" t="s">
        <v>51</v>
      </c>
      <c r="Q993">
        <v>4</v>
      </c>
      <c r="R993" t="s">
        <v>49</v>
      </c>
      <c r="S993" s="6">
        <v>6623</v>
      </c>
      <c r="T993">
        <v>4204</v>
      </c>
      <c r="U993">
        <v>1</v>
      </c>
      <c r="V993" t="s">
        <v>39</v>
      </c>
      <c r="W993" t="s">
        <v>32</v>
      </c>
      <c r="X993">
        <v>11</v>
      </c>
      <c r="Y993">
        <v>3</v>
      </c>
      <c r="Z993">
        <v>2</v>
      </c>
      <c r="AA993">
        <v>80</v>
      </c>
      <c r="AB993">
        <v>2</v>
      </c>
      <c r="AC993">
        <v>6</v>
      </c>
      <c r="AD993">
        <v>2</v>
      </c>
      <c r="AE993">
        <v>3</v>
      </c>
      <c r="AF993">
        <v>6</v>
      </c>
      <c r="AG993">
        <v>0</v>
      </c>
      <c r="AH993">
        <v>1</v>
      </c>
      <c r="AI993">
        <v>0</v>
      </c>
    </row>
    <row r="994" spans="1:35" x14ac:dyDescent="0.3">
      <c r="A994">
        <v>45</v>
      </c>
      <c r="B994" t="s">
        <v>40</v>
      </c>
      <c r="C994" t="s">
        <v>33</v>
      </c>
      <c r="D994">
        <v>954</v>
      </c>
      <c r="E994" t="s">
        <v>34</v>
      </c>
      <c r="F994">
        <v>2</v>
      </c>
      <c r="G994">
        <v>2</v>
      </c>
      <c r="H994" t="s">
        <v>57</v>
      </c>
      <c r="I994">
        <v>1</v>
      </c>
      <c r="J994">
        <v>783</v>
      </c>
      <c r="K994">
        <v>2</v>
      </c>
      <c r="L994" s="17" t="s">
        <v>43</v>
      </c>
      <c r="M994">
        <v>46</v>
      </c>
      <c r="N994">
        <v>1</v>
      </c>
      <c r="O994">
        <v>2</v>
      </c>
      <c r="P994" t="s">
        <v>54</v>
      </c>
      <c r="Q994">
        <v>3</v>
      </c>
      <c r="R994" t="s">
        <v>38</v>
      </c>
      <c r="S994" s="6">
        <v>6632</v>
      </c>
      <c r="T994">
        <v>12388</v>
      </c>
      <c r="U994">
        <v>0</v>
      </c>
      <c r="V994" t="s">
        <v>39</v>
      </c>
      <c r="W994" t="s">
        <v>40</v>
      </c>
      <c r="X994">
        <v>13</v>
      </c>
      <c r="Y994">
        <v>3</v>
      </c>
      <c r="Z994">
        <v>1</v>
      </c>
      <c r="AA994">
        <v>80</v>
      </c>
      <c r="AB994">
        <v>0</v>
      </c>
      <c r="AC994">
        <v>9</v>
      </c>
      <c r="AD994">
        <v>3</v>
      </c>
      <c r="AE994">
        <v>3</v>
      </c>
      <c r="AF994">
        <v>8</v>
      </c>
      <c r="AG994">
        <v>7</v>
      </c>
      <c r="AH994">
        <v>3</v>
      </c>
      <c r="AI994">
        <v>1</v>
      </c>
    </row>
    <row r="995" spans="1:35" x14ac:dyDescent="0.3">
      <c r="A995">
        <v>29</v>
      </c>
      <c r="B995" t="s">
        <v>40</v>
      </c>
      <c r="C995" t="s">
        <v>33</v>
      </c>
      <c r="D995">
        <v>1210</v>
      </c>
      <c r="E995" t="s">
        <v>34</v>
      </c>
      <c r="F995">
        <v>2</v>
      </c>
      <c r="G995">
        <v>3</v>
      </c>
      <c r="H995" t="s">
        <v>48</v>
      </c>
      <c r="I995">
        <v>1</v>
      </c>
      <c r="J995">
        <v>366</v>
      </c>
      <c r="K995">
        <v>1</v>
      </c>
      <c r="L995" s="17" t="s">
        <v>43</v>
      </c>
      <c r="M995">
        <v>78</v>
      </c>
      <c r="N995">
        <v>2</v>
      </c>
      <c r="O995">
        <v>2</v>
      </c>
      <c r="P995" t="s">
        <v>37</v>
      </c>
      <c r="Q995">
        <v>2</v>
      </c>
      <c r="R995" t="s">
        <v>45</v>
      </c>
      <c r="S995" s="6">
        <v>6644</v>
      </c>
      <c r="T995">
        <v>3687</v>
      </c>
      <c r="U995">
        <v>2</v>
      </c>
      <c r="V995" t="s">
        <v>39</v>
      </c>
      <c r="W995" t="s">
        <v>40</v>
      </c>
      <c r="X995">
        <v>19</v>
      </c>
      <c r="Y995">
        <v>3</v>
      </c>
      <c r="Z995">
        <v>2</v>
      </c>
      <c r="AA995">
        <v>80</v>
      </c>
      <c r="AB995">
        <v>2</v>
      </c>
      <c r="AC995">
        <v>10</v>
      </c>
      <c r="AD995">
        <v>2</v>
      </c>
      <c r="AE995">
        <v>3</v>
      </c>
      <c r="AF995">
        <v>0</v>
      </c>
      <c r="AG995">
        <v>0</v>
      </c>
      <c r="AH995">
        <v>0</v>
      </c>
      <c r="AI995">
        <v>0</v>
      </c>
    </row>
    <row r="996" spans="1:35" x14ac:dyDescent="0.3">
      <c r="A996">
        <v>35</v>
      </c>
      <c r="B996" t="s">
        <v>40</v>
      </c>
      <c r="C996" t="s">
        <v>33</v>
      </c>
      <c r="D996">
        <v>1017</v>
      </c>
      <c r="E996" t="s">
        <v>42</v>
      </c>
      <c r="F996">
        <v>6</v>
      </c>
      <c r="G996">
        <v>4</v>
      </c>
      <c r="H996" t="s">
        <v>35</v>
      </c>
      <c r="I996">
        <v>1</v>
      </c>
      <c r="J996">
        <v>691</v>
      </c>
      <c r="K996">
        <v>2</v>
      </c>
      <c r="L996" s="17" t="s">
        <v>43</v>
      </c>
      <c r="M996">
        <v>82</v>
      </c>
      <c r="N996">
        <v>1</v>
      </c>
      <c r="O996">
        <v>2</v>
      </c>
      <c r="P996" t="s">
        <v>44</v>
      </c>
      <c r="Q996">
        <v>4</v>
      </c>
      <c r="R996" t="s">
        <v>38</v>
      </c>
      <c r="S996" s="6">
        <v>6646</v>
      </c>
      <c r="T996">
        <v>19368</v>
      </c>
      <c r="U996">
        <v>1</v>
      </c>
      <c r="V996" t="s">
        <v>39</v>
      </c>
      <c r="W996" t="s">
        <v>40</v>
      </c>
      <c r="X996">
        <v>13</v>
      </c>
      <c r="Y996">
        <v>3</v>
      </c>
      <c r="Z996">
        <v>2</v>
      </c>
      <c r="AA996">
        <v>80</v>
      </c>
      <c r="AB996">
        <v>0</v>
      </c>
      <c r="AC996">
        <v>17</v>
      </c>
      <c r="AD996">
        <v>3</v>
      </c>
      <c r="AE996">
        <v>3</v>
      </c>
      <c r="AF996">
        <v>17</v>
      </c>
      <c r="AG996">
        <v>11</v>
      </c>
      <c r="AH996">
        <v>11</v>
      </c>
      <c r="AI996">
        <v>8</v>
      </c>
    </row>
    <row r="997" spans="1:35" x14ac:dyDescent="0.3">
      <c r="A997">
        <v>49</v>
      </c>
      <c r="B997" t="s">
        <v>40</v>
      </c>
      <c r="C997" t="s">
        <v>33</v>
      </c>
      <c r="D997">
        <v>1495</v>
      </c>
      <c r="E997" t="s">
        <v>42</v>
      </c>
      <c r="F997">
        <v>5</v>
      </c>
      <c r="G997">
        <v>4</v>
      </c>
      <c r="H997" t="s">
        <v>57</v>
      </c>
      <c r="I997">
        <v>1</v>
      </c>
      <c r="J997">
        <v>1473</v>
      </c>
      <c r="K997">
        <v>1</v>
      </c>
      <c r="L997" s="17" t="s">
        <v>43</v>
      </c>
      <c r="M997">
        <v>96</v>
      </c>
      <c r="N997">
        <v>3</v>
      </c>
      <c r="O997">
        <v>2</v>
      </c>
      <c r="P997" t="s">
        <v>51</v>
      </c>
      <c r="Q997">
        <v>3</v>
      </c>
      <c r="R997" t="s">
        <v>45</v>
      </c>
      <c r="S997" s="6">
        <v>6651</v>
      </c>
      <c r="T997">
        <v>21534</v>
      </c>
      <c r="U997">
        <v>2</v>
      </c>
      <c r="V997" t="s">
        <v>39</v>
      </c>
      <c r="W997" t="s">
        <v>40</v>
      </c>
      <c r="X997">
        <v>14</v>
      </c>
      <c r="Y997">
        <v>3</v>
      </c>
      <c r="Z997">
        <v>2</v>
      </c>
      <c r="AA997">
        <v>80</v>
      </c>
      <c r="AB997">
        <v>1</v>
      </c>
      <c r="AC997">
        <v>20</v>
      </c>
      <c r="AD997">
        <v>0</v>
      </c>
      <c r="AE997">
        <v>2</v>
      </c>
      <c r="AF997">
        <v>3</v>
      </c>
      <c r="AG997">
        <v>2</v>
      </c>
      <c r="AH997">
        <v>1</v>
      </c>
      <c r="AI997">
        <v>2</v>
      </c>
    </row>
    <row r="998" spans="1:35" x14ac:dyDescent="0.3">
      <c r="A998">
        <v>36</v>
      </c>
      <c r="B998" t="s">
        <v>40</v>
      </c>
      <c r="C998" t="s">
        <v>33</v>
      </c>
      <c r="D998">
        <v>1120</v>
      </c>
      <c r="E998" t="s">
        <v>34</v>
      </c>
      <c r="F998">
        <v>11</v>
      </c>
      <c r="G998">
        <v>4</v>
      </c>
      <c r="H998" t="s">
        <v>56</v>
      </c>
      <c r="I998">
        <v>1</v>
      </c>
      <c r="J998">
        <v>2045</v>
      </c>
      <c r="K998">
        <v>2</v>
      </c>
      <c r="L998" s="17" t="s">
        <v>36</v>
      </c>
      <c r="M998">
        <v>100</v>
      </c>
      <c r="N998">
        <v>2</v>
      </c>
      <c r="O998">
        <v>2</v>
      </c>
      <c r="P998" t="s">
        <v>37</v>
      </c>
      <c r="Q998">
        <v>4</v>
      </c>
      <c r="R998" t="s">
        <v>45</v>
      </c>
      <c r="S998" s="6">
        <v>6652</v>
      </c>
      <c r="T998">
        <v>14369</v>
      </c>
      <c r="U998">
        <v>4</v>
      </c>
      <c r="V998" t="s">
        <v>39</v>
      </c>
      <c r="W998" t="s">
        <v>40</v>
      </c>
      <c r="X998">
        <v>13</v>
      </c>
      <c r="Y998">
        <v>3</v>
      </c>
      <c r="Z998">
        <v>1</v>
      </c>
      <c r="AA998">
        <v>80</v>
      </c>
      <c r="AB998">
        <v>1</v>
      </c>
      <c r="AC998">
        <v>8</v>
      </c>
      <c r="AD998">
        <v>2</v>
      </c>
      <c r="AE998">
        <v>2</v>
      </c>
      <c r="AF998">
        <v>6</v>
      </c>
      <c r="AG998">
        <v>3</v>
      </c>
      <c r="AH998">
        <v>0</v>
      </c>
      <c r="AI998">
        <v>0</v>
      </c>
    </row>
    <row r="999" spans="1:35" x14ac:dyDescent="0.3">
      <c r="A999">
        <v>36</v>
      </c>
      <c r="B999" t="s">
        <v>40</v>
      </c>
      <c r="C999" t="s">
        <v>52</v>
      </c>
      <c r="D999">
        <v>845</v>
      </c>
      <c r="E999" t="s">
        <v>34</v>
      </c>
      <c r="F999">
        <v>1</v>
      </c>
      <c r="G999">
        <v>5</v>
      </c>
      <c r="H999" t="s">
        <v>48</v>
      </c>
      <c r="I999">
        <v>1</v>
      </c>
      <c r="J999">
        <v>479</v>
      </c>
      <c r="K999">
        <v>4</v>
      </c>
      <c r="L999" s="17" t="s">
        <v>36</v>
      </c>
      <c r="M999">
        <v>45</v>
      </c>
      <c r="N999">
        <v>3</v>
      </c>
      <c r="O999">
        <v>2</v>
      </c>
      <c r="P999" t="s">
        <v>37</v>
      </c>
      <c r="Q999">
        <v>4</v>
      </c>
      <c r="R999" t="s">
        <v>38</v>
      </c>
      <c r="S999" s="6">
        <v>6653</v>
      </c>
      <c r="T999">
        <v>15276</v>
      </c>
      <c r="U999">
        <v>4</v>
      </c>
      <c r="V999" t="s">
        <v>39</v>
      </c>
      <c r="W999" t="s">
        <v>40</v>
      </c>
      <c r="X999">
        <v>15</v>
      </c>
      <c r="Y999">
        <v>3</v>
      </c>
      <c r="Z999">
        <v>2</v>
      </c>
      <c r="AA999">
        <v>80</v>
      </c>
      <c r="AB999">
        <v>0</v>
      </c>
      <c r="AC999">
        <v>7</v>
      </c>
      <c r="AD999">
        <v>6</v>
      </c>
      <c r="AE999">
        <v>3</v>
      </c>
      <c r="AF999">
        <v>1</v>
      </c>
      <c r="AG999">
        <v>0</v>
      </c>
      <c r="AH999">
        <v>0</v>
      </c>
      <c r="AI999">
        <v>0</v>
      </c>
    </row>
    <row r="1000" spans="1:35" x14ac:dyDescent="0.3">
      <c r="A1000">
        <v>32</v>
      </c>
      <c r="B1000" t="s">
        <v>40</v>
      </c>
      <c r="C1000" t="s">
        <v>52</v>
      </c>
      <c r="D1000">
        <v>1146</v>
      </c>
      <c r="E1000" t="s">
        <v>42</v>
      </c>
      <c r="F1000">
        <v>15</v>
      </c>
      <c r="G1000">
        <v>4</v>
      </c>
      <c r="H1000" t="s">
        <v>48</v>
      </c>
      <c r="I1000">
        <v>1</v>
      </c>
      <c r="J1000">
        <v>1955</v>
      </c>
      <c r="K1000">
        <v>3</v>
      </c>
      <c r="L1000" s="17" t="s">
        <v>36</v>
      </c>
      <c r="M1000">
        <v>34</v>
      </c>
      <c r="N1000">
        <v>3</v>
      </c>
      <c r="O1000">
        <v>2</v>
      </c>
      <c r="P1000" t="s">
        <v>51</v>
      </c>
      <c r="Q1000">
        <v>4</v>
      </c>
      <c r="R1000" t="s">
        <v>49</v>
      </c>
      <c r="S1000" s="6">
        <v>6667</v>
      </c>
      <c r="T1000">
        <v>16542</v>
      </c>
      <c r="U1000">
        <v>5</v>
      </c>
      <c r="V1000" t="s">
        <v>39</v>
      </c>
      <c r="W1000" t="s">
        <v>40</v>
      </c>
      <c r="X1000">
        <v>18</v>
      </c>
      <c r="Y1000">
        <v>3</v>
      </c>
      <c r="Z1000">
        <v>2</v>
      </c>
      <c r="AA1000">
        <v>80</v>
      </c>
      <c r="AB1000">
        <v>1</v>
      </c>
      <c r="AC1000">
        <v>9</v>
      </c>
      <c r="AD1000">
        <v>6</v>
      </c>
      <c r="AE1000">
        <v>3</v>
      </c>
      <c r="AF1000">
        <v>5</v>
      </c>
      <c r="AG1000">
        <v>1</v>
      </c>
      <c r="AH1000">
        <v>1</v>
      </c>
      <c r="AI1000">
        <v>2</v>
      </c>
    </row>
    <row r="1001" spans="1:35" x14ac:dyDescent="0.3">
      <c r="A1001">
        <v>38</v>
      </c>
      <c r="B1001" t="s">
        <v>32</v>
      </c>
      <c r="C1001" t="s">
        <v>33</v>
      </c>
      <c r="D1001">
        <v>1180</v>
      </c>
      <c r="E1001" t="s">
        <v>42</v>
      </c>
      <c r="F1001">
        <v>29</v>
      </c>
      <c r="G1001">
        <v>1</v>
      </c>
      <c r="H1001" t="s">
        <v>48</v>
      </c>
      <c r="I1001">
        <v>1</v>
      </c>
      <c r="J1001">
        <v>282</v>
      </c>
      <c r="K1001">
        <v>2</v>
      </c>
      <c r="L1001" s="17" t="s">
        <v>43</v>
      </c>
      <c r="M1001">
        <v>70</v>
      </c>
      <c r="N1001">
        <v>3</v>
      </c>
      <c r="O1001">
        <v>2</v>
      </c>
      <c r="P1001" t="s">
        <v>51</v>
      </c>
      <c r="Q1001">
        <v>1</v>
      </c>
      <c r="R1001" t="s">
        <v>45</v>
      </c>
      <c r="S1001" s="6">
        <v>6673</v>
      </c>
      <c r="T1001">
        <v>11354</v>
      </c>
      <c r="U1001">
        <v>7</v>
      </c>
      <c r="V1001" t="s">
        <v>39</v>
      </c>
      <c r="W1001" t="s">
        <v>32</v>
      </c>
      <c r="X1001">
        <v>19</v>
      </c>
      <c r="Y1001">
        <v>3</v>
      </c>
      <c r="Z1001">
        <v>2</v>
      </c>
      <c r="AA1001">
        <v>80</v>
      </c>
      <c r="AB1001">
        <v>0</v>
      </c>
      <c r="AC1001">
        <v>17</v>
      </c>
      <c r="AD1001">
        <v>2</v>
      </c>
      <c r="AE1001">
        <v>3</v>
      </c>
      <c r="AF1001">
        <v>1</v>
      </c>
      <c r="AG1001">
        <v>0</v>
      </c>
      <c r="AH1001">
        <v>0</v>
      </c>
      <c r="AI1001">
        <v>0</v>
      </c>
    </row>
    <row r="1002" spans="1:35" x14ac:dyDescent="0.3">
      <c r="A1002">
        <v>28</v>
      </c>
      <c r="B1002" t="s">
        <v>40</v>
      </c>
      <c r="C1002" t="s">
        <v>52</v>
      </c>
      <c r="D1002">
        <v>1476</v>
      </c>
      <c r="E1002" t="s">
        <v>42</v>
      </c>
      <c r="F1002">
        <v>1</v>
      </c>
      <c r="G1002">
        <v>3</v>
      </c>
      <c r="H1002" t="s">
        <v>35</v>
      </c>
      <c r="I1002">
        <v>1</v>
      </c>
      <c r="J1002">
        <v>1315</v>
      </c>
      <c r="K1002">
        <v>3</v>
      </c>
      <c r="L1002" s="17" t="s">
        <v>36</v>
      </c>
      <c r="M1002">
        <v>55</v>
      </c>
      <c r="N1002">
        <v>1</v>
      </c>
      <c r="O1002">
        <v>2</v>
      </c>
      <c r="P1002" t="s">
        <v>47</v>
      </c>
      <c r="Q1002">
        <v>4</v>
      </c>
      <c r="R1002" t="s">
        <v>45</v>
      </c>
      <c r="S1002" s="6">
        <v>6674</v>
      </c>
      <c r="T1002">
        <v>16392</v>
      </c>
      <c r="U1002">
        <v>0</v>
      </c>
      <c r="V1002" t="s">
        <v>39</v>
      </c>
      <c r="W1002" t="s">
        <v>40</v>
      </c>
      <c r="X1002">
        <v>11</v>
      </c>
      <c r="Y1002">
        <v>3</v>
      </c>
      <c r="Z1002">
        <v>1</v>
      </c>
      <c r="AA1002">
        <v>80</v>
      </c>
      <c r="AB1002">
        <v>3</v>
      </c>
      <c r="AC1002">
        <v>10</v>
      </c>
      <c r="AD1002">
        <v>6</v>
      </c>
      <c r="AE1002">
        <v>3</v>
      </c>
      <c r="AF1002">
        <v>9</v>
      </c>
      <c r="AG1002">
        <v>8</v>
      </c>
      <c r="AH1002">
        <v>7</v>
      </c>
      <c r="AI1002">
        <v>5</v>
      </c>
    </row>
    <row r="1003" spans="1:35" x14ac:dyDescent="0.3">
      <c r="A1003">
        <v>34</v>
      </c>
      <c r="B1003" t="s">
        <v>40</v>
      </c>
      <c r="C1003" t="s">
        <v>33</v>
      </c>
      <c r="D1003">
        <v>404</v>
      </c>
      <c r="E1003" t="s">
        <v>42</v>
      </c>
      <c r="F1003">
        <v>2</v>
      </c>
      <c r="G1003">
        <v>4</v>
      </c>
      <c r="H1003" t="s">
        <v>57</v>
      </c>
      <c r="I1003">
        <v>1</v>
      </c>
      <c r="J1003">
        <v>1383</v>
      </c>
      <c r="K1003">
        <v>3</v>
      </c>
      <c r="L1003" s="17" t="s">
        <v>36</v>
      </c>
      <c r="M1003">
        <v>98</v>
      </c>
      <c r="N1003">
        <v>3</v>
      </c>
      <c r="O1003">
        <v>2</v>
      </c>
      <c r="P1003" t="s">
        <v>51</v>
      </c>
      <c r="Q1003">
        <v>4</v>
      </c>
      <c r="R1003" t="s">
        <v>38</v>
      </c>
      <c r="S1003" s="6">
        <v>6687</v>
      </c>
      <c r="T1003">
        <v>6163</v>
      </c>
      <c r="U1003">
        <v>1</v>
      </c>
      <c r="V1003" t="s">
        <v>39</v>
      </c>
      <c r="W1003" t="s">
        <v>40</v>
      </c>
      <c r="X1003">
        <v>11</v>
      </c>
      <c r="Y1003">
        <v>3</v>
      </c>
      <c r="Z1003">
        <v>4</v>
      </c>
      <c r="AA1003">
        <v>80</v>
      </c>
      <c r="AB1003">
        <v>0</v>
      </c>
      <c r="AC1003">
        <v>14</v>
      </c>
      <c r="AD1003">
        <v>2</v>
      </c>
      <c r="AE1003">
        <v>4</v>
      </c>
      <c r="AF1003">
        <v>14</v>
      </c>
      <c r="AG1003">
        <v>11</v>
      </c>
      <c r="AH1003">
        <v>4</v>
      </c>
      <c r="AI1003">
        <v>11</v>
      </c>
    </row>
    <row r="1004" spans="1:35" x14ac:dyDescent="0.3">
      <c r="A1004">
        <v>37</v>
      </c>
      <c r="B1004" t="s">
        <v>40</v>
      </c>
      <c r="C1004" t="s">
        <v>33</v>
      </c>
      <c r="D1004">
        <v>309</v>
      </c>
      <c r="E1004" t="s">
        <v>34</v>
      </c>
      <c r="F1004">
        <v>10</v>
      </c>
      <c r="G1004">
        <v>4</v>
      </c>
      <c r="H1004" t="s">
        <v>35</v>
      </c>
      <c r="I1004">
        <v>1</v>
      </c>
      <c r="J1004">
        <v>1105</v>
      </c>
      <c r="K1004">
        <v>4</v>
      </c>
      <c r="L1004" s="17" t="s">
        <v>36</v>
      </c>
      <c r="M1004">
        <v>88</v>
      </c>
      <c r="N1004">
        <v>2</v>
      </c>
      <c r="O1004">
        <v>2</v>
      </c>
      <c r="P1004" t="s">
        <v>37</v>
      </c>
      <c r="Q1004">
        <v>4</v>
      </c>
      <c r="R1004" t="s">
        <v>49</v>
      </c>
      <c r="S1004" s="6">
        <v>6694</v>
      </c>
      <c r="T1004">
        <v>24223</v>
      </c>
      <c r="U1004">
        <v>2</v>
      </c>
      <c r="V1004" t="s">
        <v>39</v>
      </c>
      <c r="W1004" t="s">
        <v>32</v>
      </c>
      <c r="X1004">
        <v>14</v>
      </c>
      <c r="Y1004">
        <v>3</v>
      </c>
      <c r="Z1004">
        <v>3</v>
      </c>
      <c r="AA1004">
        <v>80</v>
      </c>
      <c r="AB1004">
        <v>3</v>
      </c>
      <c r="AC1004">
        <v>8</v>
      </c>
      <c r="AD1004">
        <v>5</v>
      </c>
      <c r="AE1004">
        <v>3</v>
      </c>
      <c r="AF1004">
        <v>1</v>
      </c>
      <c r="AG1004">
        <v>0</v>
      </c>
      <c r="AH1004">
        <v>0</v>
      </c>
      <c r="AI1004">
        <v>0</v>
      </c>
    </row>
    <row r="1005" spans="1:35" x14ac:dyDescent="0.3">
      <c r="A1005">
        <v>30</v>
      </c>
      <c r="B1005" t="s">
        <v>32</v>
      </c>
      <c r="C1005" t="s">
        <v>41</v>
      </c>
      <c r="D1005">
        <v>334</v>
      </c>
      <c r="E1005" t="s">
        <v>34</v>
      </c>
      <c r="F1005">
        <v>26</v>
      </c>
      <c r="G1005">
        <v>4</v>
      </c>
      <c r="H1005" t="s">
        <v>56</v>
      </c>
      <c r="I1005">
        <v>1</v>
      </c>
      <c r="J1005">
        <v>299</v>
      </c>
      <c r="K1005">
        <v>3</v>
      </c>
      <c r="L1005" s="17" t="s">
        <v>36</v>
      </c>
      <c r="M1005">
        <v>52</v>
      </c>
      <c r="N1005">
        <v>2</v>
      </c>
      <c r="O1005">
        <v>2</v>
      </c>
      <c r="P1005" t="s">
        <v>37</v>
      </c>
      <c r="Q1005">
        <v>1</v>
      </c>
      <c r="R1005" t="s">
        <v>38</v>
      </c>
      <c r="S1005" s="6">
        <v>6696</v>
      </c>
      <c r="T1005">
        <v>22967</v>
      </c>
      <c r="U1005">
        <v>5</v>
      </c>
      <c r="V1005" t="s">
        <v>39</v>
      </c>
      <c r="W1005" t="s">
        <v>40</v>
      </c>
      <c r="X1005">
        <v>15</v>
      </c>
      <c r="Y1005">
        <v>3</v>
      </c>
      <c r="Z1005">
        <v>3</v>
      </c>
      <c r="AA1005">
        <v>80</v>
      </c>
      <c r="AB1005">
        <v>0</v>
      </c>
      <c r="AC1005">
        <v>9</v>
      </c>
      <c r="AD1005">
        <v>5</v>
      </c>
      <c r="AE1005">
        <v>2</v>
      </c>
      <c r="AF1005">
        <v>6</v>
      </c>
      <c r="AG1005">
        <v>3</v>
      </c>
      <c r="AH1005">
        <v>0</v>
      </c>
      <c r="AI1005">
        <v>1</v>
      </c>
    </row>
    <row r="1006" spans="1:35" x14ac:dyDescent="0.3">
      <c r="A1006">
        <v>34</v>
      </c>
      <c r="B1006" t="s">
        <v>40</v>
      </c>
      <c r="C1006" t="s">
        <v>33</v>
      </c>
      <c r="D1006">
        <v>704</v>
      </c>
      <c r="E1006" t="s">
        <v>34</v>
      </c>
      <c r="F1006">
        <v>28</v>
      </c>
      <c r="G1006">
        <v>3</v>
      </c>
      <c r="H1006" t="s">
        <v>56</v>
      </c>
      <c r="I1006">
        <v>1</v>
      </c>
      <c r="J1006">
        <v>2035</v>
      </c>
      <c r="K1006">
        <v>4</v>
      </c>
      <c r="L1006" s="17" t="s">
        <v>36</v>
      </c>
      <c r="M1006">
        <v>95</v>
      </c>
      <c r="N1006">
        <v>2</v>
      </c>
      <c r="O1006">
        <v>2</v>
      </c>
      <c r="P1006" t="s">
        <v>37</v>
      </c>
      <c r="Q1006">
        <v>3</v>
      </c>
      <c r="R1006" t="s">
        <v>45</v>
      </c>
      <c r="S1006" s="6">
        <v>6712</v>
      </c>
      <c r="T1006">
        <v>8978</v>
      </c>
      <c r="U1006">
        <v>1</v>
      </c>
      <c r="V1006" t="s">
        <v>39</v>
      </c>
      <c r="W1006" t="s">
        <v>40</v>
      </c>
      <c r="X1006">
        <v>21</v>
      </c>
      <c r="Y1006">
        <v>4</v>
      </c>
      <c r="Z1006">
        <v>4</v>
      </c>
      <c r="AA1006">
        <v>80</v>
      </c>
      <c r="AB1006">
        <v>2</v>
      </c>
      <c r="AC1006">
        <v>8</v>
      </c>
      <c r="AD1006">
        <v>2</v>
      </c>
      <c r="AE1006">
        <v>3</v>
      </c>
      <c r="AF1006">
        <v>8</v>
      </c>
      <c r="AG1006">
        <v>7</v>
      </c>
      <c r="AH1006">
        <v>1</v>
      </c>
      <c r="AI1006">
        <v>7</v>
      </c>
    </row>
    <row r="1007" spans="1:35" x14ac:dyDescent="0.3">
      <c r="A1007">
        <v>32</v>
      </c>
      <c r="B1007" t="s">
        <v>40</v>
      </c>
      <c r="C1007" t="s">
        <v>33</v>
      </c>
      <c r="D1007">
        <v>498</v>
      </c>
      <c r="E1007" t="s">
        <v>42</v>
      </c>
      <c r="F1007">
        <v>3</v>
      </c>
      <c r="G1007">
        <v>4</v>
      </c>
      <c r="H1007" t="s">
        <v>48</v>
      </c>
      <c r="I1007">
        <v>1</v>
      </c>
      <c r="J1007">
        <v>966</v>
      </c>
      <c r="K1007">
        <v>3</v>
      </c>
      <c r="L1007" s="17" t="s">
        <v>36</v>
      </c>
      <c r="M1007">
        <v>93</v>
      </c>
      <c r="N1007">
        <v>3</v>
      </c>
      <c r="O1007">
        <v>2</v>
      </c>
      <c r="P1007" t="s">
        <v>50</v>
      </c>
      <c r="Q1007">
        <v>1</v>
      </c>
      <c r="R1007" t="s">
        <v>45</v>
      </c>
      <c r="S1007" s="6">
        <v>6725</v>
      </c>
      <c r="T1007">
        <v>13554</v>
      </c>
      <c r="U1007">
        <v>1</v>
      </c>
      <c r="V1007" t="s">
        <v>39</v>
      </c>
      <c r="W1007" t="s">
        <v>40</v>
      </c>
      <c r="X1007">
        <v>12</v>
      </c>
      <c r="Y1007">
        <v>3</v>
      </c>
      <c r="Z1007">
        <v>3</v>
      </c>
      <c r="AA1007">
        <v>80</v>
      </c>
      <c r="AB1007">
        <v>1</v>
      </c>
      <c r="AC1007">
        <v>8</v>
      </c>
      <c r="AD1007">
        <v>2</v>
      </c>
      <c r="AE1007">
        <v>4</v>
      </c>
      <c r="AF1007">
        <v>8</v>
      </c>
      <c r="AG1007">
        <v>7</v>
      </c>
      <c r="AH1007">
        <v>6</v>
      </c>
      <c r="AI1007">
        <v>3</v>
      </c>
    </row>
    <row r="1008" spans="1:35" x14ac:dyDescent="0.3">
      <c r="A1008">
        <v>50</v>
      </c>
      <c r="B1008" t="s">
        <v>32</v>
      </c>
      <c r="C1008" t="s">
        <v>41</v>
      </c>
      <c r="D1008">
        <v>878</v>
      </c>
      <c r="E1008" t="s">
        <v>34</v>
      </c>
      <c r="F1008">
        <v>1</v>
      </c>
      <c r="G1008">
        <v>4</v>
      </c>
      <c r="H1008" t="s">
        <v>35</v>
      </c>
      <c r="I1008">
        <v>1</v>
      </c>
      <c r="J1008">
        <v>2044</v>
      </c>
      <c r="K1008">
        <v>2</v>
      </c>
      <c r="L1008" s="17" t="s">
        <v>43</v>
      </c>
      <c r="M1008">
        <v>94</v>
      </c>
      <c r="N1008">
        <v>3</v>
      </c>
      <c r="O1008">
        <v>2</v>
      </c>
      <c r="P1008" t="s">
        <v>37</v>
      </c>
      <c r="Q1008">
        <v>3</v>
      </c>
      <c r="R1008" t="s">
        <v>49</v>
      </c>
      <c r="S1008" s="6">
        <v>6728</v>
      </c>
      <c r="T1008">
        <v>14255</v>
      </c>
      <c r="U1008">
        <v>7</v>
      </c>
      <c r="V1008" t="s">
        <v>39</v>
      </c>
      <c r="W1008" t="s">
        <v>40</v>
      </c>
      <c r="X1008">
        <v>12</v>
      </c>
      <c r="Y1008">
        <v>3</v>
      </c>
      <c r="Z1008">
        <v>4</v>
      </c>
      <c r="AA1008">
        <v>80</v>
      </c>
      <c r="AB1008">
        <v>2</v>
      </c>
      <c r="AC1008">
        <v>12</v>
      </c>
      <c r="AD1008">
        <v>3</v>
      </c>
      <c r="AE1008">
        <v>3</v>
      </c>
      <c r="AF1008">
        <v>6</v>
      </c>
      <c r="AG1008">
        <v>3</v>
      </c>
      <c r="AH1008">
        <v>0</v>
      </c>
      <c r="AI1008">
        <v>1</v>
      </c>
    </row>
    <row r="1009" spans="1:35" x14ac:dyDescent="0.3">
      <c r="A1009">
        <v>32</v>
      </c>
      <c r="B1009" t="s">
        <v>32</v>
      </c>
      <c r="C1009" t="s">
        <v>33</v>
      </c>
      <c r="D1009">
        <v>964</v>
      </c>
      <c r="E1009" t="s">
        <v>34</v>
      </c>
      <c r="F1009">
        <v>1</v>
      </c>
      <c r="G1009">
        <v>2</v>
      </c>
      <c r="H1009" t="s">
        <v>35</v>
      </c>
      <c r="I1009">
        <v>1</v>
      </c>
      <c r="J1009">
        <v>1734</v>
      </c>
      <c r="K1009">
        <v>1</v>
      </c>
      <c r="L1009" s="17" t="s">
        <v>43</v>
      </c>
      <c r="M1009">
        <v>34</v>
      </c>
      <c r="N1009">
        <v>1</v>
      </c>
      <c r="O1009">
        <v>2</v>
      </c>
      <c r="P1009" t="s">
        <v>37</v>
      </c>
      <c r="Q1009">
        <v>2</v>
      </c>
      <c r="R1009" t="s">
        <v>38</v>
      </c>
      <c r="S1009" s="6">
        <v>6735</v>
      </c>
      <c r="T1009">
        <v>12147</v>
      </c>
      <c r="U1009">
        <v>6</v>
      </c>
      <c r="V1009" t="s">
        <v>39</v>
      </c>
      <c r="W1009" t="s">
        <v>40</v>
      </c>
      <c r="X1009">
        <v>15</v>
      </c>
      <c r="Y1009">
        <v>3</v>
      </c>
      <c r="Z1009">
        <v>2</v>
      </c>
      <c r="AA1009">
        <v>80</v>
      </c>
      <c r="AB1009">
        <v>0</v>
      </c>
      <c r="AC1009">
        <v>10</v>
      </c>
      <c r="AD1009">
        <v>2</v>
      </c>
      <c r="AE1009">
        <v>3</v>
      </c>
      <c r="AF1009">
        <v>0</v>
      </c>
      <c r="AG1009">
        <v>0</v>
      </c>
      <c r="AH1009">
        <v>0</v>
      </c>
      <c r="AI1009">
        <v>0</v>
      </c>
    </row>
    <row r="1010" spans="1:35" x14ac:dyDescent="0.3">
      <c r="A1010">
        <v>57</v>
      </c>
      <c r="B1010" t="s">
        <v>40</v>
      </c>
      <c r="C1010" t="s">
        <v>33</v>
      </c>
      <c r="D1010">
        <v>593</v>
      </c>
      <c r="E1010" t="s">
        <v>42</v>
      </c>
      <c r="F1010">
        <v>1</v>
      </c>
      <c r="G1010">
        <v>4</v>
      </c>
      <c r="H1010" t="s">
        <v>48</v>
      </c>
      <c r="I1010">
        <v>1</v>
      </c>
      <c r="J1010">
        <v>482</v>
      </c>
      <c r="K1010">
        <v>4</v>
      </c>
      <c r="L1010" s="17" t="s">
        <v>43</v>
      </c>
      <c r="M1010">
        <v>88</v>
      </c>
      <c r="N1010">
        <v>3</v>
      </c>
      <c r="O1010">
        <v>2</v>
      </c>
      <c r="P1010" t="s">
        <v>51</v>
      </c>
      <c r="Q1010">
        <v>3</v>
      </c>
      <c r="R1010" t="s">
        <v>45</v>
      </c>
      <c r="S1010" s="6">
        <v>6755</v>
      </c>
      <c r="T1010">
        <v>2967</v>
      </c>
      <c r="U1010">
        <v>2</v>
      </c>
      <c r="V1010" t="s">
        <v>39</v>
      </c>
      <c r="W1010" t="s">
        <v>40</v>
      </c>
      <c r="X1010">
        <v>11</v>
      </c>
      <c r="Y1010">
        <v>3</v>
      </c>
      <c r="Z1010">
        <v>3</v>
      </c>
      <c r="AA1010">
        <v>80</v>
      </c>
      <c r="AB1010">
        <v>0</v>
      </c>
      <c r="AC1010">
        <v>15</v>
      </c>
      <c r="AD1010">
        <v>2</v>
      </c>
      <c r="AE1010">
        <v>3</v>
      </c>
      <c r="AF1010">
        <v>3</v>
      </c>
      <c r="AG1010">
        <v>2</v>
      </c>
      <c r="AH1010">
        <v>1</v>
      </c>
      <c r="AI1010">
        <v>2</v>
      </c>
    </row>
    <row r="1011" spans="1:35" x14ac:dyDescent="0.3">
      <c r="A1011">
        <v>42</v>
      </c>
      <c r="B1011" t="s">
        <v>40</v>
      </c>
      <c r="C1011" t="s">
        <v>33</v>
      </c>
      <c r="D1011">
        <v>1332</v>
      </c>
      <c r="E1011" t="s">
        <v>42</v>
      </c>
      <c r="F1011">
        <v>2</v>
      </c>
      <c r="G1011">
        <v>4</v>
      </c>
      <c r="H1011" t="s">
        <v>46</v>
      </c>
      <c r="I1011">
        <v>1</v>
      </c>
      <c r="J1011">
        <v>477</v>
      </c>
      <c r="K1011">
        <v>1</v>
      </c>
      <c r="L1011" s="17" t="s">
        <v>43</v>
      </c>
      <c r="M1011">
        <v>98</v>
      </c>
      <c r="N1011">
        <v>2</v>
      </c>
      <c r="O1011">
        <v>2</v>
      </c>
      <c r="P1011" t="s">
        <v>51</v>
      </c>
      <c r="Q1011">
        <v>4</v>
      </c>
      <c r="R1011" t="s">
        <v>38</v>
      </c>
      <c r="S1011" s="6">
        <v>6781</v>
      </c>
      <c r="T1011">
        <v>17078</v>
      </c>
      <c r="U1011">
        <v>3</v>
      </c>
      <c r="V1011" t="s">
        <v>39</v>
      </c>
      <c r="W1011" t="s">
        <v>40</v>
      </c>
      <c r="X1011">
        <v>23</v>
      </c>
      <c r="Y1011">
        <v>4</v>
      </c>
      <c r="Z1011">
        <v>2</v>
      </c>
      <c r="AA1011">
        <v>80</v>
      </c>
      <c r="AB1011">
        <v>0</v>
      </c>
      <c r="AC1011">
        <v>14</v>
      </c>
      <c r="AD1011">
        <v>6</v>
      </c>
      <c r="AE1011">
        <v>3</v>
      </c>
      <c r="AF1011">
        <v>1</v>
      </c>
      <c r="AG1011">
        <v>0</v>
      </c>
      <c r="AH1011">
        <v>0</v>
      </c>
      <c r="AI1011">
        <v>0</v>
      </c>
    </row>
    <row r="1012" spans="1:35" x14ac:dyDescent="0.3">
      <c r="A1012">
        <v>39</v>
      </c>
      <c r="B1012" t="s">
        <v>40</v>
      </c>
      <c r="C1012" t="s">
        <v>52</v>
      </c>
      <c r="D1012">
        <v>439</v>
      </c>
      <c r="E1012" t="s">
        <v>42</v>
      </c>
      <c r="F1012">
        <v>9</v>
      </c>
      <c r="G1012">
        <v>3</v>
      </c>
      <c r="H1012" t="s">
        <v>35</v>
      </c>
      <c r="I1012">
        <v>1</v>
      </c>
      <c r="J1012">
        <v>1132</v>
      </c>
      <c r="K1012">
        <v>3</v>
      </c>
      <c r="L1012" s="17" t="s">
        <v>43</v>
      </c>
      <c r="M1012">
        <v>70</v>
      </c>
      <c r="N1012">
        <v>3</v>
      </c>
      <c r="O1012">
        <v>2</v>
      </c>
      <c r="P1012" t="s">
        <v>47</v>
      </c>
      <c r="Q1012">
        <v>2</v>
      </c>
      <c r="R1012" t="s">
        <v>38</v>
      </c>
      <c r="S1012" s="6">
        <v>6782</v>
      </c>
      <c r="T1012">
        <v>8770</v>
      </c>
      <c r="U1012">
        <v>9</v>
      </c>
      <c r="V1012" t="s">
        <v>39</v>
      </c>
      <c r="W1012" t="s">
        <v>40</v>
      </c>
      <c r="X1012">
        <v>15</v>
      </c>
      <c r="Y1012">
        <v>3</v>
      </c>
      <c r="Z1012">
        <v>3</v>
      </c>
      <c r="AA1012">
        <v>80</v>
      </c>
      <c r="AB1012">
        <v>0</v>
      </c>
      <c r="AC1012">
        <v>9</v>
      </c>
      <c r="AD1012">
        <v>2</v>
      </c>
      <c r="AE1012">
        <v>2</v>
      </c>
      <c r="AF1012">
        <v>5</v>
      </c>
      <c r="AG1012">
        <v>4</v>
      </c>
      <c r="AH1012">
        <v>0</v>
      </c>
      <c r="AI1012">
        <v>3</v>
      </c>
    </row>
    <row r="1013" spans="1:35" x14ac:dyDescent="0.3">
      <c r="A1013">
        <v>50</v>
      </c>
      <c r="B1013" t="s">
        <v>32</v>
      </c>
      <c r="C1013" t="s">
        <v>41</v>
      </c>
      <c r="D1013">
        <v>562</v>
      </c>
      <c r="E1013" t="s">
        <v>34</v>
      </c>
      <c r="F1013">
        <v>8</v>
      </c>
      <c r="G1013">
        <v>2</v>
      </c>
      <c r="H1013" t="s">
        <v>57</v>
      </c>
      <c r="I1013">
        <v>1</v>
      </c>
      <c r="J1013">
        <v>723</v>
      </c>
      <c r="K1013">
        <v>2</v>
      </c>
      <c r="L1013" s="17" t="s">
        <v>43</v>
      </c>
      <c r="M1013">
        <v>50</v>
      </c>
      <c r="N1013">
        <v>3</v>
      </c>
      <c r="O1013">
        <v>2</v>
      </c>
      <c r="P1013" t="s">
        <v>37</v>
      </c>
      <c r="Q1013">
        <v>3</v>
      </c>
      <c r="R1013" t="s">
        <v>45</v>
      </c>
      <c r="S1013" s="6">
        <v>6796</v>
      </c>
      <c r="T1013">
        <v>23452</v>
      </c>
      <c r="U1013">
        <v>3</v>
      </c>
      <c r="V1013" t="s">
        <v>39</v>
      </c>
      <c r="W1013" t="s">
        <v>32</v>
      </c>
      <c r="X1013">
        <v>14</v>
      </c>
      <c r="Y1013">
        <v>3</v>
      </c>
      <c r="Z1013">
        <v>1</v>
      </c>
      <c r="AA1013">
        <v>80</v>
      </c>
      <c r="AB1013">
        <v>1</v>
      </c>
      <c r="AC1013">
        <v>18</v>
      </c>
      <c r="AD1013">
        <v>4</v>
      </c>
      <c r="AE1013">
        <v>3</v>
      </c>
      <c r="AF1013">
        <v>4</v>
      </c>
      <c r="AG1013">
        <v>3</v>
      </c>
      <c r="AH1013">
        <v>1</v>
      </c>
      <c r="AI1013">
        <v>3</v>
      </c>
    </row>
    <row r="1014" spans="1:35" x14ac:dyDescent="0.3">
      <c r="A1014">
        <v>34</v>
      </c>
      <c r="B1014" t="s">
        <v>40</v>
      </c>
      <c r="C1014" t="s">
        <v>33</v>
      </c>
      <c r="D1014">
        <v>810</v>
      </c>
      <c r="E1014" t="s">
        <v>34</v>
      </c>
      <c r="F1014">
        <v>8</v>
      </c>
      <c r="G1014">
        <v>2</v>
      </c>
      <c r="H1014" t="s">
        <v>57</v>
      </c>
      <c r="I1014">
        <v>1</v>
      </c>
      <c r="J1014">
        <v>1823</v>
      </c>
      <c r="K1014">
        <v>2</v>
      </c>
      <c r="L1014" s="17" t="s">
        <v>43</v>
      </c>
      <c r="M1014">
        <v>92</v>
      </c>
      <c r="N1014">
        <v>4</v>
      </c>
      <c r="O1014">
        <v>2</v>
      </c>
      <c r="P1014" t="s">
        <v>37</v>
      </c>
      <c r="Q1014">
        <v>3</v>
      </c>
      <c r="R1014" t="s">
        <v>45</v>
      </c>
      <c r="S1014" s="6">
        <v>6799</v>
      </c>
      <c r="T1014">
        <v>22128</v>
      </c>
      <c r="U1014">
        <v>1</v>
      </c>
      <c r="V1014" t="s">
        <v>39</v>
      </c>
      <c r="W1014" t="s">
        <v>40</v>
      </c>
      <c r="X1014">
        <v>21</v>
      </c>
      <c r="Y1014">
        <v>4</v>
      </c>
      <c r="Z1014">
        <v>3</v>
      </c>
      <c r="AA1014">
        <v>80</v>
      </c>
      <c r="AB1014">
        <v>2</v>
      </c>
      <c r="AC1014">
        <v>10</v>
      </c>
      <c r="AD1014">
        <v>5</v>
      </c>
      <c r="AE1014">
        <v>3</v>
      </c>
      <c r="AF1014">
        <v>10</v>
      </c>
      <c r="AG1014">
        <v>8</v>
      </c>
      <c r="AH1014">
        <v>4</v>
      </c>
      <c r="AI1014">
        <v>8</v>
      </c>
    </row>
    <row r="1015" spans="1:35" x14ac:dyDescent="0.3">
      <c r="A1015">
        <v>49</v>
      </c>
      <c r="B1015" t="s">
        <v>40</v>
      </c>
      <c r="C1015" t="s">
        <v>52</v>
      </c>
      <c r="D1015">
        <v>1002</v>
      </c>
      <c r="E1015" t="s">
        <v>42</v>
      </c>
      <c r="F1015">
        <v>18</v>
      </c>
      <c r="G1015">
        <v>4</v>
      </c>
      <c r="H1015" t="s">
        <v>35</v>
      </c>
      <c r="I1015">
        <v>1</v>
      </c>
      <c r="J1015">
        <v>275</v>
      </c>
      <c r="K1015">
        <v>4</v>
      </c>
      <c r="L1015" s="17" t="s">
        <v>43</v>
      </c>
      <c r="M1015">
        <v>92</v>
      </c>
      <c r="N1015">
        <v>3</v>
      </c>
      <c r="O1015">
        <v>2</v>
      </c>
      <c r="P1015" t="s">
        <v>50</v>
      </c>
      <c r="Q1015">
        <v>4</v>
      </c>
      <c r="R1015" t="s">
        <v>49</v>
      </c>
      <c r="S1015" s="6">
        <v>6804</v>
      </c>
      <c r="T1015">
        <v>23793</v>
      </c>
      <c r="U1015">
        <v>1</v>
      </c>
      <c r="V1015" t="s">
        <v>39</v>
      </c>
      <c r="W1015" t="s">
        <v>32</v>
      </c>
      <c r="X1015">
        <v>15</v>
      </c>
      <c r="Y1015">
        <v>3</v>
      </c>
      <c r="Z1015">
        <v>1</v>
      </c>
      <c r="AA1015">
        <v>80</v>
      </c>
      <c r="AB1015">
        <v>2</v>
      </c>
      <c r="AC1015">
        <v>7</v>
      </c>
      <c r="AD1015">
        <v>0</v>
      </c>
      <c r="AE1015">
        <v>3</v>
      </c>
      <c r="AF1015">
        <v>7</v>
      </c>
      <c r="AG1015">
        <v>7</v>
      </c>
      <c r="AH1015">
        <v>1</v>
      </c>
      <c r="AI1015">
        <v>7</v>
      </c>
    </row>
    <row r="1016" spans="1:35" x14ac:dyDescent="0.3">
      <c r="A1016">
        <v>43</v>
      </c>
      <c r="B1016" t="s">
        <v>40</v>
      </c>
      <c r="C1016" t="s">
        <v>41</v>
      </c>
      <c r="D1016">
        <v>775</v>
      </c>
      <c r="E1016" t="s">
        <v>34</v>
      </c>
      <c r="F1016">
        <v>15</v>
      </c>
      <c r="G1016">
        <v>3</v>
      </c>
      <c r="H1016" t="s">
        <v>35</v>
      </c>
      <c r="I1016">
        <v>1</v>
      </c>
      <c r="J1016">
        <v>754</v>
      </c>
      <c r="K1016">
        <v>4</v>
      </c>
      <c r="L1016" s="17" t="s">
        <v>43</v>
      </c>
      <c r="M1016">
        <v>47</v>
      </c>
      <c r="N1016">
        <v>2</v>
      </c>
      <c r="O1016">
        <v>2</v>
      </c>
      <c r="P1016" t="s">
        <v>37</v>
      </c>
      <c r="Q1016">
        <v>4</v>
      </c>
      <c r="R1016" t="s">
        <v>45</v>
      </c>
      <c r="S1016" s="6">
        <v>6804</v>
      </c>
      <c r="T1016">
        <v>23683</v>
      </c>
      <c r="U1016">
        <v>3</v>
      </c>
      <c r="V1016" t="s">
        <v>39</v>
      </c>
      <c r="W1016" t="s">
        <v>40</v>
      </c>
      <c r="X1016">
        <v>18</v>
      </c>
      <c r="Y1016">
        <v>3</v>
      </c>
      <c r="Z1016">
        <v>3</v>
      </c>
      <c r="AA1016">
        <v>80</v>
      </c>
      <c r="AB1016">
        <v>1</v>
      </c>
      <c r="AC1016">
        <v>7</v>
      </c>
      <c r="AD1016">
        <v>5</v>
      </c>
      <c r="AE1016">
        <v>3</v>
      </c>
      <c r="AF1016">
        <v>2</v>
      </c>
      <c r="AG1016">
        <v>2</v>
      </c>
      <c r="AH1016">
        <v>2</v>
      </c>
      <c r="AI1016">
        <v>2</v>
      </c>
    </row>
    <row r="1017" spans="1:35" x14ac:dyDescent="0.3">
      <c r="A1017">
        <v>41</v>
      </c>
      <c r="B1017" t="s">
        <v>40</v>
      </c>
      <c r="C1017" t="s">
        <v>52</v>
      </c>
      <c r="D1017">
        <v>509</v>
      </c>
      <c r="E1017" t="s">
        <v>42</v>
      </c>
      <c r="F1017">
        <v>2</v>
      </c>
      <c r="G1017">
        <v>4</v>
      </c>
      <c r="H1017" t="s">
        <v>46</v>
      </c>
      <c r="I1017">
        <v>1</v>
      </c>
      <c r="J1017">
        <v>616</v>
      </c>
      <c r="K1017">
        <v>1</v>
      </c>
      <c r="L1017" s="17" t="s">
        <v>36</v>
      </c>
      <c r="M1017">
        <v>62</v>
      </c>
      <c r="N1017">
        <v>2</v>
      </c>
      <c r="O1017">
        <v>2</v>
      </c>
      <c r="P1017" t="s">
        <v>51</v>
      </c>
      <c r="Q1017">
        <v>3</v>
      </c>
      <c r="R1017" t="s">
        <v>38</v>
      </c>
      <c r="S1017" s="6">
        <v>6811</v>
      </c>
      <c r="T1017">
        <v>2112</v>
      </c>
      <c r="U1017">
        <v>2</v>
      </c>
      <c r="V1017" t="s">
        <v>39</v>
      </c>
      <c r="W1017" t="s">
        <v>32</v>
      </c>
      <c r="X1017">
        <v>17</v>
      </c>
      <c r="Y1017">
        <v>3</v>
      </c>
      <c r="Z1017">
        <v>1</v>
      </c>
      <c r="AA1017">
        <v>80</v>
      </c>
      <c r="AB1017">
        <v>0</v>
      </c>
      <c r="AC1017">
        <v>10</v>
      </c>
      <c r="AD1017">
        <v>3</v>
      </c>
      <c r="AE1017">
        <v>3</v>
      </c>
      <c r="AF1017">
        <v>8</v>
      </c>
      <c r="AG1017">
        <v>7</v>
      </c>
      <c r="AH1017">
        <v>0</v>
      </c>
      <c r="AI1017">
        <v>7</v>
      </c>
    </row>
    <row r="1018" spans="1:35" x14ac:dyDescent="0.3">
      <c r="A1018">
        <v>27</v>
      </c>
      <c r="B1018" t="s">
        <v>40</v>
      </c>
      <c r="C1018" t="s">
        <v>33</v>
      </c>
      <c r="D1018">
        <v>975</v>
      </c>
      <c r="E1018" t="s">
        <v>42</v>
      </c>
      <c r="F1018">
        <v>7</v>
      </c>
      <c r="G1018">
        <v>3</v>
      </c>
      <c r="H1018" t="s">
        <v>48</v>
      </c>
      <c r="I1018">
        <v>1</v>
      </c>
      <c r="J1018">
        <v>764</v>
      </c>
      <c r="K1018">
        <v>4</v>
      </c>
      <c r="L1018" s="17" t="s">
        <v>36</v>
      </c>
      <c r="M1018">
        <v>55</v>
      </c>
      <c r="N1018">
        <v>2</v>
      </c>
      <c r="O1018">
        <v>2</v>
      </c>
      <c r="P1018" t="s">
        <v>51</v>
      </c>
      <c r="Q1018">
        <v>1</v>
      </c>
      <c r="R1018" t="s">
        <v>38</v>
      </c>
      <c r="S1018" s="6">
        <v>6811</v>
      </c>
      <c r="T1018">
        <v>23398</v>
      </c>
      <c r="U1018">
        <v>8</v>
      </c>
      <c r="V1018" t="s">
        <v>39</v>
      </c>
      <c r="W1018" t="s">
        <v>40</v>
      </c>
      <c r="X1018">
        <v>19</v>
      </c>
      <c r="Y1018">
        <v>3</v>
      </c>
      <c r="Z1018">
        <v>1</v>
      </c>
      <c r="AA1018">
        <v>80</v>
      </c>
      <c r="AB1018">
        <v>0</v>
      </c>
      <c r="AC1018">
        <v>9</v>
      </c>
      <c r="AD1018">
        <v>2</v>
      </c>
      <c r="AE1018">
        <v>1</v>
      </c>
      <c r="AF1018">
        <v>7</v>
      </c>
      <c r="AG1018">
        <v>6</v>
      </c>
      <c r="AH1018">
        <v>0</v>
      </c>
      <c r="AI1018">
        <v>7</v>
      </c>
    </row>
    <row r="1019" spans="1:35" x14ac:dyDescent="0.3">
      <c r="A1019">
        <v>31</v>
      </c>
      <c r="B1019" t="s">
        <v>40</v>
      </c>
      <c r="C1019" t="s">
        <v>33</v>
      </c>
      <c r="D1019">
        <v>1062</v>
      </c>
      <c r="E1019" t="s">
        <v>42</v>
      </c>
      <c r="F1019">
        <v>24</v>
      </c>
      <c r="G1019">
        <v>3</v>
      </c>
      <c r="H1019" t="s">
        <v>48</v>
      </c>
      <c r="I1019">
        <v>1</v>
      </c>
      <c r="J1019">
        <v>1252</v>
      </c>
      <c r="K1019">
        <v>3</v>
      </c>
      <c r="L1019" s="17" t="s">
        <v>36</v>
      </c>
      <c r="M1019">
        <v>96</v>
      </c>
      <c r="N1019">
        <v>2</v>
      </c>
      <c r="O1019">
        <v>2</v>
      </c>
      <c r="P1019" t="s">
        <v>51</v>
      </c>
      <c r="Q1019">
        <v>1</v>
      </c>
      <c r="R1019" t="s">
        <v>38</v>
      </c>
      <c r="S1019" s="6">
        <v>6812</v>
      </c>
      <c r="T1019">
        <v>17198</v>
      </c>
      <c r="U1019">
        <v>1</v>
      </c>
      <c r="V1019" t="s">
        <v>39</v>
      </c>
      <c r="W1019" t="s">
        <v>40</v>
      </c>
      <c r="X1019">
        <v>19</v>
      </c>
      <c r="Y1019">
        <v>3</v>
      </c>
      <c r="Z1019">
        <v>2</v>
      </c>
      <c r="AA1019">
        <v>80</v>
      </c>
      <c r="AB1019">
        <v>0</v>
      </c>
      <c r="AC1019">
        <v>10</v>
      </c>
      <c r="AD1019">
        <v>2</v>
      </c>
      <c r="AE1019">
        <v>3</v>
      </c>
      <c r="AF1019">
        <v>10</v>
      </c>
      <c r="AG1019">
        <v>9</v>
      </c>
      <c r="AH1019">
        <v>1</v>
      </c>
      <c r="AI1019">
        <v>8</v>
      </c>
    </row>
    <row r="1020" spans="1:35" x14ac:dyDescent="0.3">
      <c r="A1020">
        <v>36</v>
      </c>
      <c r="B1020" t="s">
        <v>40</v>
      </c>
      <c r="C1020" t="s">
        <v>33</v>
      </c>
      <c r="D1020">
        <v>884</v>
      </c>
      <c r="E1020" t="s">
        <v>34</v>
      </c>
      <c r="F1020">
        <v>1</v>
      </c>
      <c r="G1020">
        <v>4</v>
      </c>
      <c r="H1020" t="s">
        <v>35</v>
      </c>
      <c r="I1020">
        <v>1</v>
      </c>
      <c r="J1020">
        <v>1585</v>
      </c>
      <c r="K1020">
        <v>2</v>
      </c>
      <c r="L1020" s="17" t="s">
        <v>36</v>
      </c>
      <c r="M1020">
        <v>73</v>
      </c>
      <c r="N1020">
        <v>3</v>
      </c>
      <c r="O1020">
        <v>2</v>
      </c>
      <c r="P1020" t="s">
        <v>37</v>
      </c>
      <c r="Q1020">
        <v>3</v>
      </c>
      <c r="R1020" t="s">
        <v>38</v>
      </c>
      <c r="S1020" s="6">
        <v>6815</v>
      </c>
      <c r="T1020">
        <v>21447</v>
      </c>
      <c r="U1020">
        <v>6</v>
      </c>
      <c r="V1020" t="s">
        <v>39</v>
      </c>
      <c r="W1020" t="s">
        <v>40</v>
      </c>
      <c r="X1020">
        <v>13</v>
      </c>
      <c r="Y1020">
        <v>3</v>
      </c>
      <c r="Z1020">
        <v>1</v>
      </c>
      <c r="AA1020">
        <v>80</v>
      </c>
      <c r="AB1020">
        <v>0</v>
      </c>
      <c r="AC1020">
        <v>15</v>
      </c>
      <c r="AD1020">
        <v>5</v>
      </c>
      <c r="AE1020">
        <v>3</v>
      </c>
      <c r="AF1020">
        <v>1</v>
      </c>
      <c r="AG1020">
        <v>0</v>
      </c>
      <c r="AH1020">
        <v>0</v>
      </c>
      <c r="AI1020">
        <v>0</v>
      </c>
    </row>
    <row r="1021" spans="1:35" x14ac:dyDescent="0.3">
      <c r="A1021">
        <v>42</v>
      </c>
      <c r="B1021" t="s">
        <v>40</v>
      </c>
      <c r="C1021" t="s">
        <v>33</v>
      </c>
      <c r="D1021">
        <v>691</v>
      </c>
      <c r="E1021" t="s">
        <v>34</v>
      </c>
      <c r="F1021">
        <v>8</v>
      </c>
      <c r="G1021">
        <v>4</v>
      </c>
      <c r="H1021" t="s">
        <v>56</v>
      </c>
      <c r="I1021">
        <v>1</v>
      </c>
      <c r="J1021">
        <v>35</v>
      </c>
      <c r="K1021">
        <v>3</v>
      </c>
      <c r="L1021" s="17" t="s">
        <v>43</v>
      </c>
      <c r="M1021">
        <v>48</v>
      </c>
      <c r="N1021">
        <v>3</v>
      </c>
      <c r="O1021">
        <v>2</v>
      </c>
      <c r="P1021" t="s">
        <v>37</v>
      </c>
      <c r="Q1021">
        <v>2</v>
      </c>
      <c r="R1021" t="s">
        <v>45</v>
      </c>
      <c r="S1021" s="6">
        <v>6825</v>
      </c>
      <c r="T1021">
        <v>21173</v>
      </c>
      <c r="U1021">
        <v>0</v>
      </c>
      <c r="V1021" t="s">
        <v>39</v>
      </c>
      <c r="W1021" t="s">
        <v>40</v>
      </c>
      <c r="X1021">
        <v>11</v>
      </c>
      <c r="Y1021">
        <v>3</v>
      </c>
      <c r="Z1021">
        <v>4</v>
      </c>
      <c r="AA1021">
        <v>80</v>
      </c>
      <c r="AB1021">
        <v>1</v>
      </c>
      <c r="AC1021">
        <v>10</v>
      </c>
      <c r="AD1021">
        <v>2</v>
      </c>
      <c r="AE1021">
        <v>3</v>
      </c>
      <c r="AF1021">
        <v>9</v>
      </c>
      <c r="AG1021">
        <v>7</v>
      </c>
      <c r="AH1021">
        <v>4</v>
      </c>
      <c r="AI1021">
        <v>2</v>
      </c>
    </row>
    <row r="1022" spans="1:35" x14ac:dyDescent="0.3">
      <c r="A1022">
        <v>31</v>
      </c>
      <c r="B1022" t="s">
        <v>40</v>
      </c>
      <c r="C1022" t="s">
        <v>33</v>
      </c>
      <c r="D1022">
        <v>1332</v>
      </c>
      <c r="E1022" t="s">
        <v>42</v>
      </c>
      <c r="F1022">
        <v>11</v>
      </c>
      <c r="G1022">
        <v>2</v>
      </c>
      <c r="H1022" t="s">
        <v>48</v>
      </c>
      <c r="I1022">
        <v>1</v>
      </c>
      <c r="J1022">
        <v>1251</v>
      </c>
      <c r="K1022">
        <v>3</v>
      </c>
      <c r="L1022" s="17" t="s">
        <v>43</v>
      </c>
      <c r="M1022">
        <v>80</v>
      </c>
      <c r="N1022">
        <v>3</v>
      </c>
      <c r="O1022">
        <v>2</v>
      </c>
      <c r="P1022" t="s">
        <v>51</v>
      </c>
      <c r="Q1022">
        <v>1</v>
      </c>
      <c r="R1022" t="s">
        <v>45</v>
      </c>
      <c r="S1022" s="6">
        <v>6833</v>
      </c>
      <c r="T1022">
        <v>17089</v>
      </c>
      <c r="U1022">
        <v>1</v>
      </c>
      <c r="V1022" t="s">
        <v>39</v>
      </c>
      <c r="W1022" t="s">
        <v>32</v>
      </c>
      <c r="X1022">
        <v>12</v>
      </c>
      <c r="Y1022">
        <v>3</v>
      </c>
      <c r="Z1022">
        <v>4</v>
      </c>
      <c r="AA1022">
        <v>80</v>
      </c>
      <c r="AB1022">
        <v>0</v>
      </c>
      <c r="AC1022">
        <v>6</v>
      </c>
      <c r="AD1022">
        <v>2</v>
      </c>
      <c r="AE1022">
        <v>2</v>
      </c>
      <c r="AF1022">
        <v>6</v>
      </c>
      <c r="AG1022">
        <v>5</v>
      </c>
      <c r="AH1022">
        <v>0</v>
      </c>
      <c r="AI1022">
        <v>1</v>
      </c>
    </row>
    <row r="1023" spans="1:35" x14ac:dyDescent="0.3">
      <c r="A1023">
        <v>28</v>
      </c>
      <c r="B1023" t="s">
        <v>40</v>
      </c>
      <c r="C1023" t="s">
        <v>41</v>
      </c>
      <c r="D1023">
        <v>783</v>
      </c>
      <c r="E1023" t="s">
        <v>34</v>
      </c>
      <c r="F1023">
        <v>1</v>
      </c>
      <c r="G1023">
        <v>2</v>
      </c>
      <c r="H1023" t="s">
        <v>35</v>
      </c>
      <c r="I1023">
        <v>1</v>
      </c>
      <c r="J1023">
        <v>1927</v>
      </c>
      <c r="K1023">
        <v>3</v>
      </c>
      <c r="L1023" s="17" t="s">
        <v>43</v>
      </c>
      <c r="M1023">
        <v>42</v>
      </c>
      <c r="N1023">
        <v>2</v>
      </c>
      <c r="O1023">
        <v>2</v>
      </c>
      <c r="P1023" t="s">
        <v>37</v>
      </c>
      <c r="Q1023">
        <v>4</v>
      </c>
      <c r="R1023" t="s">
        <v>45</v>
      </c>
      <c r="S1023" s="6">
        <v>6834</v>
      </c>
      <c r="T1023">
        <v>19255</v>
      </c>
      <c r="U1023">
        <v>1</v>
      </c>
      <c r="V1023" t="s">
        <v>39</v>
      </c>
      <c r="W1023" t="s">
        <v>32</v>
      </c>
      <c r="X1023">
        <v>12</v>
      </c>
      <c r="Y1023">
        <v>3</v>
      </c>
      <c r="Z1023">
        <v>3</v>
      </c>
      <c r="AA1023">
        <v>80</v>
      </c>
      <c r="AB1023">
        <v>1</v>
      </c>
      <c r="AC1023">
        <v>7</v>
      </c>
      <c r="AD1023">
        <v>2</v>
      </c>
      <c r="AE1023">
        <v>3</v>
      </c>
      <c r="AF1023">
        <v>7</v>
      </c>
      <c r="AG1023">
        <v>7</v>
      </c>
      <c r="AH1023">
        <v>0</v>
      </c>
      <c r="AI1023">
        <v>7</v>
      </c>
    </row>
    <row r="1024" spans="1:35" x14ac:dyDescent="0.3">
      <c r="A1024">
        <v>36</v>
      </c>
      <c r="B1024" t="s">
        <v>40</v>
      </c>
      <c r="C1024" t="s">
        <v>33</v>
      </c>
      <c r="D1024">
        <v>1040</v>
      </c>
      <c r="E1024" t="s">
        <v>42</v>
      </c>
      <c r="F1024">
        <v>3</v>
      </c>
      <c r="G1024">
        <v>2</v>
      </c>
      <c r="H1024" t="s">
        <v>35</v>
      </c>
      <c r="I1024">
        <v>1</v>
      </c>
      <c r="J1024">
        <v>1664</v>
      </c>
      <c r="K1024">
        <v>4</v>
      </c>
      <c r="L1024" s="17" t="s">
        <v>43</v>
      </c>
      <c r="M1024">
        <v>79</v>
      </c>
      <c r="N1024">
        <v>4</v>
      </c>
      <c r="O1024">
        <v>2</v>
      </c>
      <c r="P1024" t="s">
        <v>51</v>
      </c>
      <c r="Q1024">
        <v>1</v>
      </c>
      <c r="R1024" t="s">
        <v>49</v>
      </c>
      <c r="S1024" s="6">
        <v>6842</v>
      </c>
      <c r="T1024">
        <v>26308</v>
      </c>
      <c r="U1024">
        <v>6</v>
      </c>
      <c r="V1024" t="s">
        <v>39</v>
      </c>
      <c r="W1024" t="s">
        <v>40</v>
      </c>
      <c r="X1024">
        <v>20</v>
      </c>
      <c r="Y1024">
        <v>4</v>
      </c>
      <c r="Z1024">
        <v>1</v>
      </c>
      <c r="AA1024">
        <v>80</v>
      </c>
      <c r="AB1024">
        <v>1</v>
      </c>
      <c r="AC1024">
        <v>13</v>
      </c>
      <c r="AD1024">
        <v>3</v>
      </c>
      <c r="AE1024">
        <v>3</v>
      </c>
      <c r="AF1024">
        <v>5</v>
      </c>
      <c r="AG1024">
        <v>4</v>
      </c>
      <c r="AH1024">
        <v>0</v>
      </c>
      <c r="AI1024">
        <v>4</v>
      </c>
    </row>
    <row r="1025" spans="1:35" x14ac:dyDescent="0.3">
      <c r="A1025">
        <v>40</v>
      </c>
      <c r="B1025" t="s">
        <v>40</v>
      </c>
      <c r="C1025" t="s">
        <v>33</v>
      </c>
      <c r="D1025">
        <v>107</v>
      </c>
      <c r="E1025" t="s">
        <v>34</v>
      </c>
      <c r="F1025">
        <v>10</v>
      </c>
      <c r="G1025">
        <v>3</v>
      </c>
      <c r="H1025" t="s">
        <v>57</v>
      </c>
      <c r="I1025">
        <v>1</v>
      </c>
      <c r="J1025">
        <v>1239</v>
      </c>
      <c r="K1025">
        <v>2</v>
      </c>
      <c r="L1025" s="17" t="s">
        <v>36</v>
      </c>
      <c r="M1025">
        <v>84</v>
      </c>
      <c r="N1025">
        <v>2</v>
      </c>
      <c r="O1025">
        <v>2</v>
      </c>
      <c r="P1025" t="s">
        <v>37</v>
      </c>
      <c r="Q1025">
        <v>2</v>
      </c>
      <c r="R1025" t="s">
        <v>49</v>
      </c>
      <c r="S1025" s="6">
        <v>6852</v>
      </c>
      <c r="T1025">
        <v>11591</v>
      </c>
      <c r="U1025">
        <v>7</v>
      </c>
      <c r="V1025" t="s">
        <v>39</v>
      </c>
      <c r="W1025" t="s">
        <v>40</v>
      </c>
      <c r="X1025">
        <v>12</v>
      </c>
      <c r="Y1025">
        <v>3</v>
      </c>
      <c r="Z1025">
        <v>2</v>
      </c>
      <c r="AA1025">
        <v>80</v>
      </c>
      <c r="AB1025">
        <v>1</v>
      </c>
      <c r="AC1025">
        <v>7</v>
      </c>
      <c r="AD1025">
        <v>2</v>
      </c>
      <c r="AE1025">
        <v>4</v>
      </c>
      <c r="AF1025">
        <v>5</v>
      </c>
      <c r="AG1025">
        <v>1</v>
      </c>
      <c r="AH1025">
        <v>1</v>
      </c>
      <c r="AI1025">
        <v>3</v>
      </c>
    </row>
    <row r="1026" spans="1:35" x14ac:dyDescent="0.3">
      <c r="A1026">
        <v>54</v>
      </c>
      <c r="B1026" t="s">
        <v>40</v>
      </c>
      <c r="C1026" t="s">
        <v>33</v>
      </c>
      <c r="D1026">
        <v>431</v>
      </c>
      <c r="E1026" t="s">
        <v>42</v>
      </c>
      <c r="F1026">
        <v>7</v>
      </c>
      <c r="G1026">
        <v>4</v>
      </c>
      <c r="H1026" t="s">
        <v>48</v>
      </c>
      <c r="I1026">
        <v>1</v>
      </c>
      <c r="J1026">
        <v>1830</v>
      </c>
      <c r="K1026">
        <v>4</v>
      </c>
      <c r="L1026" s="17" t="s">
        <v>36</v>
      </c>
      <c r="M1026">
        <v>68</v>
      </c>
      <c r="N1026">
        <v>3</v>
      </c>
      <c r="O1026">
        <v>2</v>
      </c>
      <c r="P1026" t="s">
        <v>44</v>
      </c>
      <c r="Q1026">
        <v>4</v>
      </c>
      <c r="R1026" t="s">
        <v>45</v>
      </c>
      <c r="S1026" s="6">
        <v>6854</v>
      </c>
      <c r="T1026">
        <v>15696</v>
      </c>
      <c r="U1026">
        <v>4</v>
      </c>
      <c r="V1026" t="s">
        <v>39</v>
      </c>
      <c r="W1026" t="s">
        <v>40</v>
      </c>
      <c r="X1026">
        <v>15</v>
      </c>
      <c r="Y1026">
        <v>3</v>
      </c>
      <c r="Z1026">
        <v>2</v>
      </c>
      <c r="AA1026">
        <v>80</v>
      </c>
      <c r="AB1026">
        <v>1</v>
      </c>
      <c r="AC1026">
        <v>14</v>
      </c>
      <c r="AD1026">
        <v>2</v>
      </c>
      <c r="AE1026">
        <v>2</v>
      </c>
      <c r="AF1026">
        <v>7</v>
      </c>
      <c r="AG1026">
        <v>1</v>
      </c>
      <c r="AH1026">
        <v>1</v>
      </c>
      <c r="AI1026">
        <v>7</v>
      </c>
    </row>
    <row r="1027" spans="1:35" x14ac:dyDescent="0.3">
      <c r="A1027">
        <v>38</v>
      </c>
      <c r="B1027" t="s">
        <v>40</v>
      </c>
      <c r="C1027" t="s">
        <v>33</v>
      </c>
      <c r="D1027">
        <v>1035</v>
      </c>
      <c r="E1027" t="s">
        <v>34</v>
      </c>
      <c r="F1027">
        <v>3</v>
      </c>
      <c r="G1027">
        <v>4</v>
      </c>
      <c r="H1027" t="s">
        <v>35</v>
      </c>
      <c r="I1027">
        <v>1</v>
      </c>
      <c r="J1027">
        <v>1036</v>
      </c>
      <c r="K1027">
        <v>2</v>
      </c>
      <c r="L1027" s="17" t="s">
        <v>43</v>
      </c>
      <c r="M1027">
        <v>42</v>
      </c>
      <c r="N1027">
        <v>3</v>
      </c>
      <c r="O1027">
        <v>2</v>
      </c>
      <c r="P1027" t="s">
        <v>37</v>
      </c>
      <c r="Q1027">
        <v>4</v>
      </c>
      <c r="R1027" t="s">
        <v>38</v>
      </c>
      <c r="S1027" s="6">
        <v>6861</v>
      </c>
      <c r="T1027">
        <v>4981</v>
      </c>
      <c r="U1027">
        <v>8</v>
      </c>
      <c r="V1027" t="s">
        <v>39</v>
      </c>
      <c r="W1027" t="s">
        <v>32</v>
      </c>
      <c r="X1027">
        <v>12</v>
      </c>
      <c r="Y1027">
        <v>3</v>
      </c>
      <c r="Z1027">
        <v>3</v>
      </c>
      <c r="AA1027">
        <v>80</v>
      </c>
      <c r="AB1027">
        <v>0</v>
      </c>
      <c r="AC1027">
        <v>19</v>
      </c>
      <c r="AD1027">
        <v>1</v>
      </c>
      <c r="AE1027">
        <v>3</v>
      </c>
      <c r="AF1027">
        <v>1</v>
      </c>
      <c r="AG1027">
        <v>0</v>
      </c>
      <c r="AH1027">
        <v>0</v>
      </c>
      <c r="AI1027">
        <v>0</v>
      </c>
    </row>
    <row r="1028" spans="1:35" x14ac:dyDescent="0.3">
      <c r="A1028">
        <v>41</v>
      </c>
      <c r="B1028" t="s">
        <v>40</v>
      </c>
      <c r="C1028" t="s">
        <v>33</v>
      </c>
      <c r="D1028">
        <v>447</v>
      </c>
      <c r="E1028" t="s">
        <v>42</v>
      </c>
      <c r="F1028">
        <v>5</v>
      </c>
      <c r="G1028">
        <v>3</v>
      </c>
      <c r="H1028" t="s">
        <v>35</v>
      </c>
      <c r="I1028">
        <v>1</v>
      </c>
      <c r="J1028">
        <v>1814</v>
      </c>
      <c r="K1028">
        <v>2</v>
      </c>
      <c r="L1028" s="17" t="s">
        <v>43</v>
      </c>
      <c r="M1028">
        <v>85</v>
      </c>
      <c r="N1028">
        <v>4</v>
      </c>
      <c r="O1028">
        <v>2</v>
      </c>
      <c r="P1028" t="s">
        <v>51</v>
      </c>
      <c r="Q1028">
        <v>2</v>
      </c>
      <c r="R1028" t="s">
        <v>38</v>
      </c>
      <c r="S1028" s="6">
        <v>6870</v>
      </c>
      <c r="T1028">
        <v>15530</v>
      </c>
      <c r="U1028">
        <v>3</v>
      </c>
      <c r="V1028" t="s">
        <v>39</v>
      </c>
      <c r="W1028" t="s">
        <v>40</v>
      </c>
      <c r="X1028">
        <v>12</v>
      </c>
      <c r="Y1028">
        <v>3</v>
      </c>
      <c r="Z1028">
        <v>1</v>
      </c>
      <c r="AA1028">
        <v>80</v>
      </c>
      <c r="AB1028">
        <v>0</v>
      </c>
      <c r="AC1028">
        <v>11</v>
      </c>
      <c r="AD1028">
        <v>3</v>
      </c>
      <c r="AE1028">
        <v>1</v>
      </c>
      <c r="AF1028">
        <v>3</v>
      </c>
      <c r="AG1028">
        <v>2</v>
      </c>
      <c r="AH1028">
        <v>1</v>
      </c>
      <c r="AI1028">
        <v>2</v>
      </c>
    </row>
    <row r="1029" spans="1:35" x14ac:dyDescent="0.3">
      <c r="A1029">
        <v>30</v>
      </c>
      <c r="B1029" t="s">
        <v>40</v>
      </c>
      <c r="C1029" t="s">
        <v>33</v>
      </c>
      <c r="D1029">
        <v>946</v>
      </c>
      <c r="E1029" t="s">
        <v>42</v>
      </c>
      <c r="F1029">
        <v>2</v>
      </c>
      <c r="G1029">
        <v>3</v>
      </c>
      <c r="H1029" t="s">
        <v>48</v>
      </c>
      <c r="I1029">
        <v>1</v>
      </c>
      <c r="J1029">
        <v>833</v>
      </c>
      <c r="K1029">
        <v>3</v>
      </c>
      <c r="L1029" s="17" t="s">
        <v>36</v>
      </c>
      <c r="M1029">
        <v>52</v>
      </c>
      <c r="N1029">
        <v>2</v>
      </c>
      <c r="O1029">
        <v>2</v>
      </c>
      <c r="P1029" t="s">
        <v>50</v>
      </c>
      <c r="Q1029">
        <v>4</v>
      </c>
      <c r="R1029" t="s">
        <v>38</v>
      </c>
      <c r="S1029" s="6">
        <v>6877</v>
      </c>
      <c r="T1029">
        <v>20234</v>
      </c>
      <c r="U1029">
        <v>5</v>
      </c>
      <c r="V1029" t="s">
        <v>39</v>
      </c>
      <c r="W1029" t="s">
        <v>32</v>
      </c>
      <c r="X1029">
        <v>24</v>
      </c>
      <c r="Y1029">
        <v>4</v>
      </c>
      <c r="Z1029">
        <v>2</v>
      </c>
      <c r="AA1029">
        <v>80</v>
      </c>
      <c r="AB1029">
        <v>0</v>
      </c>
      <c r="AC1029">
        <v>12</v>
      </c>
      <c r="AD1029">
        <v>4</v>
      </c>
      <c r="AE1029">
        <v>2</v>
      </c>
      <c r="AF1029">
        <v>0</v>
      </c>
      <c r="AG1029">
        <v>0</v>
      </c>
      <c r="AH1029">
        <v>0</v>
      </c>
      <c r="AI1029">
        <v>0</v>
      </c>
    </row>
    <row r="1030" spans="1:35" x14ac:dyDescent="0.3">
      <c r="A1030">
        <v>35</v>
      </c>
      <c r="B1030" t="s">
        <v>40</v>
      </c>
      <c r="C1030" t="s">
        <v>33</v>
      </c>
      <c r="D1030">
        <v>1370</v>
      </c>
      <c r="E1030" t="s">
        <v>42</v>
      </c>
      <c r="F1030">
        <v>27</v>
      </c>
      <c r="G1030">
        <v>4</v>
      </c>
      <c r="H1030" t="s">
        <v>35</v>
      </c>
      <c r="I1030">
        <v>1</v>
      </c>
      <c r="J1030">
        <v>1728</v>
      </c>
      <c r="K1030">
        <v>4</v>
      </c>
      <c r="L1030" s="17" t="s">
        <v>43</v>
      </c>
      <c r="M1030">
        <v>49</v>
      </c>
      <c r="N1030">
        <v>3</v>
      </c>
      <c r="O1030">
        <v>2</v>
      </c>
      <c r="P1030" t="s">
        <v>50</v>
      </c>
      <c r="Q1030">
        <v>3</v>
      </c>
      <c r="R1030" t="s">
        <v>45</v>
      </c>
      <c r="S1030" s="6">
        <v>6883</v>
      </c>
      <c r="T1030">
        <v>5151</v>
      </c>
      <c r="U1030">
        <v>2</v>
      </c>
      <c r="V1030" t="s">
        <v>39</v>
      </c>
      <c r="W1030" t="s">
        <v>40</v>
      </c>
      <c r="X1030">
        <v>16</v>
      </c>
      <c r="Y1030">
        <v>3</v>
      </c>
      <c r="Z1030">
        <v>2</v>
      </c>
      <c r="AA1030">
        <v>80</v>
      </c>
      <c r="AB1030">
        <v>1</v>
      </c>
      <c r="AC1030">
        <v>17</v>
      </c>
      <c r="AD1030">
        <v>3</v>
      </c>
      <c r="AE1030">
        <v>3</v>
      </c>
      <c r="AF1030">
        <v>7</v>
      </c>
      <c r="AG1030">
        <v>7</v>
      </c>
      <c r="AH1030">
        <v>0</v>
      </c>
      <c r="AI1030">
        <v>7</v>
      </c>
    </row>
    <row r="1031" spans="1:35" x14ac:dyDescent="0.3">
      <c r="A1031">
        <v>38</v>
      </c>
      <c r="B1031" t="s">
        <v>40</v>
      </c>
      <c r="C1031" t="s">
        <v>33</v>
      </c>
      <c r="D1031">
        <v>1009</v>
      </c>
      <c r="E1031" t="s">
        <v>34</v>
      </c>
      <c r="F1031">
        <v>2</v>
      </c>
      <c r="G1031">
        <v>2</v>
      </c>
      <c r="H1031" t="s">
        <v>35</v>
      </c>
      <c r="I1031">
        <v>1</v>
      </c>
      <c r="J1031">
        <v>1355</v>
      </c>
      <c r="K1031">
        <v>2</v>
      </c>
      <c r="L1031" s="17" t="s">
        <v>36</v>
      </c>
      <c r="M1031">
        <v>31</v>
      </c>
      <c r="N1031">
        <v>3</v>
      </c>
      <c r="O1031">
        <v>2</v>
      </c>
      <c r="P1031" t="s">
        <v>37</v>
      </c>
      <c r="Q1031">
        <v>1</v>
      </c>
      <c r="R1031" t="s">
        <v>49</v>
      </c>
      <c r="S1031" s="6">
        <v>6893</v>
      </c>
      <c r="T1031">
        <v>19461</v>
      </c>
      <c r="U1031">
        <v>3</v>
      </c>
      <c r="V1031" t="s">
        <v>39</v>
      </c>
      <c r="W1031" t="s">
        <v>40</v>
      </c>
      <c r="X1031">
        <v>15</v>
      </c>
      <c r="Y1031">
        <v>3</v>
      </c>
      <c r="Z1031">
        <v>4</v>
      </c>
      <c r="AA1031">
        <v>80</v>
      </c>
      <c r="AB1031">
        <v>1</v>
      </c>
      <c r="AC1031">
        <v>11</v>
      </c>
      <c r="AD1031">
        <v>3</v>
      </c>
      <c r="AE1031">
        <v>3</v>
      </c>
      <c r="AF1031">
        <v>7</v>
      </c>
      <c r="AG1031">
        <v>7</v>
      </c>
      <c r="AH1031">
        <v>1</v>
      </c>
      <c r="AI1031">
        <v>7</v>
      </c>
    </row>
    <row r="1032" spans="1:35" x14ac:dyDescent="0.3">
      <c r="A1032">
        <v>31</v>
      </c>
      <c r="B1032" t="s">
        <v>40</v>
      </c>
      <c r="C1032" t="s">
        <v>33</v>
      </c>
      <c r="D1032">
        <v>218</v>
      </c>
      <c r="E1032" t="s">
        <v>34</v>
      </c>
      <c r="F1032">
        <v>7</v>
      </c>
      <c r="G1032">
        <v>3</v>
      </c>
      <c r="H1032" t="s">
        <v>57</v>
      </c>
      <c r="I1032">
        <v>1</v>
      </c>
      <c r="J1032">
        <v>416</v>
      </c>
      <c r="K1032">
        <v>2</v>
      </c>
      <c r="L1032" s="17" t="s">
        <v>43</v>
      </c>
      <c r="M1032">
        <v>100</v>
      </c>
      <c r="N1032">
        <v>4</v>
      </c>
      <c r="O1032">
        <v>2</v>
      </c>
      <c r="P1032" t="s">
        <v>37</v>
      </c>
      <c r="Q1032">
        <v>4</v>
      </c>
      <c r="R1032" t="s">
        <v>45</v>
      </c>
      <c r="S1032" s="6">
        <v>6929</v>
      </c>
      <c r="T1032">
        <v>12241</v>
      </c>
      <c r="U1032">
        <v>4</v>
      </c>
      <c r="V1032" t="s">
        <v>39</v>
      </c>
      <c r="W1032" t="s">
        <v>40</v>
      </c>
      <c r="X1032">
        <v>11</v>
      </c>
      <c r="Y1032">
        <v>3</v>
      </c>
      <c r="Z1032">
        <v>2</v>
      </c>
      <c r="AA1032">
        <v>80</v>
      </c>
      <c r="AB1032">
        <v>1</v>
      </c>
      <c r="AC1032">
        <v>10</v>
      </c>
      <c r="AD1032">
        <v>3</v>
      </c>
      <c r="AE1032">
        <v>2</v>
      </c>
      <c r="AF1032">
        <v>8</v>
      </c>
      <c r="AG1032">
        <v>7</v>
      </c>
      <c r="AH1032">
        <v>7</v>
      </c>
      <c r="AI1032">
        <v>7</v>
      </c>
    </row>
    <row r="1033" spans="1:35" x14ac:dyDescent="0.3">
      <c r="A1033">
        <v>29</v>
      </c>
      <c r="B1033" t="s">
        <v>40</v>
      </c>
      <c r="C1033" t="s">
        <v>33</v>
      </c>
      <c r="D1033">
        <v>1247</v>
      </c>
      <c r="E1033" t="s">
        <v>34</v>
      </c>
      <c r="F1033">
        <v>20</v>
      </c>
      <c r="G1033">
        <v>2</v>
      </c>
      <c r="H1033" t="s">
        <v>56</v>
      </c>
      <c r="I1033">
        <v>1</v>
      </c>
      <c r="J1033">
        <v>349</v>
      </c>
      <c r="K1033">
        <v>4</v>
      </c>
      <c r="L1033" s="17" t="s">
        <v>43</v>
      </c>
      <c r="M1033">
        <v>45</v>
      </c>
      <c r="N1033">
        <v>3</v>
      </c>
      <c r="O1033">
        <v>2</v>
      </c>
      <c r="P1033" t="s">
        <v>37</v>
      </c>
      <c r="Q1033">
        <v>4</v>
      </c>
      <c r="R1033" t="s">
        <v>49</v>
      </c>
      <c r="S1033" s="6">
        <v>6931</v>
      </c>
      <c r="T1033">
        <v>10732</v>
      </c>
      <c r="U1033">
        <v>2</v>
      </c>
      <c r="V1033" t="s">
        <v>39</v>
      </c>
      <c r="W1033" t="s">
        <v>40</v>
      </c>
      <c r="X1033">
        <v>14</v>
      </c>
      <c r="Y1033">
        <v>3</v>
      </c>
      <c r="Z1033">
        <v>4</v>
      </c>
      <c r="AA1033">
        <v>80</v>
      </c>
      <c r="AB1033">
        <v>1</v>
      </c>
      <c r="AC1033">
        <v>10</v>
      </c>
      <c r="AD1033">
        <v>2</v>
      </c>
      <c r="AE1033">
        <v>3</v>
      </c>
      <c r="AF1033">
        <v>3</v>
      </c>
      <c r="AG1033">
        <v>2</v>
      </c>
      <c r="AH1033">
        <v>0</v>
      </c>
      <c r="AI1033">
        <v>2</v>
      </c>
    </row>
    <row r="1034" spans="1:35" x14ac:dyDescent="0.3">
      <c r="A1034">
        <v>31</v>
      </c>
      <c r="B1034" t="s">
        <v>40</v>
      </c>
      <c r="C1034" t="s">
        <v>52</v>
      </c>
      <c r="D1034">
        <v>1188</v>
      </c>
      <c r="E1034" t="s">
        <v>34</v>
      </c>
      <c r="F1034">
        <v>20</v>
      </c>
      <c r="G1034">
        <v>2</v>
      </c>
      <c r="H1034" t="s">
        <v>56</v>
      </c>
      <c r="I1034">
        <v>1</v>
      </c>
      <c r="J1034">
        <v>947</v>
      </c>
      <c r="K1034">
        <v>4</v>
      </c>
      <c r="L1034" s="17" t="s">
        <v>36</v>
      </c>
      <c r="M1034">
        <v>45</v>
      </c>
      <c r="N1034">
        <v>3</v>
      </c>
      <c r="O1034">
        <v>2</v>
      </c>
      <c r="P1034" t="s">
        <v>37</v>
      </c>
      <c r="Q1034">
        <v>3</v>
      </c>
      <c r="R1034" t="s">
        <v>45</v>
      </c>
      <c r="S1034" s="6">
        <v>6932</v>
      </c>
      <c r="T1034">
        <v>24406</v>
      </c>
      <c r="U1034">
        <v>1</v>
      </c>
      <c r="V1034" t="s">
        <v>39</v>
      </c>
      <c r="W1034" t="s">
        <v>40</v>
      </c>
      <c r="X1034">
        <v>13</v>
      </c>
      <c r="Y1034">
        <v>3</v>
      </c>
      <c r="Z1034">
        <v>4</v>
      </c>
      <c r="AA1034">
        <v>80</v>
      </c>
      <c r="AB1034">
        <v>1</v>
      </c>
      <c r="AC1034">
        <v>9</v>
      </c>
      <c r="AD1034">
        <v>2</v>
      </c>
      <c r="AE1034">
        <v>2</v>
      </c>
      <c r="AF1034">
        <v>9</v>
      </c>
      <c r="AG1034">
        <v>8</v>
      </c>
      <c r="AH1034">
        <v>0</v>
      </c>
      <c r="AI1034">
        <v>0</v>
      </c>
    </row>
    <row r="1035" spans="1:35" x14ac:dyDescent="0.3">
      <c r="A1035">
        <v>33</v>
      </c>
      <c r="B1035" t="s">
        <v>40</v>
      </c>
      <c r="C1035" t="s">
        <v>33</v>
      </c>
      <c r="D1035">
        <v>1069</v>
      </c>
      <c r="E1035" t="s">
        <v>42</v>
      </c>
      <c r="F1035">
        <v>1</v>
      </c>
      <c r="G1035">
        <v>3</v>
      </c>
      <c r="H1035" t="s">
        <v>35</v>
      </c>
      <c r="I1035">
        <v>1</v>
      </c>
      <c r="J1035">
        <v>969</v>
      </c>
      <c r="K1035">
        <v>2</v>
      </c>
      <c r="L1035" s="17" t="s">
        <v>36</v>
      </c>
      <c r="M1035">
        <v>42</v>
      </c>
      <c r="N1035">
        <v>2</v>
      </c>
      <c r="O1035">
        <v>2</v>
      </c>
      <c r="P1035" t="s">
        <v>51</v>
      </c>
      <c r="Q1035">
        <v>4</v>
      </c>
      <c r="R1035" t="s">
        <v>38</v>
      </c>
      <c r="S1035" s="6">
        <v>6949</v>
      </c>
      <c r="T1035">
        <v>12291</v>
      </c>
      <c r="U1035">
        <v>0</v>
      </c>
      <c r="V1035" t="s">
        <v>39</v>
      </c>
      <c r="W1035" t="s">
        <v>40</v>
      </c>
      <c r="X1035">
        <v>14</v>
      </c>
      <c r="Y1035">
        <v>3</v>
      </c>
      <c r="Z1035">
        <v>1</v>
      </c>
      <c r="AA1035">
        <v>80</v>
      </c>
      <c r="AB1035">
        <v>0</v>
      </c>
      <c r="AC1035">
        <v>6</v>
      </c>
      <c r="AD1035">
        <v>3</v>
      </c>
      <c r="AE1035">
        <v>3</v>
      </c>
      <c r="AF1035">
        <v>5</v>
      </c>
      <c r="AG1035">
        <v>0</v>
      </c>
      <c r="AH1035">
        <v>1</v>
      </c>
      <c r="AI1035">
        <v>4</v>
      </c>
    </row>
    <row r="1036" spans="1:35" x14ac:dyDescent="0.3">
      <c r="A1036">
        <v>36</v>
      </c>
      <c r="B1036" t="s">
        <v>40</v>
      </c>
      <c r="C1036" t="s">
        <v>33</v>
      </c>
      <c r="D1036">
        <v>430</v>
      </c>
      <c r="E1036" t="s">
        <v>42</v>
      </c>
      <c r="F1036">
        <v>2</v>
      </c>
      <c r="G1036">
        <v>4</v>
      </c>
      <c r="H1036" t="s">
        <v>46</v>
      </c>
      <c r="I1036">
        <v>1</v>
      </c>
      <c r="J1036">
        <v>1847</v>
      </c>
      <c r="K1036">
        <v>4</v>
      </c>
      <c r="L1036" s="17" t="s">
        <v>36</v>
      </c>
      <c r="M1036">
        <v>73</v>
      </c>
      <c r="N1036">
        <v>3</v>
      </c>
      <c r="O1036">
        <v>2</v>
      </c>
      <c r="P1036" t="s">
        <v>44</v>
      </c>
      <c r="Q1036">
        <v>2</v>
      </c>
      <c r="R1036" t="s">
        <v>45</v>
      </c>
      <c r="S1036" s="6">
        <v>6962</v>
      </c>
      <c r="T1036">
        <v>19573</v>
      </c>
      <c r="U1036">
        <v>4</v>
      </c>
      <c r="V1036" t="s">
        <v>39</v>
      </c>
      <c r="W1036" t="s">
        <v>32</v>
      </c>
      <c r="X1036">
        <v>22</v>
      </c>
      <c r="Y1036">
        <v>4</v>
      </c>
      <c r="Z1036">
        <v>4</v>
      </c>
      <c r="AA1036">
        <v>80</v>
      </c>
      <c r="AB1036">
        <v>1</v>
      </c>
      <c r="AC1036">
        <v>15</v>
      </c>
      <c r="AD1036">
        <v>2</v>
      </c>
      <c r="AE1036">
        <v>3</v>
      </c>
      <c r="AF1036">
        <v>1</v>
      </c>
      <c r="AG1036">
        <v>0</v>
      </c>
      <c r="AH1036">
        <v>0</v>
      </c>
      <c r="AI1036">
        <v>0</v>
      </c>
    </row>
    <row r="1037" spans="1:35" x14ac:dyDescent="0.3">
      <c r="A1037">
        <v>53</v>
      </c>
      <c r="B1037" t="s">
        <v>40</v>
      </c>
      <c r="C1037" t="s">
        <v>33</v>
      </c>
      <c r="D1037">
        <v>1395</v>
      </c>
      <c r="E1037" t="s">
        <v>42</v>
      </c>
      <c r="F1037">
        <v>24</v>
      </c>
      <c r="G1037">
        <v>4</v>
      </c>
      <c r="H1037" t="s">
        <v>48</v>
      </c>
      <c r="I1037">
        <v>1</v>
      </c>
      <c r="J1037">
        <v>1689</v>
      </c>
      <c r="K1037">
        <v>2</v>
      </c>
      <c r="L1037" s="17" t="s">
        <v>43</v>
      </c>
      <c r="M1037">
        <v>48</v>
      </c>
      <c r="N1037">
        <v>4</v>
      </c>
      <c r="O1037">
        <v>3</v>
      </c>
      <c r="P1037" t="s">
        <v>51</v>
      </c>
      <c r="Q1037">
        <v>4</v>
      </c>
      <c r="R1037" t="s">
        <v>45</v>
      </c>
      <c r="S1037" s="6">
        <v>7005</v>
      </c>
      <c r="T1037">
        <v>3458</v>
      </c>
      <c r="U1037">
        <v>3</v>
      </c>
      <c r="V1037" t="s">
        <v>39</v>
      </c>
      <c r="W1037" t="s">
        <v>40</v>
      </c>
      <c r="X1037">
        <v>15</v>
      </c>
      <c r="Y1037">
        <v>3</v>
      </c>
      <c r="Z1037">
        <v>3</v>
      </c>
      <c r="AA1037">
        <v>80</v>
      </c>
      <c r="AB1037">
        <v>0</v>
      </c>
      <c r="AC1037">
        <v>11</v>
      </c>
      <c r="AD1037">
        <v>2</v>
      </c>
      <c r="AE1037">
        <v>3</v>
      </c>
      <c r="AF1037">
        <v>4</v>
      </c>
      <c r="AG1037">
        <v>3</v>
      </c>
      <c r="AH1037">
        <v>1</v>
      </c>
      <c r="AI1037">
        <v>2</v>
      </c>
    </row>
    <row r="1038" spans="1:35" x14ac:dyDescent="0.3">
      <c r="A1038">
        <v>41</v>
      </c>
      <c r="B1038" t="s">
        <v>40</v>
      </c>
      <c r="C1038" t="s">
        <v>33</v>
      </c>
      <c r="D1038">
        <v>1206</v>
      </c>
      <c r="E1038" t="s">
        <v>34</v>
      </c>
      <c r="F1038">
        <v>23</v>
      </c>
      <c r="G1038">
        <v>2</v>
      </c>
      <c r="H1038" t="s">
        <v>35</v>
      </c>
      <c r="I1038">
        <v>1</v>
      </c>
      <c r="J1038">
        <v>1678</v>
      </c>
      <c r="K1038">
        <v>4</v>
      </c>
      <c r="L1038" s="17" t="s">
        <v>43</v>
      </c>
      <c r="M1038">
        <v>80</v>
      </c>
      <c r="N1038">
        <v>3</v>
      </c>
      <c r="O1038">
        <v>3</v>
      </c>
      <c r="P1038" t="s">
        <v>37</v>
      </c>
      <c r="Q1038">
        <v>3</v>
      </c>
      <c r="R1038" t="s">
        <v>38</v>
      </c>
      <c r="S1038" s="6">
        <v>7082</v>
      </c>
      <c r="T1038">
        <v>11591</v>
      </c>
      <c r="U1038">
        <v>3</v>
      </c>
      <c r="V1038" t="s">
        <v>39</v>
      </c>
      <c r="W1038" t="s">
        <v>32</v>
      </c>
      <c r="X1038">
        <v>16</v>
      </c>
      <c r="Y1038">
        <v>3</v>
      </c>
      <c r="Z1038">
        <v>4</v>
      </c>
      <c r="AA1038">
        <v>80</v>
      </c>
      <c r="AB1038">
        <v>0</v>
      </c>
      <c r="AC1038">
        <v>21</v>
      </c>
      <c r="AD1038">
        <v>2</v>
      </c>
      <c r="AE1038">
        <v>3</v>
      </c>
      <c r="AF1038">
        <v>2</v>
      </c>
      <c r="AG1038">
        <v>0</v>
      </c>
      <c r="AH1038">
        <v>0</v>
      </c>
      <c r="AI1038">
        <v>2</v>
      </c>
    </row>
    <row r="1039" spans="1:35" x14ac:dyDescent="0.3">
      <c r="A1039">
        <v>34</v>
      </c>
      <c r="B1039" t="s">
        <v>40</v>
      </c>
      <c r="C1039" t="s">
        <v>33</v>
      </c>
      <c r="D1039">
        <v>971</v>
      </c>
      <c r="E1039" t="s">
        <v>34</v>
      </c>
      <c r="F1039">
        <v>1</v>
      </c>
      <c r="G1039">
        <v>3</v>
      </c>
      <c r="H1039" t="s">
        <v>57</v>
      </c>
      <c r="I1039">
        <v>1</v>
      </c>
      <c r="J1039">
        <v>1535</v>
      </c>
      <c r="K1039">
        <v>4</v>
      </c>
      <c r="L1039" s="17" t="s">
        <v>43</v>
      </c>
      <c r="M1039">
        <v>64</v>
      </c>
      <c r="N1039">
        <v>2</v>
      </c>
      <c r="O1039">
        <v>3</v>
      </c>
      <c r="P1039" t="s">
        <v>37</v>
      </c>
      <c r="Q1039">
        <v>3</v>
      </c>
      <c r="R1039" t="s">
        <v>45</v>
      </c>
      <c r="S1039" s="6">
        <v>7083</v>
      </c>
      <c r="T1039">
        <v>12288</v>
      </c>
      <c r="U1039">
        <v>1</v>
      </c>
      <c r="V1039" t="s">
        <v>39</v>
      </c>
      <c r="W1039" t="s">
        <v>32</v>
      </c>
      <c r="X1039">
        <v>14</v>
      </c>
      <c r="Y1039">
        <v>3</v>
      </c>
      <c r="Z1039">
        <v>4</v>
      </c>
      <c r="AA1039">
        <v>80</v>
      </c>
      <c r="AB1039">
        <v>0</v>
      </c>
      <c r="AC1039">
        <v>10</v>
      </c>
      <c r="AD1039">
        <v>3</v>
      </c>
      <c r="AE1039">
        <v>3</v>
      </c>
      <c r="AF1039">
        <v>10</v>
      </c>
      <c r="AG1039">
        <v>9</v>
      </c>
      <c r="AH1039">
        <v>8</v>
      </c>
      <c r="AI1039">
        <v>6</v>
      </c>
    </row>
    <row r="1040" spans="1:35" x14ac:dyDescent="0.3">
      <c r="A1040">
        <v>36</v>
      </c>
      <c r="B1040" t="s">
        <v>40</v>
      </c>
      <c r="C1040" t="s">
        <v>33</v>
      </c>
      <c r="D1040">
        <v>325</v>
      </c>
      <c r="E1040" t="s">
        <v>42</v>
      </c>
      <c r="F1040">
        <v>10</v>
      </c>
      <c r="G1040">
        <v>4</v>
      </c>
      <c r="H1040" t="s">
        <v>57</v>
      </c>
      <c r="I1040">
        <v>1</v>
      </c>
      <c r="J1040">
        <v>1312</v>
      </c>
      <c r="K1040">
        <v>4</v>
      </c>
      <c r="L1040" s="17" t="s">
        <v>36</v>
      </c>
      <c r="M1040">
        <v>63</v>
      </c>
      <c r="N1040">
        <v>3</v>
      </c>
      <c r="O1040">
        <v>3</v>
      </c>
      <c r="P1040" t="s">
        <v>51</v>
      </c>
      <c r="Q1040">
        <v>3</v>
      </c>
      <c r="R1040" t="s">
        <v>45</v>
      </c>
      <c r="S1040" s="6">
        <v>7094</v>
      </c>
      <c r="T1040">
        <v>5747</v>
      </c>
      <c r="U1040">
        <v>3</v>
      </c>
      <c r="V1040" t="s">
        <v>39</v>
      </c>
      <c r="W1040" t="s">
        <v>40</v>
      </c>
      <c r="X1040">
        <v>12</v>
      </c>
      <c r="Y1040">
        <v>3</v>
      </c>
      <c r="Z1040">
        <v>1</v>
      </c>
      <c r="AA1040">
        <v>80</v>
      </c>
      <c r="AB1040">
        <v>0</v>
      </c>
      <c r="AC1040">
        <v>10</v>
      </c>
      <c r="AD1040">
        <v>0</v>
      </c>
      <c r="AE1040">
        <v>3</v>
      </c>
      <c r="AF1040">
        <v>7</v>
      </c>
      <c r="AG1040">
        <v>7</v>
      </c>
      <c r="AH1040">
        <v>1</v>
      </c>
      <c r="AI1040">
        <v>7</v>
      </c>
    </row>
    <row r="1041" spans="1:35" x14ac:dyDescent="0.3">
      <c r="A1041">
        <v>33</v>
      </c>
      <c r="B1041" t="s">
        <v>40</v>
      </c>
      <c r="C1041" t="s">
        <v>33</v>
      </c>
      <c r="D1041">
        <v>1216</v>
      </c>
      <c r="E1041" t="s">
        <v>34</v>
      </c>
      <c r="F1041">
        <v>8</v>
      </c>
      <c r="G1041">
        <v>4</v>
      </c>
      <c r="H1041" t="s">
        <v>56</v>
      </c>
      <c r="I1041">
        <v>1</v>
      </c>
      <c r="J1041">
        <v>677</v>
      </c>
      <c r="K1041">
        <v>3</v>
      </c>
      <c r="L1041" s="17" t="s">
        <v>43</v>
      </c>
      <c r="M1041">
        <v>39</v>
      </c>
      <c r="N1041">
        <v>3</v>
      </c>
      <c r="O1041">
        <v>2</v>
      </c>
      <c r="P1041" t="s">
        <v>37</v>
      </c>
      <c r="Q1041">
        <v>3</v>
      </c>
      <c r="R1041" t="s">
        <v>49</v>
      </c>
      <c r="S1041" s="6">
        <v>7104</v>
      </c>
      <c r="T1041">
        <v>20431</v>
      </c>
      <c r="U1041">
        <v>0</v>
      </c>
      <c r="V1041" t="s">
        <v>39</v>
      </c>
      <c r="W1041" t="s">
        <v>40</v>
      </c>
      <c r="X1041">
        <v>12</v>
      </c>
      <c r="Y1041">
        <v>3</v>
      </c>
      <c r="Z1041">
        <v>4</v>
      </c>
      <c r="AA1041">
        <v>80</v>
      </c>
      <c r="AB1041">
        <v>0</v>
      </c>
      <c r="AC1041">
        <v>6</v>
      </c>
      <c r="AD1041">
        <v>3</v>
      </c>
      <c r="AE1041">
        <v>3</v>
      </c>
      <c r="AF1041">
        <v>5</v>
      </c>
      <c r="AG1041">
        <v>0</v>
      </c>
      <c r="AH1041">
        <v>1</v>
      </c>
      <c r="AI1041">
        <v>2</v>
      </c>
    </row>
    <row r="1042" spans="1:35" x14ac:dyDescent="0.3">
      <c r="A1042">
        <v>33</v>
      </c>
      <c r="B1042" t="s">
        <v>40</v>
      </c>
      <c r="C1042" t="s">
        <v>33</v>
      </c>
      <c r="D1042">
        <v>654</v>
      </c>
      <c r="E1042" t="s">
        <v>42</v>
      </c>
      <c r="F1042">
        <v>5</v>
      </c>
      <c r="G1042">
        <v>3</v>
      </c>
      <c r="H1042" t="s">
        <v>35</v>
      </c>
      <c r="I1042">
        <v>1</v>
      </c>
      <c r="J1042">
        <v>1099</v>
      </c>
      <c r="K1042">
        <v>4</v>
      </c>
      <c r="L1042" s="17" t="s">
        <v>43</v>
      </c>
      <c r="M1042">
        <v>34</v>
      </c>
      <c r="N1042">
        <v>2</v>
      </c>
      <c r="O1042">
        <v>3</v>
      </c>
      <c r="P1042" t="s">
        <v>51</v>
      </c>
      <c r="Q1042">
        <v>4</v>
      </c>
      <c r="R1042" t="s">
        <v>49</v>
      </c>
      <c r="S1042" s="6">
        <v>7119</v>
      </c>
      <c r="T1042">
        <v>21214</v>
      </c>
      <c r="U1042">
        <v>4</v>
      </c>
      <c r="V1042" t="s">
        <v>39</v>
      </c>
      <c r="W1042" t="s">
        <v>40</v>
      </c>
      <c r="X1042">
        <v>15</v>
      </c>
      <c r="Y1042">
        <v>3</v>
      </c>
      <c r="Z1042">
        <v>3</v>
      </c>
      <c r="AA1042">
        <v>80</v>
      </c>
      <c r="AB1042">
        <v>1</v>
      </c>
      <c r="AC1042">
        <v>9</v>
      </c>
      <c r="AD1042">
        <v>2</v>
      </c>
      <c r="AE1042">
        <v>3</v>
      </c>
      <c r="AF1042">
        <v>3</v>
      </c>
      <c r="AG1042">
        <v>2</v>
      </c>
      <c r="AH1042">
        <v>1</v>
      </c>
      <c r="AI1042">
        <v>2</v>
      </c>
    </row>
    <row r="1043" spans="1:35" x14ac:dyDescent="0.3">
      <c r="A1043">
        <v>30</v>
      </c>
      <c r="B1043" t="s">
        <v>40</v>
      </c>
      <c r="C1043" t="s">
        <v>33</v>
      </c>
      <c r="D1043">
        <v>979</v>
      </c>
      <c r="E1043" t="s">
        <v>34</v>
      </c>
      <c r="F1043">
        <v>15</v>
      </c>
      <c r="G1043">
        <v>2</v>
      </c>
      <c r="H1043" t="s">
        <v>56</v>
      </c>
      <c r="I1043">
        <v>1</v>
      </c>
      <c r="J1043">
        <v>1754</v>
      </c>
      <c r="K1043">
        <v>3</v>
      </c>
      <c r="L1043" s="17" t="s">
        <v>43</v>
      </c>
      <c r="M1043">
        <v>94</v>
      </c>
      <c r="N1043">
        <v>2</v>
      </c>
      <c r="O1043">
        <v>3</v>
      </c>
      <c r="P1043" t="s">
        <v>37</v>
      </c>
      <c r="Q1043">
        <v>1</v>
      </c>
      <c r="R1043" t="s">
        <v>49</v>
      </c>
      <c r="S1043" s="6">
        <v>7140</v>
      </c>
      <c r="T1043">
        <v>3088</v>
      </c>
      <c r="U1043">
        <v>2</v>
      </c>
      <c r="V1043" t="s">
        <v>39</v>
      </c>
      <c r="W1043" t="s">
        <v>40</v>
      </c>
      <c r="X1043">
        <v>11</v>
      </c>
      <c r="Y1043">
        <v>3</v>
      </c>
      <c r="Z1043">
        <v>1</v>
      </c>
      <c r="AA1043">
        <v>80</v>
      </c>
      <c r="AB1043">
        <v>1</v>
      </c>
      <c r="AC1043">
        <v>12</v>
      </c>
      <c r="AD1043">
        <v>2</v>
      </c>
      <c r="AE1043">
        <v>3</v>
      </c>
      <c r="AF1043">
        <v>7</v>
      </c>
      <c r="AG1043">
        <v>7</v>
      </c>
      <c r="AH1043">
        <v>1</v>
      </c>
      <c r="AI1043">
        <v>7</v>
      </c>
    </row>
    <row r="1044" spans="1:35" x14ac:dyDescent="0.3">
      <c r="A1044">
        <v>31</v>
      </c>
      <c r="B1044" t="s">
        <v>40</v>
      </c>
      <c r="C1044" t="s">
        <v>33</v>
      </c>
      <c r="D1044">
        <v>1232</v>
      </c>
      <c r="E1044" t="s">
        <v>42</v>
      </c>
      <c r="F1044">
        <v>7</v>
      </c>
      <c r="G1044">
        <v>4</v>
      </c>
      <c r="H1044" t="s">
        <v>48</v>
      </c>
      <c r="I1044">
        <v>1</v>
      </c>
      <c r="J1044">
        <v>462</v>
      </c>
      <c r="K1044">
        <v>3</v>
      </c>
      <c r="L1044" s="17" t="s">
        <v>36</v>
      </c>
      <c r="M1044">
        <v>39</v>
      </c>
      <c r="N1044">
        <v>3</v>
      </c>
      <c r="O1044">
        <v>3</v>
      </c>
      <c r="P1044" t="s">
        <v>50</v>
      </c>
      <c r="Q1044">
        <v>4</v>
      </c>
      <c r="R1044" t="s">
        <v>38</v>
      </c>
      <c r="S1044" s="6">
        <v>7143</v>
      </c>
      <c r="T1044">
        <v>25713</v>
      </c>
      <c r="U1044">
        <v>1</v>
      </c>
      <c r="V1044" t="s">
        <v>39</v>
      </c>
      <c r="W1044" t="s">
        <v>32</v>
      </c>
      <c r="X1044">
        <v>14</v>
      </c>
      <c r="Y1044">
        <v>3</v>
      </c>
      <c r="Z1044">
        <v>3</v>
      </c>
      <c r="AA1044">
        <v>80</v>
      </c>
      <c r="AB1044">
        <v>0</v>
      </c>
      <c r="AC1044">
        <v>11</v>
      </c>
      <c r="AD1044">
        <v>2</v>
      </c>
      <c r="AE1044">
        <v>2</v>
      </c>
      <c r="AF1044">
        <v>11</v>
      </c>
      <c r="AG1044">
        <v>9</v>
      </c>
      <c r="AH1044">
        <v>4</v>
      </c>
      <c r="AI1044">
        <v>10</v>
      </c>
    </row>
    <row r="1045" spans="1:35" x14ac:dyDescent="0.3">
      <c r="A1045">
        <v>56</v>
      </c>
      <c r="B1045" t="s">
        <v>40</v>
      </c>
      <c r="C1045" t="s">
        <v>33</v>
      </c>
      <c r="D1045">
        <v>1400</v>
      </c>
      <c r="E1045" t="s">
        <v>42</v>
      </c>
      <c r="F1045">
        <v>7</v>
      </c>
      <c r="G1045">
        <v>3</v>
      </c>
      <c r="H1045" t="s">
        <v>35</v>
      </c>
      <c r="I1045">
        <v>1</v>
      </c>
      <c r="J1045">
        <v>112</v>
      </c>
      <c r="K1045">
        <v>4</v>
      </c>
      <c r="L1045" s="17" t="s">
        <v>43</v>
      </c>
      <c r="M1045">
        <v>49</v>
      </c>
      <c r="N1045">
        <v>1</v>
      </c>
      <c r="O1045">
        <v>3</v>
      </c>
      <c r="P1045" t="s">
        <v>50</v>
      </c>
      <c r="Q1045">
        <v>4</v>
      </c>
      <c r="R1045" t="s">
        <v>38</v>
      </c>
      <c r="S1045" s="6">
        <v>7260</v>
      </c>
      <c r="T1045">
        <v>21698</v>
      </c>
      <c r="U1045">
        <v>4</v>
      </c>
      <c r="V1045" t="s">
        <v>39</v>
      </c>
      <c r="W1045" t="s">
        <v>40</v>
      </c>
      <c r="X1045">
        <v>11</v>
      </c>
      <c r="Y1045">
        <v>3</v>
      </c>
      <c r="Z1045">
        <v>1</v>
      </c>
      <c r="AA1045">
        <v>80</v>
      </c>
      <c r="AB1045">
        <v>0</v>
      </c>
      <c r="AC1045">
        <v>37</v>
      </c>
      <c r="AD1045">
        <v>3</v>
      </c>
      <c r="AE1045">
        <v>2</v>
      </c>
      <c r="AF1045">
        <v>6</v>
      </c>
      <c r="AG1045">
        <v>4</v>
      </c>
      <c r="AH1045">
        <v>0</v>
      </c>
      <c r="AI1045">
        <v>2</v>
      </c>
    </row>
    <row r="1046" spans="1:35" x14ac:dyDescent="0.3">
      <c r="A1046">
        <v>30</v>
      </c>
      <c r="B1046" t="s">
        <v>40</v>
      </c>
      <c r="C1046" t="s">
        <v>33</v>
      </c>
      <c r="D1046">
        <v>231</v>
      </c>
      <c r="E1046" t="s">
        <v>34</v>
      </c>
      <c r="F1046">
        <v>8</v>
      </c>
      <c r="G1046">
        <v>2</v>
      </c>
      <c r="H1046" t="s">
        <v>46</v>
      </c>
      <c r="I1046">
        <v>1</v>
      </c>
      <c r="J1046">
        <v>982</v>
      </c>
      <c r="K1046">
        <v>3</v>
      </c>
      <c r="L1046" s="17" t="s">
        <v>43</v>
      </c>
      <c r="M1046">
        <v>62</v>
      </c>
      <c r="N1046">
        <v>3</v>
      </c>
      <c r="O1046">
        <v>3</v>
      </c>
      <c r="P1046" t="s">
        <v>37</v>
      </c>
      <c r="Q1046">
        <v>3</v>
      </c>
      <c r="R1046" t="s">
        <v>49</v>
      </c>
      <c r="S1046" s="6">
        <v>7264</v>
      </c>
      <c r="T1046">
        <v>9977</v>
      </c>
      <c r="U1046">
        <v>5</v>
      </c>
      <c r="V1046" t="s">
        <v>39</v>
      </c>
      <c r="W1046" t="s">
        <v>40</v>
      </c>
      <c r="X1046">
        <v>11</v>
      </c>
      <c r="Y1046">
        <v>3</v>
      </c>
      <c r="Z1046">
        <v>1</v>
      </c>
      <c r="AA1046">
        <v>80</v>
      </c>
      <c r="AB1046">
        <v>1</v>
      </c>
      <c r="AC1046">
        <v>10</v>
      </c>
      <c r="AD1046">
        <v>2</v>
      </c>
      <c r="AE1046">
        <v>4</v>
      </c>
      <c r="AF1046">
        <v>8</v>
      </c>
      <c r="AG1046">
        <v>4</v>
      </c>
      <c r="AH1046">
        <v>7</v>
      </c>
      <c r="AI1046">
        <v>7</v>
      </c>
    </row>
    <row r="1047" spans="1:35" x14ac:dyDescent="0.3">
      <c r="A1047">
        <v>35</v>
      </c>
      <c r="B1047" t="s">
        <v>40</v>
      </c>
      <c r="C1047" t="s">
        <v>33</v>
      </c>
      <c r="D1047">
        <v>662</v>
      </c>
      <c r="E1047" t="s">
        <v>34</v>
      </c>
      <c r="F1047">
        <v>1</v>
      </c>
      <c r="G1047">
        <v>5</v>
      </c>
      <c r="H1047" t="s">
        <v>56</v>
      </c>
      <c r="I1047">
        <v>1</v>
      </c>
      <c r="J1047">
        <v>204</v>
      </c>
      <c r="K1047">
        <v>3</v>
      </c>
      <c r="L1047" s="17" t="s">
        <v>43</v>
      </c>
      <c r="M1047">
        <v>94</v>
      </c>
      <c r="N1047">
        <v>3</v>
      </c>
      <c r="O1047">
        <v>3</v>
      </c>
      <c r="P1047" t="s">
        <v>37</v>
      </c>
      <c r="Q1047">
        <v>2</v>
      </c>
      <c r="R1047" t="s">
        <v>45</v>
      </c>
      <c r="S1047" s="6">
        <v>7295</v>
      </c>
      <c r="T1047">
        <v>11439</v>
      </c>
      <c r="U1047">
        <v>1</v>
      </c>
      <c r="V1047" t="s">
        <v>39</v>
      </c>
      <c r="W1047" t="s">
        <v>40</v>
      </c>
      <c r="X1047">
        <v>13</v>
      </c>
      <c r="Y1047">
        <v>3</v>
      </c>
      <c r="Z1047">
        <v>1</v>
      </c>
      <c r="AA1047">
        <v>80</v>
      </c>
      <c r="AB1047">
        <v>2</v>
      </c>
      <c r="AC1047">
        <v>10</v>
      </c>
      <c r="AD1047">
        <v>3</v>
      </c>
      <c r="AE1047">
        <v>3</v>
      </c>
      <c r="AF1047">
        <v>10</v>
      </c>
      <c r="AG1047">
        <v>8</v>
      </c>
      <c r="AH1047">
        <v>0</v>
      </c>
      <c r="AI1047">
        <v>6</v>
      </c>
    </row>
    <row r="1048" spans="1:35" x14ac:dyDescent="0.3">
      <c r="A1048">
        <v>46</v>
      </c>
      <c r="B1048" t="s">
        <v>32</v>
      </c>
      <c r="C1048" t="s">
        <v>33</v>
      </c>
      <c r="D1048">
        <v>1254</v>
      </c>
      <c r="E1048" t="s">
        <v>34</v>
      </c>
      <c r="F1048">
        <v>10</v>
      </c>
      <c r="G1048">
        <v>3</v>
      </c>
      <c r="H1048" t="s">
        <v>35</v>
      </c>
      <c r="I1048">
        <v>1</v>
      </c>
      <c r="J1048">
        <v>1869</v>
      </c>
      <c r="K1048">
        <v>3</v>
      </c>
      <c r="L1048" s="17" t="s">
        <v>36</v>
      </c>
      <c r="M1048">
        <v>64</v>
      </c>
      <c r="N1048">
        <v>3</v>
      </c>
      <c r="O1048">
        <v>3</v>
      </c>
      <c r="P1048" t="s">
        <v>37</v>
      </c>
      <c r="Q1048">
        <v>2</v>
      </c>
      <c r="R1048" t="s">
        <v>45</v>
      </c>
      <c r="S1048" s="6">
        <v>7314</v>
      </c>
      <c r="T1048">
        <v>14011</v>
      </c>
      <c r="U1048">
        <v>5</v>
      </c>
      <c r="V1048" t="s">
        <v>39</v>
      </c>
      <c r="W1048" t="s">
        <v>40</v>
      </c>
      <c r="X1048">
        <v>21</v>
      </c>
      <c r="Y1048">
        <v>4</v>
      </c>
      <c r="Z1048">
        <v>3</v>
      </c>
      <c r="AA1048">
        <v>80</v>
      </c>
      <c r="AB1048">
        <v>3</v>
      </c>
      <c r="AC1048">
        <v>14</v>
      </c>
      <c r="AD1048">
        <v>2</v>
      </c>
      <c r="AE1048">
        <v>3</v>
      </c>
      <c r="AF1048">
        <v>8</v>
      </c>
      <c r="AG1048">
        <v>7</v>
      </c>
      <c r="AH1048">
        <v>0</v>
      </c>
      <c r="AI1048">
        <v>7</v>
      </c>
    </row>
    <row r="1049" spans="1:35" x14ac:dyDescent="0.3">
      <c r="A1049">
        <v>29</v>
      </c>
      <c r="B1049" t="s">
        <v>32</v>
      </c>
      <c r="C1049" t="s">
        <v>33</v>
      </c>
      <c r="D1049">
        <v>408</v>
      </c>
      <c r="E1049" t="s">
        <v>34</v>
      </c>
      <c r="F1049">
        <v>23</v>
      </c>
      <c r="G1049">
        <v>1</v>
      </c>
      <c r="H1049" t="s">
        <v>35</v>
      </c>
      <c r="I1049">
        <v>1</v>
      </c>
      <c r="J1049">
        <v>1165</v>
      </c>
      <c r="K1049">
        <v>4</v>
      </c>
      <c r="L1049" s="17" t="s">
        <v>36</v>
      </c>
      <c r="M1049">
        <v>45</v>
      </c>
      <c r="N1049">
        <v>2</v>
      </c>
      <c r="O1049">
        <v>3</v>
      </c>
      <c r="P1049" t="s">
        <v>37</v>
      </c>
      <c r="Q1049">
        <v>1</v>
      </c>
      <c r="R1049" t="s">
        <v>45</v>
      </c>
      <c r="S1049" s="6">
        <v>7336</v>
      </c>
      <c r="T1049">
        <v>11162</v>
      </c>
      <c r="U1049">
        <v>1</v>
      </c>
      <c r="V1049" t="s">
        <v>39</v>
      </c>
      <c r="W1049" t="s">
        <v>40</v>
      </c>
      <c r="X1049">
        <v>13</v>
      </c>
      <c r="Y1049">
        <v>3</v>
      </c>
      <c r="Z1049">
        <v>1</v>
      </c>
      <c r="AA1049">
        <v>80</v>
      </c>
      <c r="AB1049">
        <v>1</v>
      </c>
      <c r="AC1049">
        <v>11</v>
      </c>
      <c r="AD1049">
        <v>3</v>
      </c>
      <c r="AE1049">
        <v>1</v>
      </c>
      <c r="AF1049">
        <v>11</v>
      </c>
      <c r="AG1049">
        <v>8</v>
      </c>
      <c r="AH1049">
        <v>3</v>
      </c>
      <c r="AI1049">
        <v>10</v>
      </c>
    </row>
    <row r="1050" spans="1:35" x14ac:dyDescent="0.3">
      <c r="A1050">
        <v>38</v>
      </c>
      <c r="B1050" t="s">
        <v>40</v>
      </c>
      <c r="C1050" t="s">
        <v>33</v>
      </c>
      <c r="D1050">
        <v>130</v>
      </c>
      <c r="E1050" t="s">
        <v>34</v>
      </c>
      <c r="F1050">
        <v>2</v>
      </c>
      <c r="G1050">
        <v>2</v>
      </c>
      <c r="H1050" t="s">
        <v>56</v>
      </c>
      <c r="I1050">
        <v>1</v>
      </c>
      <c r="J1050">
        <v>1125</v>
      </c>
      <c r="K1050">
        <v>4</v>
      </c>
      <c r="L1050" s="17" t="s">
        <v>43</v>
      </c>
      <c r="M1050">
        <v>32</v>
      </c>
      <c r="N1050">
        <v>3</v>
      </c>
      <c r="O1050">
        <v>3</v>
      </c>
      <c r="P1050" t="s">
        <v>37</v>
      </c>
      <c r="Q1050">
        <v>2</v>
      </c>
      <c r="R1050" t="s">
        <v>38</v>
      </c>
      <c r="S1050" s="6">
        <v>7351</v>
      </c>
      <c r="T1050">
        <v>20619</v>
      </c>
      <c r="U1050">
        <v>7</v>
      </c>
      <c r="V1050" t="s">
        <v>39</v>
      </c>
      <c r="W1050" t="s">
        <v>40</v>
      </c>
      <c r="X1050">
        <v>16</v>
      </c>
      <c r="Y1050">
        <v>3</v>
      </c>
      <c r="Z1050">
        <v>3</v>
      </c>
      <c r="AA1050">
        <v>80</v>
      </c>
      <c r="AB1050">
        <v>0</v>
      </c>
      <c r="AC1050">
        <v>10</v>
      </c>
      <c r="AD1050">
        <v>2</v>
      </c>
      <c r="AE1050">
        <v>3</v>
      </c>
      <c r="AF1050">
        <v>1</v>
      </c>
      <c r="AG1050">
        <v>0</v>
      </c>
      <c r="AH1050">
        <v>0</v>
      </c>
      <c r="AI1050">
        <v>0</v>
      </c>
    </row>
    <row r="1051" spans="1:35" x14ac:dyDescent="0.3">
      <c r="A1051">
        <v>46</v>
      </c>
      <c r="B1051" t="s">
        <v>40</v>
      </c>
      <c r="C1051" t="s">
        <v>33</v>
      </c>
      <c r="D1051">
        <v>150</v>
      </c>
      <c r="E1051" t="s">
        <v>42</v>
      </c>
      <c r="F1051">
        <v>2</v>
      </c>
      <c r="G1051">
        <v>4</v>
      </c>
      <c r="H1051" t="s">
        <v>57</v>
      </c>
      <c r="I1051">
        <v>1</v>
      </c>
      <c r="J1051">
        <v>1228</v>
      </c>
      <c r="K1051">
        <v>4</v>
      </c>
      <c r="L1051" s="17" t="s">
        <v>43</v>
      </c>
      <c r="M1051">
        <v>60</v>
      </c>
      <c r="N1051">
        <v>3</v>
      </c>
      <c r="O1051">
        <v>2</v>
      </c>
      <c r="P1051" t="s">
        <v>50</v>
      </c>
      <c r="Q1051">
        <v>4</v>
      </c>
      <c r="R1051" t="s">
        <v>49</v>
      </c>
      <c r="S1051" s="6">
        <v>7379</v>
      </c>
      <c r="T1051">
        <v>17433</v>
      </c>
      <c r="U1051">
        <v>2</v>
      </c>
      <c r="V1051" t="s">
        <v>39</v>
      </c>
      <c r="W1051" t="s">
        <v>40</v>
      </c>
      <c r="X1051">
        <v>11</v>
      </c>
      <c r="Y1051">
        <v>3</v>
      </c>
      <c r="Z1051">
        <v>3</v>
      </c>
      <c r="AA1051">
        <v>80</v>
      </c>
      <c r="AB1051">
        <v>1</v>
      </c>
      <c r="AC1051">
        <v>12</v>
      </c>
      <c r="AD1051">
        <v>3</v>
      </c>
      <c r="AE1051">
        <v>2</v>
      </c>
      <c r="AF1051">
        <v>6</v>
      </c>
      <c r="AG1051">
        <v>3</v>
      </c>
      <c r="AH1051">
        <v>1</v>
      </c>
      <c r="AI1051">
        <v>4</v>
      </c>
    </row>
    <row r="1052" spans="1:35" x14ac:dyDescent="0.3">
      <c r="A1052">
        <v>49</v>
      </c>
      <c r="B1052" t="s">
        <v>40</v>
      </c>
      <c r="C1052" t="s">
        <v>33</v>
      </c>
      <c r="D1052">
        <v>527</v>
      </c>
      <c r="E1052" t="s">
        <v>42</v>
      </c>
      <c r="F1052">
        <v>8</v>
      </c>
      <c r="G1052">
        <v>2</v>
      </c>
      <c r="H1052" t="s">
        <v>46</v>
      </c>
      <c r="I1052">
        <v>1</v>
      </c>
      <c r="J1052">
        <v>944</v>
      </c>
      <c r="K1052">
        <v>1</v>
      </c>
      <c r="L1052" s="17" t="s">
        <v>36</v>
      </c>
      <c r="M1052">
        <v>51</v>
      </c>
      <c r="N1052">
        <v>3</v>
      </c>
      <c r="O1052">
        <v>3</v>
      </c>
      <c r="P1052" t="s">
        <v>47</v>
      </c>
      <c r="Q1052">
        <v>2</v>
      </c>
      <c r="R1052" t="s">
        <v>45</v>
      </c>
      <c r="S1052" s="6">
        <v>7403</v>
      </c>
      <c r="T1052">
        <v>22477</v>
      </c>
      <c r="U1052">
        <v>4</v>
      </c>
      <c r="V1052" t="s">
        <v>39</v>
      </c>
      <c r="W1052" t="s">
        <v>40</v>
      </c>
      <c r="X1052">
        <v>11</v>
      </c>
      <c r="Y1052">
        <v>3</v>
      </c>
      <c r="Z1052">
        <v>3</v>
      </c>
      <c r="AA1052">
        <v>80</v>
      </c>
      <c r="AB1052">
        <v>1</v>
      </c>
      <c r="AC1052">
        <v>29</v>
      </c>
      <c r="AD1052">
        <v>3</v>
      </c>
      <c r="AE1052">
        <v>2</v>
      </c>
      <c r="AF1052">
        <v>26</v>
      </c>
      <c r="AG1052">
        <v>9</v>
      </c>
      <c r="AH1052">
        <v>1</v>
      </c>
      <c r="AI1052">
        <v>7</v>
      </c>
    </row>
    <row r="1053" spans="1:35" x14ac:dyDescent="0.3">
      <c r="A1053">
        <v>42</v>
      </c>
      <c r="B1053" t="s">
        <v>40</v>
      </c>
      <c r="C1053" t="s">
        <v>33</v>
      </c>
      <c r="D1053">
        <v>319</v>
      </c>
      <c r="E1053" t="s">
        <v>42</v>
      </c>
      <c r="F1053">
        <v>24</v>
      </c>
      <c r="G1053">
        <v>3</v>
      </c>
      <c r="H1053" t="s">
        <v>48</v>
      </c>
      <c r="I1053">
        <v>1</v>
      </c>
      <c r="J1053">
        <v>605</v>
      </c>
      <c r="K1053">
        <v>4</v>
      </c>
      <c r="L1053" s="17" t="s">
        <v>43</v>
      </c>
      <c r="M1053">
        <v>56</v>
      </c>
      <c r="N1053">
        <v>3</v>
      </c>
      <c r="O1053">
        <v>3</v>
      </c>
      <c r="P1053" t="s">
        <v>50</v>
      </c>
      <c r="Q1053">
        <v>1</v>
      </c>
      <c r="R1053" t="s">
        <v>45</v>
      </c>
      <c r="S1053" s="6">
        <v>7406</v>
      </c>
      <c r="T1053">
        <v>6950</v>
      </c>
      <c r="U1053">
        <v>1</v>
      </c>
      <c r="V1053" t="s">
        <v>39</v>
      </c>
      <c r="W1053" t="s">
        <v>32</v>
      </c>
      <c r="X1053">
        <v>21</v>
      </c>
      <c r="Y1053">
        <v>4</v>
      </c>
      <c r="Z1053">
        <v>4</v>
      </c>
      <c r="AA1053">
        <v>80</v>
      </c>
      <c r="AB1053">
        <v>1</v>
      </c>
      <c r="AC1053">
        <v>10</v>
      </c>
      <c r="AD1053">
        <v>5</v>
      </c>
      <c r="AE1053">
        <v>2</v>
      </c>
      <c r="AF1053">
        <v>10</v>
      </c>
      <c r="AG1053">
        <v>9</v>
      </c>
      <c r="AH1053">
        <v>5</v>
      </c>
      <c r="AI1053">
        <v>8</v>
      </c>
    </row>
    <row r="1054" spans="1:35" x14ac:dyDescent="0.3">
      <c r="A1054">
        <v>27</v>
      </c>
      <c r="B1054" t="s">
        <v>40</v>
      </c>
      <c r="C1054" t="s">
        <v>33</v>
      </c>
      <c r="D1054">
        <v>608</v>
      </c>
      <c r="E1054" t="s">
        <v>42</v>
      </c>
      <c r="F1054">
        <v>1</v>
      </c>
      <c r="G1054">
        <v>2</v>
      </c>
      <c r="H1054" t="s">
        <v>35</v>
      </c>
      <c r="I1054">
        <v>1</v>
      </c>
      <c r="J1054">
        <v>725</v>
      </c>
      <c r="K1054">
        <v>3</v>
      </c>
      <c r="L1054" s="17" t="s">
        <v>36</v>
      </c>
      <c r="M1054">
        <v>68</v>
      </c>
      <c r="N1054">
        <v>3</v>
      </c>
      <c r="O1054">
        <v>3</v>
      </c>
      <c r="P1054" t="s">
        <v>50</v>
      </c>
      <c r="Q1054">
        <v>1</v>
      </c>
      <c r="R1054" t="s">
        <v>45</v>
      </c>
      <c r="S1054" s="6">
        <v>7412</v>
      </c>
      <c r="T1054">
        <v>6009</v>
      </c>
      <c r="U1054">
        <v>1</v>
      </c>
      <c r="V1054" t="s">
        <v>39</v>
      </c>
      <c r="W1054" t="s">
        <v>40</v>
      </c>
      <c r="X1054">
        <v>11</v>
      </c>
      <c r="Y1054">
        <v>3</v>
      </c>
      <c r="Z1054">
        <v>4</v>
      </c>
      <c r="AA1054">
        <v>80</v>
      </c>
      <c r="AB1054">
        <v>0</v>
      </c>
      <c r="AC1054">
        <v>9</v>
      </c>
      <c r="AD1054">
        <v>3</v>
      </c>
      <c r="AE1054">
        <v>3</v>
      </c>
      <c r="AF1054">
        <v>9</v>
      </c>
      <c r="AG1054">
        <v>7</v>
      </c>
      <c r="AH1054">
        <v>0</v>
      </c>
      <c r="AI1054">
        <v>7</v>
      </c>
    </row>
    <row r="1055" spans="1:35" x14ac:dyDescent="0.3">
      <c r="A1055">
        <v>37</v>
      </c>
      <c r="B1055" t="s">
        <v>40</v>
      </c>
      <c r="C1055" t="s">
        <v>33</v>
      </c>
      <c r="D1055">
        <v>1189</v>
      </c>
      <c r="E1055" t="s">
        <v>34</v>
      </c>
      <c r="F1055">
        <v>3</v>
      </c>
      <c r="G1055">
        <v>3</v>
      </c>
      <c r="H1055" t="s">
        <v>35</v>
      </c>
      <c r="I1055">
        <v>1</v>
      </c>
      <c r="J1055">
        <v>152</v>
      </c>
      <c r="K1055">
        <v>3</v>
      </c>
      <c r="L1055" s="17" t="s">
        <v>43</v>
      </c>
      <c r="M1055">
        <v>87</v>
      </c>
      <c r="N1055">
        <v>3</v>
      </c>
      <c r="O1055">
        <v>3</v>
      </c>
      <c r="P1055" t="s">
        <v>37</v>
      </c>
      <c r="Q1055">
        <v>4</v>
      </c>
      <c r="R1055" t="s">
        <v>38</v>
      </c>
      <c r="S1055" s="6">
        <v>7428</v>
      </c>
      <c r="T1055">
        <v>14506</v>
      </c>
      <c r="U1055">
        <v>2</v>
      </c>
      <c r="V1055" t="s">
        <v>39</v>
      </c>
      <c r="W1055" t="s">
        <v>40</v>
      </c>
      <c r="X1055">
        <v>12</v>
      </c>
      <c r="Y1055">
        <v>3</v>
      </c>
      <c r="Z1055">
        <v>1</v>
      </c>
      <c r="AA1055">
        <v>80</v>
      </c>
      <c r="AB1055">
        <v>0</v>
      </c>
      <c r="AC1055">
        <v>12</v>
      </c>
      <c r="AD1055">
        <v>3</v>
      </c>
      <c r="AE1055">
        <v>3</v>
      </c>
      <c r="AF1055">
        <v>5</v>
      </c>
      <c r="AG1055">
        <v>3</v>
      </c>
      <c r="AH1055">
        <v>1</v>
      </c>
      <c r="AI1055">
        <v>3</v>
      </c>
    </row>
    <row r="1056" spans="1:35" x14ac:dyDescent="0.3">
      <c r="A1056">
        <v>45</v>
      </c>
      <c r="B1056" t="s">
        <v>40</v>
      </c>
      <c r="C1056" t="s">
        <v>33</v>
      </c>
      <c r="D1056">
        <v>538</v>
      </c>
      <c r="E1056" t="s">
        <v>42</v>
      </c>
      <c r="F1056">
        <v>1</v>
      </c>
      <c r="G1056">
        <v>4</v>
      </c>
      <c r="H1056" t="s">
        <v>57</v>
      </c>
      <c r="I1056">
        <v>1</v>
      </c>
      <c r="J1056">
        <v>1553</v>
      </c>
      <c r="K1056">
        <v>1</v>
      </c>
      <c r="L1056" s="17" t="s">
        <v>43</v>
      </c>
      <c r="M1056">
        <v>66</v>
      </c>
      <c r="N1056">
        <v>3</v>
      </c>
      <c r="O1056">
        <v>3</v>
      </c>
      <c r="P1056" t="s">
        <v>51</v>
      </c>
      <c r="Q1056">
        <v>2</v>
      </c>
      <c r="R1056" t="s">
        <v>49</v>
      </c>
      <c r="S1056" s="6">
        <v>7441</v>
      </c>
      <c r="T1056">
        <v>20933</v>
      </c>
      <c r="U1056">
        <v>1</v>
      </c>
      <c r="V1056" t="s">
        <v>39</v>
      </c>
      <c r="W1056" t="s">
        <v>40</v>
      </c>
      <c r="X1056">
        <v>12</v>
      </c>
      <c r="Y1056">
        <v>3</v>
      </c>
      <c r="Z1056">
        <v>1</v>
      </c>
      <c r="AA1056">
        <v>80</v>
      </c>
      <c r="AB1056">
        <v>3</v>
      </c>
      <c r="AC1056">
        <v>10</v>
      </c>
      <c r="AD1056">
        <v>4</v>
      </c>
      <c r="AE1056">
        <v>3</v>
      </c>
      <c r="AF1056">
        <v>10</v>
      </c>
      <c r="AG1056">
        <v>8</v>
      </c>
      <c r="AH1056">
        <v>7</v>
      </c>
      <c r="AI1056">
        <v>7</v>
      </c>
    </row>
    <row r="1057" spans="1:35" x14ac:dyDescent="0.3">
      <c r="A1057">
        <v>31</v>
      </c>
      <c r="B1057" t="s">
        <v>32</v>
      </c>
      <c r="C1057" t="s">
        <v>41</v>
      </c>
      <c r="D1057">
        <v>1445</v>
      </c>
      <c r="E1057" t="s">
        <v>42</v>
      </c>
      <c r="F1057">
        <v>1</v>
      </c>
      <c r="G1057">
        <v>5</v>
      </c>
      <c r="H1057" t="s">
        <v>35</v>
      </c>
      <c r="I1057">
        <v>1</v>
      </c>
      <c r="J1057">
        <v>1459</v>
      </c>
      <c r="K1057">
        <v>3</v>
      </c>
      <c r="L1057" s="17" t="s">
        <v>36</v>
      </c>
      <c r="M1057">
        <v>100</v>
      </c>
      <c r="N1057">
        <v>4</v>
      </c>
      <c r="O1057">
        <v>3</v>
      </c>
      <c r="P1057" t="s">
        <v>50</v>
      </c>
      <c r="Q1057">
        <v>2</v>
      </c>
      <c r="R1057" t="s">
        <v>38</v>
      </c>
      <c r="S1057" s="6">
        <v>7446</v>
      </c>
      <c r="T1057">
        <v>8931</v>
      </c>
      <c r="U1057">
        <v>1</v>
      </c>
      <c r="V1057" t="s">
        <v>39</v>
      </c>
      <c r="W1057" t="s">
        <v>40</v>
      </c>
      <c r="X1057">
        <v>11</v>
      </c>
      <c r="Y1057">
        <v>3</v>
      </c>
      <c r="Z1057">
        <v>1</v>
      </c>
      <c r="AA1057">
        <v>80</v>
      </c>
      <c r="AB1057">
        <v>0</v>
      </c>
      <c r="AC1057">
        <v>10</v>
      </c>
      <c r="AD1057">
        <v>2</v>
      </c>
      <c r="AE1057">
        <v>3</v>
      </c>
      <c r="AF1057">
        <v>10</v>
      </c>
      <c r="AG1057">
        <v>8</v>
      </c>
      <c r="AH1057">
        <v>4</v>
      </c>
      <c r="AI1057">
        <v>7</v>
      </c>
    </row>
    <row r="1058" spans="1:35" x14ac:dyDescent="0.3">
      <c r="A1058">
        <v>40</v>
      </c>
      <c r="B1058" t="s">
        <v>40</v>
      </c>
      <c r="C1058" t="s">
        <v>33</v>
      </c>
      <c r="D1058">
        <v>1124</v>
      </c>
      <c r="E1058" t="s">
        <v>34</v>
      </c>
      <c r="F1058">
        <v>1</v>
      </c>
      <c r="G1058">
        <v>2</v>
      </c>
      <c r="H1058" t="s">
        <v>48</v>
      </c>
      <c r="I1058">
        <v>1</v>
      </c>
      <c r="J1058">
        <v>453</v>
      </c>
      <c r="K1058">
        <v>2</v>
      </c>
      <c r="L1058" s="17" t="s">
        <v>43</v>
      </c>
      <c r="M1058">
        <v>57</v>
      </c>
      <c r="N1058">
        <v>1</v>
      </c>
      <c r="O1058">
        <v>2</v>
      </c>
      <c r="P1058" t="s">
        <v>37</v>
      </c>
      <c r="Q1058">
        <v>4</v>
      </c>
      <c r="R1058" t="s">
        <v>45</v>
      </c>
      <c r="S1058" s="6">
        <v>7457</v>
      </c>
      <c r="T1058">
        <v>13273</v>
      </c>
      <c r="U1058">
        <v>2</v>
      </c>
      <c r="V1058" t="s">
        <v>39</v>
      </c>
      <c r="W1058" t="s">
        <v>32</v>
      </c>
      <c r="X1058">
        <v>22</v>
      </c>
      <c r="Y1058">
        <v>4</v>
      </c>
      <c r="Z1058">
        <v>3</v>
      </c>
      <c r="AA1058">
        <v>80</v>
      </c>
      <c r="AB1058">
        <v>3</v>
      </c>
      <c r="AC1058">
        <v>6</v>
      </c>
      <c r="AD1058">
        <v>2</v>
      </c>
      <c r="AE1058">
        <v>2</v>
      </c>
      <c r="AF1058">
        <v>4</v>
      </c>
      <c r="AG1058">
        <v>3</v>
      </c>
      <c r="AH1058">
        <v>0</v>
      </c>
      <c r="AI1058">
        <v>2</v>
      </c>
    </row>
    <row r="1059" spans="1:35" x14ac:dyDescent="0.3">
      <c r="A1059">
        <v>51</v>
      </c>
      <c r="B1059" t="s">
        <v>40</v>
      </c>
      <c r="C1059" t="s">
        <v>41</v>
      </c>
      <c r="D1059">
        <v>1456</v>
      </c>
      <c r="E1059" t="s">
        <v>42</v>
      </c>
      <c r="F1059">
        <v>1</v>
      </c>
      <c r="G1059">
        <v>4</v>
      </c>
      <c r="H1059" t="s">
        <v>48</v>
      </c>
      <c r="I1059">
        <v>1</v>
      </c>
      <c r="J1059">
        <v>145</v>
      </c>
      <c r="K1059">
        <v>1</v>
      </c>
      <c r="L1059" s="17" t="s">
        <v>36</v>
      </c>
      <c r="M1059">
        <v>30</v>
      </c>
      <c r="N1059">
        <v>2</v>
      </c>
      <c r="O1059">
        <v>3</v>
      </c>
      <c r="P1059" t="s">
        <v>51</v>
      </c>
      <c r="Q1059">
        <v>1</v>
      </c>
      <c r="R1059" t="s">
        <v>38</v>
      </c>
      <c r="S1059" s="6">
        <v>7484</v>
      </c>
      <c r="T1059">
        <v>25796</v>
      </c>
      <c r="U1059">
        <v>3</v>
      </c>
      <c r="V1059" t="s">
        <v>39</v>
      </c>
      <c r="W1059" t="s">
        <v>40</v>
      </c>
      <c r="X1059">
        <v>20</v>
      </c>
      <c r="Y1059">
        <v>4</v>
      </c>
      <c r="Z1059">
        <v>3</v>
      </c>
      <c r="AA1059">
        <v>80</v>
      </c>
      <c r="AB1059">
        <v>0</v>
      </c>
      <c r="AC1059">
        <v>23</v>
      </c>
      <c r="AD1059">
        <v>1</v>
      </c>
      <c r="AE1059">
        <v>2</v>
      </c>
      <c r="AF1059">
        <v>13</v>
      </c>
      <c r="AG1059">
        <v>12</v>
      </c>
      <c r="AH1059">
        <v>12</v>
      </c>
      <c r="AI1059">
        <v>8</v>
      </c>
    </row>
    <row r="1060" spans="1:35" x14ac:dyDescent="0.3">
      <c r="A1060">
        <v>37</v>
      </c>
      <c r="B1060" t="s">
        <v>40</v>
      </c>
      <c r="C1060" t="s">
        <v>33</v>
      </c>
      <c r="D1060">
        <v>799</v>
      </c>
      <c r="E1060" t="s">
        <v>42</v>
      </c>
      <c r="F1060">
        <v>1</v>
      </c>
      <c r="G1060">
        <v>3</v>
      </c>
      <c r="H1060" t="s">
        <v>57</v>
      </c>
      <c r="I1060">
        <v>1</v>
      </c>
      <c r="J1060">
        <v>623</v>
      </c>
      <c r="K1060">
        <v>2</v>
      </c>
      <c r="L1060" s="17" t="s">
        <v>36</v>
      </c>
      <c r="M1060">
        <v>59</v>
      </c>
      <c r="N1060">
        <v>3</v>
      </c>
      <c r="O1060">
        <v>3</v>
      </c>
      <c r="P1060" t="s">
        <v>50</v>
      </c>
      <c r="Q1060">
        <v>4</v>
      </c>
      <c r="R1060" t="s">
        <v>38</v>
      </c>
      <c r="S1060" s="6">
        <v>7491</v>
      </c>
      <c r="T1060">
        <v>23848</v>
      </c>
      <c r="U1060">
        <v>4</v>
      </c>
      <c r="V1060" t="s">
        <v>39</v>
      </c>
      <c r="W1060" t="s">
        <v>40</v>
      </c>
      <c r="X1060">
        <v>17</v>
      </c>
      <c r="Y1060">
        <v>3</v>
      </c>
      <c r="Z1060">
        <v>4</v>
      </c>
      <c r="AA1060">
        <v>80</v>
      </c>
      <c r="AB1060">
        <v>0</v>
      </c>
      <c r="AC1060">
        <v>12</v>
      </c>
      <c r="AD1060">
        <v>3</v>
      </c>
      <c r="AE1060">
        <v>4</v>
      </c>
      <c r="AF1060">
        <v>6</v>
      </c>
      <c r="AG1060">
        <v>5</v>
      </c>
      <c r="AH1060">
        <v>1</v>
      </c>
      <c r="AI1060">
        <v>2</v>
      </c>
    </row>
    <row r="1061" spans="1:35" x14ac:dyDescent="0.3">
      <c r="A1061">
        <v>43</v>
      </c>
      <c r="B1061" t="s">
        <v>40</v>
      </c>
      <c r="C1061" t="s">
        <v>33</v>
      </c>
      <c r="D1061">
        <v>574</v>
      </c>
      <c r="E1061" t="s">
        <v>42</v>
      </c>
      <c r="F1061">
        <v>11</v>
      </c>
      <c r="G1061">
        <v>3</v>
      </c>
      <c r="H1061" t="s">
        <v>35</v>
      </c>
      <c r="I1061">
        <v>1</v>
      </c>
      <c r="J1061">
        <v>1971</v>
      </c>
      <c r="K1061">
        <v>1</v>
      </c>
      <c r="L1061" s="17" t="s">
        <v>43</v>
      </c>
      <c r="M1061">
        <v>30</v>
      </c>
      <c r="N1061">
        <v>3</v>
      </c>
      <c r="O1061">
        <v>3</v>
      </c>
      <c r="P1061" t="s">
        <v>51</v>
      </c>
      <c r="Q1061">
        <v>3</v>
      </c>
      <c r="R1061" t="s">
        <v>45</v>
      </c>
      <c r="S1061" s="6">
        <v>7510</v>
      </c>
      <c r="T1061">
        <v>16873</v>
      </c>
      <c r="U1061">
        <v>1</v>
      </c>
      <c r="V1061" t="s">
        <v>39</v>
      </c>
      <c r="W1061" t="s">
        <v>40</v>
      </c>
      <c r="X1061">
        <v>17</v>
      </c>
      <c r="Y1061">
        <v>3</v>
      </c>
      <c r="Z1061">
        <v>2</v>
      </c>
      <c r="AA1061">
        <v>80</v>
      </c>
      <c r="AB1061">
        <v>1</v>
      </c>
      <c r="AC1061">
        <v>10</v>
      </c>
      <c r="AD1061">
        <v>1</v>
      </c>
      <c r="AE1061">
        <v>3</v>
      </c>
      <c r="AF1061">
        <v>10</v>
      </c>
      <c r="AG1061">
        <v>9</v>
      </c>
      <c r="AH1061">
        <v>0</v>
      </c>
      <c r="AI1061">
        <v>9</v>
      </c>
    </row>
    <row r="1062" spans="1:35" x14ac:dyDescent="0.3">
      <c r="A1062">
        <v>53</v>
      </c>
      <c r="B1062" t="s">
        <v>40</v>
      </c>
      <c r="C1062" t="s">
        <v>41</v>
      </c>
      <c r="D1062">
        <v>124</v>
      </c>
      <c r="E1062" t="s">
        <v>34</v>
      </c>
      <c r="F1062">
        <v>2</v>
      </c>
      <c r="G1062">
        <v>3</v>
      </c>
      <c r="H1062" t="s">
        <v>56</v>
      </c>
      <c r="I1062">
        <v>1</v>
      </c>
      <c r="J1062">
        <v>1050</v>
      </c>
      <c r="K1062">
        <v>3</v>
      </c>
      <c r="L1062" s="17" t="s">
        <v>36</v>
      </c>
      <c r="M1062">
        <v>38</v>
      </c>
      <c r="N1062">
        <v>2</v>
      </c>
      <c r="O1062">
        <v>3</v>
      </c>
      <c r="P1062" t="s">
        <v>37</v>
      </c>
      <c r="Q1062">
        <v>2</v>
      </c>
      <c r="R1062" t="s">
        <v>45</v>
      </c>
      <c r="S1062" s="6">
        <v>7525</v>
      </c>
      <c r="T1062">
        <v>23537</v>
      </c>
      <c r="U1062">
        <v>2</v>
      </c>
      <c r="V1062" t="s">
        <v>39</v>
      </c>
      <c r="W1062" t="s">
        <v>40</v>
      </c>
      <c r="X1062">
        <v>12</v>
      </c>
      <c r="Y1062">
        <v>3</v>
      </c>
      <c r="Z1062">
        <v>1</v>
      </c>
      <c r="AA1062">
        <v>80</v>
      </c>
      <c r="AB1062">
        <v>1</v>
      </c>
      <c r="AC1062">
        <v>30</v>
      </c>
      <c r="AD1062">
        <v>2</v>
      </c>
      <c r="AE1062">
        <v>3</v>
      </c>
      <c r="AF1062">
        <v>15</v>
      </c>
      <c r="AG1062">
        <v>7</v>
      </c>
      <c r="AH1062">
        <v>6</v>
      </c>
      <c r="AI1062">
        <v>12</v>
      </c>
    </row>
    <row r="1063" spans="1:35" x14ac:dyDescent="0.3">
      <c r="A1063">
        <v>31</v>
      </c>
      <c r="B1063" t="s">
        <v>40</v>
      </c>
      <c r="C1063" t="s">
        <v>33</v>
      </c>
      <c r="D1063">
        <v>691</v>
      </c>
      <c r="E1063" t="s">
        <v>34</v>
      </c>
      <c r="F1063">
        <v>7</v>
      </c>
      <c r="G1063">
        <v>3</v>
      </c>
      <c r="H1063" t="s">
        <v>56</v>
      </c>
      <c r="I1063">
        <v>1</v>
      </c>
      <c r="J1063">
        <v>438</v>
      </c>
      <c r="K1063">
        <v>4</v>
      </c>
      <c r="L1063" s="17" t="s">
        <v>43</v>
      </c>
      <c r="M1063">
        <v>73</v>
      </c>
      <c r="N1063">
        <v>3</v>
      </c>
      <c r="O1063">
        <v>2</v>
      </c>
      <c r="P1063" t="s">
        <v>37</v>
      </c>
      <c r="Q1063">
        <v>4</v>
      </c>
      <c r="R1063" t="s">
        <v>49</v>
      </c>
      <c r="S1063" s="6">
        <v>7547</v>
      </c>
      <c r="T1063">
        <v>7143</v>
      </c>
      <c r="U1063">
        <v>4</v>
      </c>
      <c r="V1063" t="s">
        <v>39</v>
      </c>
      <c r="W1063" t="s">
        <v>40</v>
      </c>
      <c r="X1063">
        <v>12</v>
      </c>
      <c r="Y1063">
        <v>3</v>
      </c>
      <c r="Z1063">
        <v>4</v>
      </c>
      <c r="AA1063">
        <v>80</v>
      </c>
      <c r="AB1063">
        <v>3</v>
      </c>
      <c r="AC1063">
        <v>13</v>
      </c>
      <c r="AD1063">
        <v>3</v>
      </c>
      <c r="AE1063">
        <v>3</v>
      </c>
      <c r="AF1063">
        <v>7</v>
      </c>
      <c r="AG1063">
        <v>7</v>
      </c>
      <c r="AH1063">
        <v>1</v>
      </c>
      <c r="AI1063">
        <v>7</v>
      </c>
    </row>
    <row r="1064" spans="1:35" x14ac:dyDescent="0.3">
      <c r="A1064">
        <v>29</v>
      </c>
      <c r="B1064" t="s">
        <v>32</v>
      </c>
      <c r="C1064" t="s">
        <v>41</v>
      </c>
      <c r="D1064">
        <v>337</v>
      </c>
      <c r="E1064" t="s">
        <v>42</v>
      </c>
      <c r="F1064">
        <v>14</v>
      </c>
      <c r="G1064">
        <v>1</v>
      </c>
      <c r="H1064" t="s">
        <v>46</v>
      </c>
      <c r="I1064">
        <v>1</v>
      </c>
      <c r="J1064">
        <v>1421</v>
      </c>
      <c r="K1064">
        <v>3</v>
      </c>
      <c r="L1064" s="17" t="s">
        <v>36</v>
      </c>
      <c r="M1064">
        <v>84</v>
      </c>
      <c r="N1064">
        <v>3</v>
      </c>
      <c r="O1064">
        <v>3</v>
      </c>
      <c r="P1064" t="s">
        <v>51</v>
      </c>
      <c r="Q1064">
        <v>4</v>
      </c>
      <c r="R1064" t="s">
        <v>38</v>
      </c>
      <c r="S1064" s="6">
        <v>7553</v>
      </c>
      <c r="T1064">
        <v>22930</v>
      </c>
      <c r="U1064">
        <v>0</v>
      </c>
      <c r="V1064" t="s">
        <v>39</v>
      </c>
      <c r="W1064" t="s">
        <v>32</v>
      </c>
      <c r="X1064">
        <v>12</v>
      </c>
      <c r="Y1064">
        <v>3</v>
      </c>
      <c r="Z1064">
        <v>1</v>
      </c>
      <c r="AA1064">
        <v>80</v>
      </c>
      <c r="AB1064">
        <v>0</v>
      </c>
      <c r="AC1064">
        <v>9</v>
      </c>
      <c r="AD1064">
        <v>1</v>
      </c>
      <c r="AE1064">
        <v>3</v>
      </c>
      <c r="AF1064">
        <v>8</v>
      </c>
      <c r="AG1064">
        <v>7</v>
      </c>
      <c r="AH1064">
        <v>7</v>
      </c>
      <c r="AI1064">
        <v>7</v>
      </c>
    </row>
    <row r="1065" spans="1:35" x14ac:dyDescent="0.3">
      <c r="A1065">
        <v>36</v>
      </c>
      <c r="B1065" t="s">
        <v>40</v>
      </c>
      <c r="C1065" t="s">
        <v>52</v>
      </c>
      <c r="D1065">
        <v>1434</v>
      </c>
      <c r="E1065" t="s">
        <v>34</v>
      </c>
      <c r="F1065">
        <v>8</v>
      </c>
      <c r="G1065">
        <v>4</v>
      </c>
      <c r="H1065" t="s">
        <v>35</v>
      </c>
      <c r="I1065">
        <v>1</v>
      </c>
      <c r="J1065">
        <v>789</v>
      </c>
      <c r="K1065">
        <v>1</v>
      </c>
      <c r="L1065" s="17" t="s">
        <v>43</v>
      </c>
      <c r="M1065">
        <v>76</v>
      </c>
      <c r="N1065">
        <v>2</v>
      </c>
      <c r="O1065">
        <v>3</v>
      </c>
      <c r="P1065" t="s">
        <v>37</v>
      </c>
      <c r="Q1065">
        <v>1</v>
      </c>
      <c r="R1065" t="s">
        <v>38</v>
      </c>
      <c r="S1065" s="6">
        <v>7587</v>
      </c>
      <c r="T1065">
        <v>14229</v>
      </c>
      <c r="U1065">
        <v>1</v>
      </c>
      <c r="V1065" t="s">
        <v>39</v>
      </c>
      <c r="W1065" t="s">
        <v>40</v>
      </c>
      <c r="X1065">
        <v>15</v>
      </c>
      <c r="Y1065">
        <v>3</v>
      </c>
      <c r="Z1065">
        <v>2</v>
      </c>
      <c r="AA1065">
        <v>80</v>
      </c>
      <c r="AB1065">
        <v>0</v>
      </c>
      <c r="AC1065">
        <v>10</v>
      </c>
      <c r="AD1065">
        <v>1</v>
      </c>
      <c r="AE1065">
        <v>3</v>
      </c>
      <c r="AF1065">
        <v>10</v>
      </c>
      <c r="AG1065">
        <v>7</v>
      </c>
      <c r="AH1065">
        <v>0</v>
      </c>
      <c r="AI1065">
        <v>9</v>
      </c>
    </row>
    <row r="1066" spans="1:35" x14ac:dyDescent="0.3">
      <c r="A1066">
        <v>36</v>
      </c>
      <c r="B1066" t="s">
        <v>40</v>
      </c>
      <c r="C1066" t="s">
        <v>33</v>
      </c>
      <c r="D1066">
        <v>164</v>
      </c>
      <c r="E1066" t="s">
        <v>34</v>
      </c>
      <c r="F1066">
        <v>2</v>
      </c>
      <c r="G1066">
        <v>2</v>
      </c>
      <c r="H1066" t="s">
        <v>48</v>
      </c>
      <c r="I1066">
        <v>1</v>
      </c>
      <c r="J1066">
        <v>513</v>
      </c>
      <c r="K1066">
        <v>2</v>
      </c>
      <c r="L1066" s="17" t="s">
        <v>43</v>
      </c>
      <c r="M1066">
        <v>61</v>
      </c>
      <c r="N1066">
        <v>2</v>
      </c>
      <c r="O1066">
        <v>3</v>
      </c>
      <c r="P1066" t="s">
        <v>37</v>
      </c>
      <c r="Q1066">
        <v>3</v>
      </c>
      <c r="R1066" t="s">
        <v>45</v>
      </c>
      <c r="S1066" s="6">
        <v>7596</v>
      </c>
      <c r="T1066">
        <v>3809</v>
      </c>
      <c r="U1066">
        <v>1</v>
      </c>
      <c r="V1066" t="s">
        <v>39</v>
      </c>
      <c r="W1066" t="s">
        <v>40</v>
      </c>
      <c r="X1066">
        <v>13</v>
      </c>
      <c r="Y1066">
        <v>3</v>
      </c>
      <c r="Z1066">
        <v>2</v>
      </c>
      <c r="AA1066">
        <v>80</v>
      </c>
      <c r="AB1066">
        <v>2</v>
      </c>
      <c r="AC1066">
        <v>10</v>
      </c>
      <c r="AD1066">
        <v>2</v>
      </c>
      <c r="AE1066">
        <v>3</v>
      </c>
      <c r="AF1066">
        <v>10</v>
      </c>
      <c r="AG1066">
        <v>9</v>
      </c>
      <c r="AH1066">
        <v>9</v>
      </c>
      <c r="AI1066">
        <v>0</v>
      </c>
    </row>
    <row r="1067" spans="1:35" x14ac:dyDescent="0.3">
      <c r="A1067">
        <v>38</v>
      </c>
      <c r="B1067" t="s">
        <v>40</v>
      </c>
      <c r="C1067" t="s">
        <v>33</v>
      </c>
      <c r="D1067">
        <v>827</v>
      </c>
      <c r="E1067" t="s">
        <v>42</v>
      </c>
      <c r="F1067">
        <v>1</v>
      </c>
      <c r="G1067">
        <v>4</v>
      </c>
      <c r="H1067" t="s">
        <v>35</v>
      </c>
      <c r="I1067">
        <v>1</v>
      </c>
      <c r="J1067">
        <v>724</v>
      </c>
      <c r="K1067">
        <v>2</v>
      </c>
      <c r="L1067" s="17" t="s">
        <v>36</v>
      </c>
      <c r="M1067">
        <v>33</v>
      </c>
      <c r="N1067">
        <v>4</v>
      </c>
      <c r="O1067">
        <v>2</v>
      </c>
      <c r="P1067" t="s">
        <v>51</v>
      </c>
      <c r="Q1067">
        <v>4</v>
      </c>
      <c r="R1067" t="s">
        <v>38</v>
      </c>
      <c r="S1067" s="6">
        <v>7625</v>
      </c>
      <c r="T1067">
        <v>19383</v>
      </c>
      <c r="U1067">
        <v>0</v>
      </c>
      <c r="V1067" t="s">
        <v>39</v>
      </c>
      <c r="W1067" t="s">
        <v>40</v>
      </c>
      <c r="X1067">
        <v>13</v>
      </c>
      <c r="Y1067">
        <v>3</v>
      </c>
      <c r="Z1067">
        <v>3</v>
      </c>
      <c r="AA1067">
        <v>80</v>
      </c>
      <c r="AB1067">
        <v>0</v>
      </c>
      <c r="AC1067">
        <v>10</v>
      </c>
      <c r="AD1067">
        <v>4</v>
      </c>
      <c r="AE1067">
        <v>2</v>
      </c>
      <c r="AF1067">
        <v>9</v>
      </c>
      <c r="AG1067">
        <v>7</v>
      </c>
      <c r="AH1067">
        <v>1</v>
      </c>
      <c r="AI1067">
        <v>8</v>
      </c>
    </row>
    <row r="1068" spans="1:35" x14ac:dyDescent="0.3">
      <c r="A1068">
        <v>35</v>
      </c>
      <c r="B1068" t="s">
        <v>40</v>
      </c>
      <c r="C1068" t="s">
        <v>33</v>
      </c>
      <c r="D1068">
        <v>1276</v>
      </c>
      <c r="E1068" t="s">
        <v>42</v>
      </c>
      <c r="F1068">
        <v>16</v>
      </c>
      <c r="G1068">
        <v>3</v>
      </c>
      <c r="H1068" t="s">
        <v>35</v>
      </c>
      <c r="I1068">
        <v>1</v>
      </c>
      <c r="J1068">
        <v>586</v>
      </c>
      <c r="K1068">
        <v>4</v>
      </c>
      <c r="L1068" s="17" t="s">
        <v>43</v>
      </c>
      <c r="M1068">
        <v>72</v>
      </c>
      <c r="N1068">
        <v>3</v>
      </c>
      <c r="O1068">
        <v>3</v>
      </c>
      <c r="P1068" t="s">
        <v>51</v>
      </c>
      <c r="Q1068">
        <v>3</v>
      </c>
      <c r="R1068" t="s">
        <v>45</v>
      </c>
      <c r="S1068" s="6">
        <v>7632</v>
      </c>
      <c r="T1068">
        <v>14295</v>
      </c>
      <c r="U1068">
        <v>4</v>
      </c>
      <c r="V1068" t="s">
        <v>39</v>
      </c>
      <c r="W1068" t="s">
        <v>32</v>
      </c>
      <c r="X1068">
        <v>12</v>
      </c>
      <c r="Y1068">
        <v>3</v>
      </c>
      <c r="Z1068">
        <v>3</v>
      </c>
      <c r="AA1068">
        <v>80</v>
      </c>
      <c r="AB1068">
        <v>0</v>
      </c>
      <c r="AC1068">
        <v>10</v>
      </c>
      <c r="AD1068">
        <v>2</v>
      </c>
      <c r="AE1068">
        <v>3</v>
      </c>
      <c r="AF1068">
        <v>8</v>
      </c>
      <c r="AG1068">
        <v>7</v>
      </c>
      <c r="AH1068">
        <v>0</v>
      </c>
      <c r="AI1068">
        <v>0</v>
      </c>
    </row>
    <row r="1069" spans="1:35" x14ac:dyDescent="0.3">
      <c r="A1069">
        <v>59</v>
      </c>
      <c r="B1069" t="s">
        <v>40</v>
      </c>
      <c r="C1069" t="s">
        <v>33</v>
      </c>
      <c r="D1069">
        <v>1435</v>
      </c>
      <c r="E1069" t="s">
        <v>34</v>
      </c>
      <c r="F1069">
        <v>25</v>
      </c>
      <c r="G1069">
        <v>3</v>
      </c>
      <c r="H1069" t="s">
        <v>35</v>
      </c>
      <c r="I1069">
        <v>1</v>
      </c>
      <c r="J1069">
        <v>81</v>
      </c>
      <c r="K1069">
        <v>1</v>
      </c>
      <c r="L1069" s="17" t="s">
        <v>36</v>
      </c>
      <c r="M1069">
        <v>99</v>
      </c>
      <c r="N1069">
        <v>3</v>
      </c>
      <c r="O1069">
        <v>3</v>
      </c>
      <c r="P1069" t="s">
        <v>37</v>
      </c>
      <c r="Q1069">
        <v>1</v>
      </c>
      <c r="R1069" t="s">
        <v>38</v>
      </c>
      <c r="S1069" s="6">
        <v>7637</v>
      </c>
      <c r="T1069">
        <v>2354</v>
      </c>
      <c r="U1069">
        <v>7</v>
      </c>
      <c r="V1069" t="s">
        <v>39</v>
      </c>
      <c r="W1069" t="s">
        <v>40</v>
      </c>
      <c r="X1069">
        <v>11</v>
      </c>
      <c r="Y1069">
        <v>3</v>
      </c>
      <c r="Z1069">
        <v>4</v>
      </c>
      <c r="AA1069">
        <v>80</v>
      </c>
      <c r="AB1069">
        <v>0</v>
      </c>
      <c r="AC1069">
        <v>28</v>
      </c>
      <c r="AD1069">
        <v>3</v>
      </c>
      <c r="AE1069">
        <v>2</v>
      </c>
      <c r="AF1069">
        <v>21</v>
      </c>
      <c r="AG1069">
        <v>16</v>
      </c>
      <c r="AH1069">
        <v>7</v>
      </c>
      <c r="AI1069">
        <v>9</v>
      </c>
    </row>
    <row r="1070" spans="1:35" x14ac:dyDescent="0.3">
      <c r="A1070">
        <v>29</v>
      </c>
      <c r="B1070" t="s">
        <v>32</v>
      </c>
      <c r="C1070" t="s">
        <v>33</v>
      </c>
      <c r="D1070">
        <v>121</v>
      </c>
      <c r="E1070" t="s">
        <v>34</v>
      </c>
      <c r="F1070">
        <v>27</v>
      </c>
      <c r="G1070">
        <v>3</v>
      </c>
      <c r="H1070" t="s">
        <v>56</v>
      </c>
      <c r="I1070">
        <v>1</v>
      </c>
      <c r="J1070">
        <v>283</v>
      </c>
      <c r="K1070">
        <v>2</v>
      </c>
      <c r="L1070" s="17" t="s">
        <v>36</v>
      </c>
      <c r="M1070">
        <v>35</v>
      </c>
      <c r="N1070">
        <v>3</v>
      </c>
      <c r="O1070">
        <v>3</v>
      </c>
      <c r="P1070" t="s">
        <v>37</v>
      </c>
      <c r="Q1070">
        <v>4</v>
      </c>
      <c r="R1070" t="s">
        <v>45</v>
      </c>
      <c r="S1070" s="6">
        <v>7639</v>
      </c>
      <c r="T1070">
        <v>24525</v>
      </c>
      <c r="U1070">
        <v>1</v>
      </c>
      <c r="V1070" t="s">
        <v>39</v>
      </c>
      <c r="W1070" t="s">
        <v>40</v>
      </c>
      <c r="X1070">
        <v>22</v>
      </c>
      <c r="Y1070">
        <v>4</v>
      </c>
      <c r="Z1070">
        <v>4</v>
      </c>
      <c r="AA1070">
        <v>80</v>
      </c>
      <c r="AB1070">
        <v>3</v>
      </c>
      <c r="AC1070">
        <v>10</v>
      </c>
      <c r="AD1070">
        <v>3</v>
      </c>
      <c r="AE1070">
        <v>2</v>
      </c>
      <c r="AF1070">
        <v>10</v>
      </c>
      <c r="AG1070">
        <v>4</v>
      </c>
      <c r="AH1070">
        <v>1</v>
      </c>
      <c r="AI1070">
        <v>9</v>
      </c>
    </row>
    <row r="1071" spans="1:35" x14ac:dyDescent="0.3">
      <c r="A1071">
        <v>37</v>
      </c>
      <c r="B1071" t="s">
        <v>40</v>
      </c>
      <c r="C1071" t="s">
        <v>52</v>
      </c>
      <c r="D1071">
        <v>1252</v>
      </c>
      <c r="E1071" t="s">
        <v>34</v>
      </c>
      <c r="F1071">
        <v>19</v>
      </c>
      <c r="G1071">
        <v>2</v>
      </c>
      <c r="H1071" t="s">
        <v>48</v>
      </c>
      <c r="I1071">
        <v>1</v>
      </c>
      <c r="J1071">
        <v>904</v>
      </c>
      <c r="K1071">
        <v>1</v>
      </c>
      <c r="L1071" s="17" t="s">
        <v>43</v>
      </c>
      <c r="M1071">
        <v>32</v>
      </c>
      <c r="N1071">
        <v>3</v>
      </c>
      <c r="O1071">
        <v>3</v>
      </c>
      <c r="P1071" t="s">
        <v>37</v>
      </c>
      <c r="Q1071">
        <v>2</v>
      </c>
      <c r="R1071" t="s">
        <v>38</v>
      </c>
      <c r="S1071" s="6">
        <v>7642</v>
      </c>
      <c r="T1071">
        <v>4814</v>
      </c>
      <c r="U1071">
        <v>1</v>
      </c>
      <c r="V1071" t="s">
        <v>39</v>
      </c>
      <c r="W1071" t="s">
        <v>32</v>
      </c>
      <c r="X1071">
        <v>13</v>
      </c>
      <c r="Y1071">
        <v>3</v>
      </c>
      <c r="Z1071">
        <v>4</v>
      </c>
      <c r="AA1071">
        <v>80</v>
      </c>
      <c r="AB1071">
        <v>0</v>
      </c>
      <c r="AC1071">
        <v>10</v>
      </c>
      <c r="AD1071">
        <v>2</v>
      </c>
      <c r="AE1071">
        <v>3</v>
      </c>
      <c r="AF1071">
        <v>10</v>
      </c>
      <c r="AG1071">
        <v>0</v>
      </c>
      <c r="AH1071">
        <v>0</v>
      </c>
      <c r="AI1071">
        <v>9</v>
      </c>
    </row>
    <row r="1072" spans="1:35" x14ac:dyDescent="0.3">
      <c r="A1072">
        <v>36</v>
      </c>
      <c r="B1072" t="s">
        <v>40</v>
      </c>
      <c r="C1072" t="s">
        <v>33</v>
      </c>
      <c r="D1072">
        <v>557</v>
      </c>
      <c r="E1072" t="s">
        <v>34</v>
      </c>
      <c r="F1072">
        <v>3</v>
      </c>
      <c r="G1072">
        <v>3</v>
      </c>
      <c r="H1072" t="s">
        <v>48</v>
      </c>
      <c r="I1072">
        <v>1</v>
      </c>
      <c r="J1072">
        <v>2024</v>
      </c>
      <c r="K1072">
        <v>1</v>
      </c>
      <c r="L1072" s="17" t="s">
        <v>36</v>
      </c>
      <c r="M1072">
        <v>94</v>
      </c>
      <c r="N1072">
        <v>2</v>
      </c>
      <c r="O1072">
        <v>3</v>
      </c>
      <c r="P1072" t="s">
        <v>37</v>
      </c>
      <c r="Q1072">
        <v>4</v>
      </c>
      <c r="R1072" t="s">
        <v>45</v>
      </c>
      <c r="S1072" s="6">
        <v>7644</v>
      </c>
      <c r="T1072">
        <v>12695</v>
      </c>
      <c r="U1072">
        <v>0</v>
      </c>
      <c r="V1072" t="s">
        <v>39</v>
      </c>
      <c r="W1072" t="s">
        <v>40</v>
      </c>
      <c r="X1072">
        <v>19</v>
      </c>
      <c r="Y1072">
        <v>3</v>
      </c>
      <c r="Z1072">
        <v>3</v>
      </c>
      <c r="AA1072">
        <v>80</v>
      </c>
      <c r="AB1072">
        <v>2</v>
      </c>
      <c r="AC1072">
        <v>10</v>
      </c>
      <c r="AD1072">
        <v>2</v>
      </c>
      <c r="AE1072">
        <v>3</v>
      </c>
      <c r="AF1072">
        <v>9</v>
      </c>
      <c r="AG1072">
        <v>7</v>
      </c>
      <c r="AH1072">
        <v>3</v>
      </c>
      <c r="AI1072">
        <v>4</v>
      </c>
    </row>
    <row r="1073" spans="1:35" x14ac:dyDescent="0.3">
      <c r="A1073">
        <v>49</v>
      </c>
      <c r="B1073" t="s">
        <v>32</v>
      </c>
      <c r="C1073" t="s">
        <v>33</v>
      </c>
      <c r="D1073">
        <v>1184</v>
      </c>
      <c r="E1073" t="s">
        <v>34</v>
      </c>
      <c r="F1073">
        <v>11</v>
      </c>
      <c r="G1073">
        <v>3</v>
      </c>
      <c r="H1073" t="s">
        <v>56</v>
      </c>
      <c r="I1073">
        <v>1</v>
      </c>
      <c r="J1073">
        <v>840</v>
      </c>
      <c r="K1073">
        <v>3</v>
      </c>
      <c r="L1073" s="17" t="s">
        <v>36</v>
      </c>
      <c r="M1073">
        <v>43</v>
      </c>
      <c r="N1073">
        <v>3</v>
      </c>
      <c r="O1073">
        <v>3</v>
      </c>
      <c r="P1073" t="s">
        <v>37</v>
      </c>
      <c r="Q1073">
        <v>4</v>
      </c>
      <c r="R1073" t="s">
        <v>45</v>
      </c>
      <c r="S1073" s="6">
        <v>7654</v>
      </c>
      <c r="T1073">
        <v>5860</v>
      </c>
      <c r="U1073">
        <v>1</v>
      </c>
      <c r="V1073" t="s">
        <v>39</v>
      </c>
      <c r="W1073" t="s">
        <v>40</v>
      </c>
      <c r="X1073">
        <v>18</v>
      </c>
      <c r="Y1073">
        <v>3</v>
      </c>
      <c r="Z1073">
        <v>1</v>
      </c>
      <c r="AA1073">
        <v>80</v>
      </c>
      <c r="AB1073">
        <v>2</v>
      </c>
      <c r="AC1073">
        <v>9</v>
      </c>
      <c r="AD1073">
        <v>3</v>
      </c>
      <c r="AE1073">
        <v>4</v>
      </c>
      <c r="AF1073">
        <v>9</v>
      </c>
      <c r="AG1073">
        <v>8</v>
      </c>
      <c r="AH1073">
        <v>7</v>
      </c>
      <c r="AI1073">
        <v>7</v>
      </c>
    </row>
    <row r="1074" spans="1:35" x14ac:dyDescent="0.3">
      <c r="A1074">
        <v>28</v>
      </c>
      <c r="B1074" t="s">
        <v>40</v>
      </c>
      <c r="C1074" t="s">
        <v>33</v>
      </c>
      <c r="D1074">
        <v>950</v>
      </c>
      <c r="E1074" t="s">
        <v>42</v>
      </c>
      <c r="F1074">
        <v>3</v>
      </c>
      <c r="G1074">
        <v>3</v>
      </c>
      <c r="H1074" t="s">
        <v>48</v>
      </c>
      <c r="I1074">
        <v>1</v>
      </c>
      <c r="J1074">
        <v>1121</v>
      </c>
      <c r="K1074">
        <v>4</v>
      </c>
      <c r="L1074" s="17" t="s">
        <v>36</v>
      </c>
      <c r="M1074">
        <v>93</v>
      </c>
      <c r="N1074">
        <v>3</v>
      </c>
      <c r="O1074">
        <v>3</v>
      </c>
      <c r="P1074" t="s">
        <v>50</v>
      </c>
      <c r="Q1074">
        <v>2</v>
      </c>
      <c r="R1074" t="s">
        <v>49</v>
      </c>
      <c r="S1074" s="6">
        <v>7655</v>
      </c>
      <c r="T1074">
        <v>8039</v>
      </c>
      <c r="U1074">
        <v>0</v>
      </c>
      <c r="V1074" t="s">
        <v>39</v>
      </c>
      <c r="W1074" t="s">
        <v>40</v>
      </c>
      <c r="X1074">
        <v>17</v>
      </c>
      <c r="Y1074">
        <v>3</v>
      </c>
      <c r="Z1074">
        <v>2</v>
      </c>
      <c r="AA1074">
        <v>80</v>
      </c>
      <c r="AB1074">
        <v>3</v>
      </c>
      <c r="AC1074">
        <v>10</v>
      </c>
      <c r="AD1074">
        <v>3</v>
      </c>
      <c r="AE1074">
        <v>2</v>
      </c>
      <c r="AF1074">
        <v>9</v>
      </c>
      <c r="AG1074">
        <v>7</v>
      </c>
      <c r="AH1074">
        <v>1</v>
      </c>
      <c r="AI1074">
        <v>7</v>
      </c>
    </row>
    <row r="1075" spans="1:35" x14ac:dyDescent="0.3">
      <c r="A1075">
        <v>33</v>
      </c>
      <c r="B1075" t="s">
        <v>40</v>
      </c>
      <c r="C1075" t="s">
        <v>41</v>
      </c>
      <c r="D1075">
        <v>1296</v>
      </c>
      <c r="E1075" t="s">
        <v>42</v>
      </c>
      <c r="F1075">
        <v>6</v>
      </c>
      <c r="G1075">
        <v>3</v>
      </c>
      <c r="H1075" t="s">
        <v>35</v>
      </c>
      <c r="I1075">
        <v>1</v>
      </c>
      <c r="J1075">
        <v>692</v>
      </c>
      <c r="K1075">
        <v>3</v>
      </c>
      <c r="L1075" s="17" t="s">
        <v>43</v>
      </c>
      <c r="M1075">
        <v>30</v>
      </c>
      <c r="N1075">
        <v>3</v>
      </c>
      <c r="O1075">
        <v>2</v>
      </c>
      <c r="P1075" t="s">
        <v>51</v>
      </c>
      <c r="Q1075">
        <v>4</v>
      </c>
      <c r="R1075" t="s">
        <v>49</v>
      </c>
      <c r="S1075" s="6">
        <v>7725</v>
      </c>
      <c r="T1075">
        <v>5335</v>
      </c>
      <c r="U1075">
        <v>3</v>
      </c>
      <c r="V1075" t="s">
        <v>39</v>
      </c>
      <c r="W1075" t="s">
        <v>40</v>
      </c>
      <c r="X1075">
        <v>23</v>
      </c>
      <c r="Y1075">
        <v>4</v>
      </c>
      <c r="Z1075">
        <v>3</v>
      </c>
      <c r="AA1075">
        <v>80</v>
      </c>
      <c r="AB1075">
        <v>1</v>
      </c>
      <c r="AC1075">
        <v>15</v>
      </c>
      <c r="AD1075">
        <v>2</v>
      </c>
      <c r="AE1075">
        <v>1</v>
      </c>
      <c r="AF1075">
        <v>13</v>
      </c>
      <c r="AG1075">
        <v>11</v>
      </c>
      <c r="AH1075">
        <v>4</v>
      </c>
      <c r="AI1075">
        <v>7</v>
      </c>
    </row>
    <row r="1076" spans="1:35" x14ac:dyDescent="0.3">
      <c r="A1076">
        <v>34</v>
      </c>
      <c r="B1076" t="s">
        <v>40</v>
      </c>
      <c r="C1076" t="s">
        <v>41</v>
      </c>
      <c r="D1076">
        <v>618</v>
      </c>
      <c r="E1076" t="s">
        <v>42</v>
      </c>
      <c r="F1076">
        <v>3</v>
      </c>
      <c r="G1076">
        <v>1</v>
      </c>
      <c r="H1076" t="s">
        <v>35</v>
      </c>
      <c r="I1076">
        <v>1</v>
      </c>
      <c r="J1076">
        <v>1103</v>
      </c>
      <c r="K1076">
        <v>1</v>
      </c>
      <c r="L1076" s="17" t="s">
        <v>43</v>
      </c>
      <c r="M1076">
        <v>45</v>
      </c>
      <c r="N1076">
        <v>3</v>
      </c>
      <c r="O1076">
        <v>2</v>
      </c>
      <c r="P1076" t="s">
        <v>51</v>
      </c>
      <c r="Q1076">
        <v>4</v>
      </c>
      <c r="R1076" t="s">
        <v>38</v>
      </c>
      <c r="S1076" s="6">
        <v>7756</v>
      </c>
      <c r="T1076">
        <v>22266</v>
      </c>
      <c r="U1076">
        <v>0</v>
      </c>
      <c r="V1076" t="s">
        <v>39</v>
      </c>
      <c r="W1076" t="s">
        <v>40</v>
      </c>
      <c r="X1076">
        <v>17</v>
      </c>
      <c r="Y1076">
        <v>3</v>
      </c>
      <c r="Z1076">
        <v>3</v>
      </c>
      <c r="AA1076">
        <v>80</v>
      </c>
      <c r="AB1076">
        <v>0</v>
      </c>
      <c r="AC1076">
        <v>7</v>
      </c>
      <c r="AD1076">
        <v>1</v>
      </c>
      <c r="AE1076">
        <v>2</v>
      </c>
      <c r="AF1076">
        <v>6</v>
      </c>
      <c r="AG1076">
        <v>2</v>
      </c>
      <c r="AH1076">
        <v>0</v>
      </c>
      <c r="AI1076">
        <v>4</v>
      </c>
    </row>
    <row r="1077" spans="1:35" x14ac:dyDescent="0.3">
      <c r="A1077">
        <v>38</v>
      </c>
      <c r="B1077" t="s">
        <v>40</v>
      </c>
      <c r="C1077" t="s">
        <v>33</v>
      </c>
      <c r="D1077">
        <v>397</v>
      </c>
      <c r="E1077" t="s">
        <v>42</v>
      </c>
      <c r="F1077">
        <v>2</v>
      </c>
      <c r="G1077">
        <v>2</v>
      </c>
      <c r="H1077" t="s">
        <v>48</v>
      </c>
      <c r="I1077">
        <v>1</v>
      </c>
      <c r="J1077">
        <v>1638</v>
      </c>
      <c r="K1077">
        <v>4</v>
      </c>
      <c r="L1077" s="17" t="s">
        <v>36</v>
      </c>
      <c r="M1077">
        <v>54</v>
      </c>
      <c r="N1077">
        <v>2</v>
      </c>
      <c r="O1077">
        <v>3</v>
      </c>
      <c r="P1077" t="s">
        <v>50</v>
      </c>
      <c r="Q1077">
        <v>3</v>
      </c>
      <c r="R1077" t="s">
        <v>45</v>
      </c>
      <c r="S1077" s="6">
        <v>7756</v>
      </c>
      <c r="T1077">
        <v>14199</v>
      </c>
      <c r="U1077">
        <v>3</v>
      </c>
      <c r="V1077" t="s">
        <v>39</v>
      </c>
      <c r="W1077" t="s">
        <v>32</v>
      </c>
      <c r="X1077">
        <v>19</v>
      </c>
      <c r="Y1077">
        <v>3</v>
      </c>
      <c r="Z1077">
        <v>4</v>
      </c>
      <c r="AA1077">
        <v>80</v>
      </c>
      <c r="AB1077">
        <v>1</v>
      </c>
      <c r="AC1077">
        <v>10</v>
      </c>
      <c r="AD1077">
        <v>6</v>
      </c>
      <c r="AE1077">
        <v>4</v>
      </c>
      <c r="AF1077">
        <v>5</v>
      </c>
      <c r="AG1077">
        <v>4</v>
      </c>
      <c r="AH1077">
        <v>0</v>
      </c>
      <c r="AI1077">
        <v>2</v>
      </c>
    </row>
    <row r="1078" spans="1:35" x14ac:dyDescent="0.3">
      <c r="A1078">
        <v>36</v>
      </c>
      <c r="B1078" t="s">
        <v>40</v>
      </c>
      <c r="C1078" t="s">
        <v>52</v>
      </c>
      <c r="D1078">
        <v>217</v>
      </c>
      <c r="E1078" t="s">
        <v>42</v>
      </c>
      <c r="F1078">
        <v>18</v>
      </c>
      <c r="G1078">
        <v>4</v>
      </c>
      <c r="H1078" t="s">
        <v>35</v>
      </c>
      <c r="I1078">
        <v>1</v>
      </c>
      <c r="J1078">
        <v>1133</v>
      </c>
      <c r="K1078">
        <v>1</v>
      </c>
      <c r="L1078" s="17" t="s">
        <v>43</v>
      </c>
      <c r="M1078">
        <v>78</v>
      </c>
      <c r="N1078">
        <v>3</v>
      </c>
      <c r="O1078">
        <v>2</v>
      </c>
      <c r="P1078" t="s">
        <v>50</v>
      </c>
      <c r="Q1078">
        <v>4</v>
      </c>
      <c r="R1078" t="s">
        <v>38</v>
      </c>
      <c r="S1078" s="6">
        <v>7779</v>
      </c>
      <c r="T1078">
        <v>23238</v>
      </c>
      <c r="U1078">
        <v>2</v>
      </c>
      <c r="V1078" t="s">
        <v>39</v>
      </c>
      <c r="W1078" t="s">
        <v>40</v>
      </c>
      <c r="X1078">
        <v>20</v>
      </c>
      <c r="Y1078">
        <v>4</v>
      </c>
      <c r="Z1078">
        <v>1</v>
      </c>
      <c r="AA1078">
        <v>80</v>
      </c>
      <c r="AB1078">
        <v>0</v>
      </c>
      <c r="AC1078">
        <v>18</v>
      </c>
      <c r="AD1078">
        <v>0</v>
      </c>
      <c r="AE1078">
        <v>3</v>
      </c>
      <c r="AF1078">
        <v>11</v>
      </c>
      <c r="AG1078">
        <v>9</v>
      </c>
      <c r="AH1078">
        <v>0</v>
      </c>
      <c r="AI1078">
        <v>9</v>
      </c>
    </row>
    <row r="1079" spans="1:35" x14ac:dyDescent="0.3">
      <c r="A1079">
        <v>35</v>
      </c>
      <c r="B1079" t="s">
        <v>40</v>
      </c>
      <c r="C1079" t="s">
        <v>33</v>
      </c>
      <c r="D1079">
        <v>882</v>
      </c>
      <c r="E1079" t="s">
        <v>34</v>
      </c>
      <c r="F1079">
        <v>3</v>
      </c>
      <c r="G1079">
        <v>4</v>
      </c>
      <c r="H1079" t="s">
        <v>35</v>
      </c>
      <c r="I1079">
        <v>1</v>
      </c>
      <c r="J1079">
        <v>984</v>
      </c>
      <c r="K1079">
        <v>4</v>
      </c>
      <c r="L1079" s="17" t="s">
        <v>43</v>
      </c>
      <c r="M1079">
        <v>92</v>
      </c>
      <c r="N1079">
        <v>3</v>
      </c>
      <c r="O1079">
        <v>3</v>
      </c>
      <c r="P1079" t="s">
        <v>37</v>
      </c>
      <c r="Q1079">
        <v>4</v>
      </c>
      <c r="R1079" t="s">
        <v>49</v>
      </c>
      <c r="S1079" s="6">
        <v>7823</v>
      </c>
      <c r="T1079">
        <v>6812</v>
      </c>
      <c r="U1079">
        <v>6</v>
      </c>
      <c r="V1079" t="s">
        <v>39</v>
      </c>
      <c r="W1079" t="s">
        <v>40</v>
      </c>
      <c r="X1079">
        <v>13</v>
      </c>
      <c r="Y1079">
        <v>3</v>
      </c>
      <c r="Z1079">
        <v>2</v>
      </c>
      <c r="AA1079">
        <v>80</v>
      </c>
      <c r="AB1079">
        <v>1</v>
      </c>
      <c r="AC1079">
        <v>12</v>
      </c>
      <c r="AD1079">
        <v>2</v>
      </c>
      <c r="AE1079">
        <v>3</v>
      </c>
      <c r="AF1079">
        <v>10</v>
      </c>
      <c r="AG1079">
        <v>9</v>
      </c>
      <c r="AH1079">
        <v>0</v>
      </c>
      <c r="AI1079">
        <v>8</v>
      </c>
    </row>
    <row r="1080" spans="1:35" x14ac:dyDescent="0.3">
      <c r="A1080">
        <v>43</v>
      </c>
      <c r="B1080" t="s">
        <v>40</v>
      </c>
      <c r="C1080" t="s">
        <v>33</v>
      </c>
      <c r="D1080">
        <v>1179</v>
      </c>
      <c r="E1080" t="s">
        <v>34</v>
      </c>
      <c r="F1080">
        <v>2</v>
      </c>
      <c r="G1080">
        <v>3</v>
      </c>
      <c r="H1080" t="s">
        <v>48</v>
      </c>
      <c r="I1080">
        <v>1</v>
      </c>
      <c r="J1080">
        <v>1706</v>
      </c>
      <c r="K1080">
        <v>4</v>
      </c>
      <c r="L1080" s="17" t="s">
        <v>43</v>
      </c>
      <c r="M1080">
        <v>73</v>
      </c>
      <c r="N1080">
        <v>3</v>
      </c>
      <c r="O1080">
        <v>2</v>
      </c>
      <c r="P1080" t="s">
        <v>37</v>
      </c>
      <c r="Q1080">
        <v>4</v>
      </c>
      <c r="R1080" t="s">
        <v>45</v>
      </c>
      <c r="S1080" s="6">
        <v>7847</v>
      </c>
      <c r="T1080">
        <v>6069</v>
      </c>
      <c r="U1080">
        <v>1</v>
      </c>
      <c r="V1080" t="s">
        <v>39</v>
      </c>
      <c r="W1080" t="s">
        <v>32</v>
      </c>
      <c r="X1080">
        <v>17</v>
      </c>
      <c r="Y1080">
        <v>3</v>
      </c>
      <c r="Z1080">
        <v>1</v>
      </c>
      <c r="AA1080">
        <v>80</v>
      </c>
      <c r="AB1080">
        <v>1</v>
      </c>
      <c r="AC1080">
        <v>10</v>
      </c>
      <c r="AD1080">
        <v>3</v>
      </c>
      <c r="AE1080">
        <v>3</v>
      </c>
      <c r="AF1080">
        <v>10</v>
      </c>
      <c r="AG1080">
        <v>9</v>
      </c>
      <c r="AH1080">
        <v>8</v>
      </c>
      <c r="AI1080">
        <v>8</v>
      </c>
    </row>
    <row r="1081" spans="1:35" x14ac:dyDescent="0.3">
      <c r="A1081">
        <v>38</v>
      </c>
      <c r="B1081" t="s">
        <v>40</v>
      </c>
      <c r="C1081" t="s">
        <v>33</v>
      </c>
      <c r="D1081">
        <v>168</v>
      </c>
      <c r="E1081" t="s">
        <v>42</v>
      </c>
      <c r="F1081">
        <v>1</v>
      </c>
      <c r="G1081">
        <v>3</v>
      </c>
      <c r="H1081" t="s">
        <v>35</v>
      </c>
      <c r="I1081">
        <v>1</v>
      </c>
      <c r="J1081">
        <v>743</v>
      </c>
      <c r="K1081">
        <v>3</v>
      </c>
      <c r="L1081" s="17" t="s">
        <v>36</v>
      </c>
      <c r="M1081">
        <v>81</v>
      </c>
      <c r="N1081">
        <v>3</v>
      </c>
      <c r="O1081">
        <v>3</v>
      </c>
      <c r="P1081" t="s">
        <v>50</v>
      </c>
      <c r="Q1081">
        <v>3</v>
      </c>
      <c r="R1081" t="s">
        <v>38</v>
      </c>
      <c r="S1081" s="6">
        <v>7861</v>
      </c>
      <c r="T1081">
        <v>15397</v>
      </c>
      <c r="U1081">
        <v>4</v>
      </c>
      <c r="V1081" t="s">
        <v>39</v>
      </c>
      <c r="W1081" t="s">
        <v>32</v>
      </c>
      <c r="X1081">
        <v>14</v>
      </c>
      <c r="Y1081">
        <v>3</v>
      </c>
      <c r="Z1081">
        <v>4</v>
      </c>
      <c r="AA1081">
        <v>80</v>
      </c>
      <c r="AB1081">
        <v>0</v>
      </c>
      <c r="AC1081">
        <v>10</v>
      </c>
      <c r="AD1081">
        <v>4</v>
      </c>
      <c r="AE1081">
        <v>4</v>
      </c>
      <c r="AF1081">
        <v>1</v>
      </c>
      <c r="AG1081">
        <v>0</v>
      </c>
      <c r="AH1081">
        <v>0</v>
      </c>
      <c r="AI1081">
        <v>0</v>
      </c>
    </row>
    <row r="1082" spans="1:35" x14ac:dyDescent="0.3">
      <c r="A1082">
        <v>44</v>
      </c>
      <c r="B1082" t="s">
        <v>40</v>
      </c>
      <c r="C1082" t="s">
        <v>33</v>
      </c>
      <c r="D1082">
        <v>921</v>
      </c>
      <c r="E1082" t="s">
        <v>42</v>
      </c>
      <c r="F1082">
        <v>2</v>
      </c>
      <c r="G1082">
        <v>3</v>
      </c>
      <c r="H1082" t="s">
        <v>35</v>
      </c>
      <c r="I1082">
        <v>1</v>
      </c>
      <c r="J1082">
        <v>1703</v>
      </c>
      <c r="K1082">
        <v>3</v>
      </c>
      <c r="L1082" s="17" t="s">
        <v>36</v>
      </c>
      <c r="M1082">
        <v>96</v>
      </c>
      <c r="N1082">
        <v>4</v>
      </c>
      <c r="O1082">
        <v>3</v>
      </c>
      <c r="P1082" t="s">
        <v>51</v>
      </c>
      <c r="Q1082">
        <v>4</v>
      </c>
      <c r="R1082" t="s">
        <v>45</v>
      </c>
      <c r="S1082" s="6">
        <v>7879</v>
      </c>
      <c r="T1082">
        <v>14810</v>
      </c>
      <c r="U1082">
        <v>1</v>
      </c>
      <c r="V1082" t="s">
        <v>39</v>
      </c>
      <c r="W1082" t="s">
        <v>32</v>
      </c>
      <c r="X1082">
        <v>19</v>
      </c>
      <c r="Y1082">
        <v>3</v>
      </c>
      <c r="Z1082">
        <v>2</v>
      </c>
      <c r="AA1082">
        <v>80</v>
      </c>
      <c r="AB1082">
        <v>1</v>
      </c>
      <c r="AC1082">
        <v>9</v>
      </c>
      <c r="AD1082">
        <v>2</v>
      </c>
      <c r="AE1082">
        <v>3</v>
      </c>
      <c r="AF1082">
        <v>8</v>
      </c>
      <c r="AG1082">
        <v>7</v>
      </c>
      <c r="AH1082">
        <v>6</v>
      </c>
      <c r="AI1082">
        <v>7</v>
      </c>
    </row>
    <row r="1083" spans="1:35" x14ac:dyDescent="0.3">
      <c r="A1083">
        <v>39</v>
      </c>
      <c r="B1083" t="s">
        <v>40</v>
      </c>
      <c r="C1083" t="s">
        <v>33</v>
      </c>
      <c r="D1083">
        <v>903</v>
      </c>
      <c r="E1083" t="s">
        <v>34</v>
      </c>
      <c r="F1083">
        <v>2</v>
      </c>
      <c r="G1083">
        <v>5</v>
      </c>
      <c r="H1083" t="s">
        <v>35</v>
      </c>
      <c r="I1083">
        <v>1</v>
      </c>
      <c r="J1083">
        <v>985</v>
      </c>
      <c r="K1083">
        <v>1</v>
      </c>
      <c r="L1083" s="17" t="s">
        <v>43</v>
      </c>
      <c r="M1083">
        <v>41</v>
      </c>
      <c r="N1083">
        <v>4</v>
      </c>
      <c r="O1083">
        <v>3</v>
      </c>
      <c r="P1083" t="s">
        <v>37</v>
      </c>
      <c r="Q1083">
        <v>3</v>
      </c>
      <c r="R1083" t="s">
        <v>38</v>
      </c>
      <c r="S1083" s="6">
        <v>7880</v>
      </c>
      <c r="T1083">
        <v>2560</v>
      </c>
      <c r="U1083">
        <v>0</v>
      </c>
      <c r="V1083" t="s">
        <v>39</v>
      </c>
      <c r="W1083" t="s">
        <v>40</v>
      </c>
      <c r="X1083">
        <v>18</v>
      </c>
      <c r="Y1083">
        <v>3</v>
      </c>
      <c r="Z1083">
        <v>4</v>
      </c>
      <c r="AA1083">
        <v>80</v>
      </c>
      <c r="AB1083">
        <v>0</v>
      </c>
      <c r="AC1083">
        <v>9</v>
      </c>
      <c r="AD1083">
        <v>3</v>
      </c>
      <c r="AE1083">
        <v>3</v>
      </c>
      <c r="AF1083">
        <v>8</v>
      </c>
      <c r="AG1083">
        <v>7</v>
      </c>
      <c r="AH1083">
        <v>0</v>
      </c>
      <c r="AI1083">
        <v>7</v>
      </c>
    </row>
    <row r="1084" spans="1:35" x14ac:dyDescent="0.3">
      <c r="A1084">
        <v>48</v>
      </c>
      <c r="B1084" t="s">
        <v>40</v>
      </c>
      <c r="C1084" t="s">
        <v>33</v>
      </c>
      <c r="D1084">
        <v>855</v>
      </c>
      <c r="E1084" t="s">
        <v>42</v>
      </c>
      <c r="F1084">
        <v>4</v>
      </c>
      <c r="G1084">
        <v>3</v>
      </c>
      <c r="H1084" t="s">
        <v>35</v>
      </c>
      <c r="I1084">
        <v>1</v>
      </c>
      <c r="J1084">
        <v>1363</v>
      </c>
      <c r="K1084">
        <v>4</v>
      </c>
      <c r="L1084" s="17" t="s">
        <v>43</v>
      </c>
      <c r="M1084">
        <v>54</v>
      </c>
      <c r="N1084">
        <v>3</v>
      </c>
      <c r="O1084">
        <v>3</v>
      </c>
      <c r="P1084" t="s">
        <v>50</v>
      </c>
      <c r="Q1084">
        <v>4</v>
      </c>
      <c r="R1084" t="s">
        <v>38</v>
      </c>
      <c r="S1084" s="6">
        <v>7898</v>
      </c>
      <c r="T1084">
        <v>18706</v>
      </c>
      <c r="U1084">
        <v>1</v>
      </c>
      <c r="V1084" t="s">
        <v>39</v>
      </c>
      <c r="W1084" t="s">
        <v>40</v>
      </c>
      <c r="X1084">
        <v>11</v>
      </c>
      <c r="Y1084">
        <v>3</v>
      </c>
      <c r="Z1084">
        <v>3</v>
      </c>
      <c r="AA1084">
        <v>80</v>
      </c>
      <c r="AB1084">
        <v>0</v>
      </c>
      <c r="AC1084">
        <v>11</v>
      </c>
      <c r="AD1084">
        <v>2</v>
      </c>
      <c r="AE1084">
        <v>3</v>
      </c>
      <c r="AF1084">
        <v>10</v>
      </c>
      <c r="AG1084">
        <v>9</v>
      </c>
      <c r="AH1084">
        <v>0</v>
      </c>
      <c r="AI1084">
        <v>8</v>
      </c>
    </row>
    <row r="1085" spans="1:35" x14ac:dyDescent="0.3">
      <c r="A1085">
        <v>29</v>
      </c>
      <c r="B1085" t="s">
        <v>40</v>
      </c>
      <c r="C1085" t="s">
        <v>41</v>
      </c>
      <c r="D1085">
        <v>1413</v>
      </c>
      <c r="E1085" t="s">
        <v>34</v>
      </c>
      <c r="F1085">
        <v>1</v>
      </c>
      <c r="G1085">
        <v>1</v>
      </c>
      <c r="H1085" t="s">
        <v>48</v>
      </c>
      <c r="I1085">
        <v>1</v>
      </c>
      <c r="J1085">
        <v>312</v>
      </c>
      <c r="K1085">
        <v>2</v>
      </c>
      <c r="L1085" s="17" t="s">
        <v>36</v>
      </c>
      <c r="M1085">
        <v>42</v>
      </c>
      <c r="N1085">
        <v>3</v>
      </c>
      <c r="O1085">
        <v>3</v>
      </c>
      <c r="P1085" t="s">
        <v>37</v>
      </c>
      <c r="Q1085">
        <v>4</v>
      </c>
      <c r="R1085" t="s">
        <v>45</v>
      </c>
      <c r="S1085" s="6">
        <v>7918</v>
      </c>
      <c r="T1085">
        <v>6599</v>
      </c>
      <c r="U1085">
        <v>1</v>
      </c>
      <c r="V1085" t="s">
        <v>39</v>
      </c>
      <c r="W1085" t="s">
        <v>40</v>
      </c>
      <c r="X1085">
        <v>14</v>
      </c>
      <c r="Y1085">
        <v>3</v>
      </c>
      <c r="Z1085">
        <v>4</v>
      </c>
      <c r="AA1085">
        <v>80</v>
      </c>
      <c r="AB1085">
        <v>1</v>
      </c>
      <c r="AC1085">
        <v>11</v>
      </c>
      <c r="AD1085">
        <v>5</v>
      </c>
      <c r="AE1085">
        <v>3</v>
      </c>
      <c r="AF1085">
        <v>11</v>
      </c>
      <c r="AG1085">
        <v>10</v>
      </c>
      <c r="AH1085">
        <v>4</v>
      </c>
      <c r="AI1085">
        <v>1</v>
      </c>
    </row>
    <row r="1086" spans="1:35" x14ac:dyDescent="0.3">
      <c r="A1086">
        <v>40</v>
      </c>
      <c r="B1086" t="s">
        <v>40</v>
      </c>
      <c r="C1086" t="s">
        <v>33</v>
      </c>
      <c r="D1086">
        <v>448</v>
      </c>
      <c r="E1086" t="s">
        <v>42</v>
      </c>
      <c r="F1086">
        <v>16</v>
      </c>
      <c r="G1086">
        <v>3</v>
      </c>
      <c r="H1086" t="s">
        <v>35</v>
      </c>
      <c r="I1086">
        <v>1</v>
      </c>
      <c r="J1086">
        <v>1641</v>
      </c>
      <c r="K1086">
        <v>3</v>
      </c>
      <c r="L1086" s="17" t="s">
        <v>36</v>
      </c>
      <c r="M1086">
        <v>84</v>
      </c>
      <c r="N1086">
        <v>3</v>
      </c>
      <c r="O1086">
        <v>3</v>
      </c>
      <c r="P1086" t="s">
        <v>50</v>
      </c>
      <c r="Q1086">
        <v>4</v>
      </c>
      <c r="R1086" t="s">
        <v>38</v>
      </c>
      <c r="S1086" s="6">
        <v>7945</v>
      </c>
      <c r="T1086">
        <v>19948</v>
      </c>
      <c r="U1086">
        <v>6</v>
      </c>
      <c r="V1086" t="s">
        <v>39</v>
      </c>
      <c r="W1086" t="s">
        <v>32</v>
      </c>
      <c r="X1086">
        <v>15</v>
      </c>
      <c r="Y1086">
        <v>3</v>
      </c>
      <c r="Z1086">
        <v>4</v>
      </c>
      <c r="AA1086">
        <v>80</v>
      </c>
      <c r="AB1086">
        <v>0</v>
      </c>
      <c r="AC1086">
        <v>18</v>
      </c>
      <c r="AD1086">
        <v>2</v>
      </c>
      <c r="AE1086">
        <v>2</v>
      </c>
      <c r="AF1086">
        <v>4</v>
      </c>
      <c r="AG1086">
        <v>2</v>
      </c>
      <c r="AH1086">
        <v>3</v>
      </c>
      <c r="AI1086">
        <v>3</v>
      </c>
    </row>
    <row r="1087" spans="1:35" x14ac:dyDescent="0.3">
      <c r="A1087">
        <v>52</v>
      </c>
      <c r="B1087" t="s">
        <v>40</v>
      </c>
      <c r="C1087" t="s">
        <v>33</v>
      </c>
      <c r="D1087">
        <v>319</v>
      </c>
      <c r="E1087" t="s">
        <v>42</v>
      </c>
      <c r="F1087">
        <v>3</v>
      </c>
      <c r="G1087">
        <v>3</v>
      </c>
      <c r="H1087" t="s">
        <v>48</v>
      </c>
      <c r="I1087">
        <v>1</v>
      </c>
      <c r="J1087">
        <v>543</v>
      </c>
      <c r="K1087">
        <v>4</v>
      </c>
      <c r="L1087" s="17" t="s">
        <v>43</v>
      </c>
      <c r="M1087">
        <v>39</v>
      </c>
      <c r="N1087">
        <v>2</v>
      </c>
      <c r="O1087">
        <v>3</v>
      </c>
      <c r="P1087" t="s">
        <v>50</v>
      </c>
      <c r="Q1087">
        <v>3</v>
      </c>
      <c r="R1087" t="s">
        <v>45</v>
      </c>
      <c r="S1087" s="6">
        <v>7969</v>
      </c>
      <c r="T1087">
        <v>19609</v>
      </c>
      <c r="U1087">
        <v>2</v>
      </c>
      <c r="V1087" t="s">
        <v>39</v>
      </c>
      <c r="W1087" t="s">
        <v>32</v>
      </c>
      <c r="X1087">
        <v>14</v>
      </c>
      <c r="Y1087">
        <v>3</v>
      </c>
      <c r="Z1087">
        <v>3</v>
      </c>
      <c r="AA1087">
        <v>80</v>
      </c>
      <c r="AB1087">
        <v>0</v>
      </c>
      <c r="AC1087">
        <v>28</v>
      </c>
      <c r="AD1087">
        <v>4</v>
      </c>
      <c r="AE1087">
        <v>3</v>
      </c>
      <c r="AF1087">
        <v>5</v>
      </c>
      <c r="AG1087">
        <v>4</v>
      </c>
      <c r="AH1087">
        <v>0</v>
      </c>
      <c r="AI1087">
        <v>4</v>
      </c>
    </row>
    <row r="1088" spans="1:35" x14ac:dyDescent="0.3">
      <c r="A1088">
        <v>44</v>
      </c>
      <c r="B1088" t="s">
        <v>32</v>
      </c>
      <c r="C1088" t="s">
        <v>33</v>
      </c>
      <c r="D1088">
        <v>621</v>
      </c>
      <c r="E1088" t="s">
        <v>42</v>
      </c>
      <c r="F1088">
        <v>15</v>
      </c>
      <c r="G1088">
        <v>3</v>
      </c>
      <c r="H1088" t="s">
        <v>48</v>
      </c>
      <c r="I1088">
        <v>1</v>
      </c>
      <c r="J1088">
        <v>1295</v>
      </c>
      <c r="K1088">
        <v>1</v>
      </c>
      <c r="L1088" s="17" t="s">
        <v>36</v>
      </c>
      <c r="M1088">
        <v>73</v>
      </c>
      <c r="N1088">
        <v>3</v>
      </c>
      <c r="O1088">
        <v>3</v>
      </c>
      <c r="P1088" t="s">
        <v>51</v>
      </c>
      <c r="Q1088">
        <v>4</v>
      </c>
      <c r="R1088" t="s">
        <v>45</v>
      </c>
      <c r="S1088" s="6">
        <v>7978</v>
      </c>
      <c r="T1088">
        <v>14075</v>
      </c>
      <c r="U1088">
        <v>1</v>
      </c>
      <c r="V1088" t="s">
        <v>39</v>
      </c>
      <c r="W1088" t="s">
        <v>40</v>
      </c>
      <c r="X1088">
        <v>11</v>
      </c>
      <c r="Y1088">
        <v>3</v>
      </c>
      <c r="Z1088">
        <v>4</v>
      </c>
      <c r="AA1088">
        <v>80</v>
      </c>
      <c r="AB1088">
        <v>1</v>
      </c>
      <c r="AC1088">
        <v>10</v>
      </c>
      <c r="AD1088">
        <v>2</v>
      </c>
      <c r="AE1088">
        <v>3</v>
      </c>
      <c r="AF1088">
        <v>10</v>
      </c>
      <c r="AG1088">
        <v>7</v>
      </c>
      <c r="AH1088">
        <v>0</v>
      </c>
      <c r="AI1088">
        <v>5</v>
      </c>
    </row>
    <row r="1089" spans="1:35" x14ac:dyDescent="0.3">
      <c r="A1089">
        <v>29</v>
      </c>
      <c r="B1089" t="s">
        <v>40</v>
      </c>
      <c r="C1089" t="s">
        <v>33</v>
      </c>
      <c r="D1089">
        <v>332</v>
      </c>
      <c r="E1089" t="s">
        <v>58</v>
      </c>
      <c r="F1089">
        <v>17</v>
      </c>
      <c r="G1089">
        <v>3</v>
      </c>
      <c r="H1089" t="s">
        <v>46</v>
      </c>
      <c r="I1089">
        <v>1</v>
      </c>
      <c r="J1089">
        <v>1419</v>
      </c>
      <c r="K1089">
        <v>2</v>
      </c>
      <c r="L1089" s="17" t="s">
        <v>43</v>
      </c>
      <c r="M1089">
        <v>51</v>
      </c>
      <c r="N1089">
        <v>2</v>
      </c>
      <c r="O1089">
        <v>3</v>
      </c>
      <c r="P1089" t="s">
        <v>58</v>
      </c>
      <c r="Q1089">
        <v>1</v>
      </c>
      <c r="R1089" t="s">
        <v>38</v>
      </c>
      <c r="S1089" s="6">
        <v>7988</v>
      </c>
      <c r="T1089">
        <v>9769</v>
      </c>
      <c r="U1089">
        <v>1</v>
      </c>
      <c r="V1089" t="s">
        <v>39</v>
      </c>
      <c r="W1089" t="s">
        <v>40</v>
      </c>
      <c r="X1089">
        <v>13</v>
      </c>
      <c r="Y1089">
        <v>3</v>
      </c>
      <c r="Z1089">
        <v>1</v>
      </c>
      <c r="AA1089">
        <v>80</v>
      </c>
      <c r="AB1089">
        <v>0</v>
      </c>
      <c r="AC1089">
        <v>10</v>
      </c>
      <c r="AD1089">
        <v>3</v>
      </c>
      <c r="AE1089">
        <v>2</v>
      </c>
      <c r="AF1089">
        <v>10</v>
      </c>
      <c r="AG1089">
        <v>9</v>
      </c>
      <c r="AH1089">
        <v>0</v>
      </c>
      <c r="AI1089">
        <v>9</v>
      </c>
    </row>
    <row r="1090" spans="1:35" x14ac:dyDescent="0.3">
      <c r="A1090">
        <v>46</v>
      </c>
      <c r="B1090" t="s">
        <v>40</v>
      </c>
      <c r="C1090" t="s">
        <v>52</v>
      </c>
      <c r="D1090">
        <v>849</v>
      </c>
      <c r="E1090" t="s">
        <v>34</v>
      </c>
      <c r="F1090">
        <v>26</v>
      </c>
      <c r="G1090">
        <v>2</v>
      </c>
      <c r="H1090" t="s">
        <v>35</v>
      </c>
      <c r="I1090">
        <v>1</v>
      </c>
      <c r="J1090">
        <v>1801</v>
      </c>
      <c r="K1090">
        <v>2</v>
      </c>
      <c r="L1090" s="17" t="s">
        <v>43</v>
      </c>
      <c r="M1090">
        <v>98</v>
      </c>
      <c r="N1090">
        <v>2</v>
      </c>
      <c r="O1090">
        <v>2</v>
      </c>
      <c r="P1090" t="s">
        <v>37</v>
      </c>
      <c r="Q1090">
        <v>2</v>
      </c>
      <c r="R1090" t="s">
        <v>38</v>
      </c>
      <c r="S1090" s="6">
        <v>7991</v>
      </c>
      <c r="T1090">
        <v>25166</v>
      </c>
      <c r="U1090">
        <v>8</v>
      </c>
      <c r="V1090" t="s">
        <v>39</v>
      </c>
      <c r="W1090" t="s">
        <v>40</v>
      </c>
      <c r="X1090">
        <v>15</v>
      </c>
      <c r="Y1090">
        <v>3</v>
      </c>
      <c r="Z1090">
        <v>3</v>
      </c>
      <c r="AA1090">
        <v>80</v>
      </c>
      <c r="AB1090">
        <v>0</v>
      </c>
      <c r="AC1090">
        <v>6</v>
      </c>
      <c r="AD1090">
        <v>3</v>
      </c>
      <c r="AE1090">
        <v>3</v>
      </c>
      <c r="AF1090">
        <v>2</v>
      </c>
      <c r="AG1090">
        <v>2</v>
      </c>
      <c r="AH1090">
        <v>2</v>
      </c>
      <c r="AI1090">
        <v>2</v>
      </c>
    </row>
    <row r="1091" spans="1:35" x14ac:dyDescent="0.3">
      <c r="A1091">
        <v>36</v>
      </c>
      <c r="B1091" t="s">
        <v>40</v>
      </c>
      <c r="C1091" t="s">
        <v>33</v>
      </c>
      <c r="D1091">
        <v>711</v>
      </c>
      <c r="E1091" t="s">
        <v>42</v>
      </c>
      <c r="F1091">
        <v>5</v>
      </c>
      <c r="G1091">
        <v>4</v>
      </c>
      <c r="H1091" t="s">
        <v>35</v>
      </c>
      <c r="I1091">
        <v>1</v>
      </c>
      <c r="J1091">
        <v>1651</v>
      </c>
      <c r="K1091">
        <v>2</v>
      </c>
      <c r="L1091" s="17" t="s">
        <v>36</v>
      </c>
      <c r="M1091">
        <v>42</v>
      </c>
      <c r="N1091">
        <v>3</v>
      </c>
      <c r="O1091">
        <v>3</v>
      </c>
      <c r="P1091" t="s">
        <v>51</v>
      </c>
      <c r="Q1091">
        <v>1</v>
      </c>
      <c r="R1091" t="s">
        <v>45</v>
      </c>
      <c r="S1091" s="6">
        <v>8008</v>
      </c>
      <c r="T1091">
        <v>22792</v>
      </c>
      <c r="U1091">
        <v>4</v>
      </c>
      <c r="V1091" t="s">
        <v>39</v>
      </c>
      <c r="W1091" t="s">
        <v>40</v>
      </c>
      <c r="X1091">
        <v>12</v>
      </c>
      <c r="Y1091">
        <v>3</v>
      </c>
      <c r="Z1091">
        <v>3</v>
      </c>
      <c r="AA1091">
        <v>80</v>
      </c>
      <c r="AB1091">
        <v>2</v>
      </c>
      <c r="AC1091">
        <v>9</v>
      </c>
      <c r="AD1091">
        <v>6</v>
      </c>
      <c r="AE1091">
        <v>3</v>
      </c>
      <c r="AF1091">
        <v>3</v>
      </c>
      <c r="AG1091">
        <v>2</v>
      </c>
      <c r="AH1091">
        <v>0</v>
      </c>
      <c r="AI1091">
        <v>2</v>
      </c>
    </row>
    <row r="1092" spans="1:35" x14ac:dyDescent="0.3">
      <c r="A1092">
        <v>35</v>
      </c>
      <c r="B1092" t="s">
        <v>40</v>
      </c>
      <c r="C1092" t="s">
        <v>33</v>
      </c>
      <c r="D1092">
        <v>1232</v>
      </c>
      <c r="E1092" t="s">
        <v>34</v>
      </c>
      <c r="F1092">
        <v>16</v>
      </c>
      <c r="G1092">
        <v>3</v>
      </c>
      <c r="H1092" t="s">
        <v>56</v>
      </c>
      <c r="I1092">
        <v>1</v>
      </c>
      <c r="J1092">
        <v>406</v>
      </c>
      <c r="K1092">
        <v>3</v>
      </c>
      <c r="L1092" s="17" t="s">
        <v>43</v>
      </c>
      <c r="M1092">
        <v>96</v>
      </c>
      <c r="N1092">
        <v>3</v>
      </c>
      <c r="O1092">
        <v>3</v>
      </c>
      <c r="P1092" t="s">
        <v>37</v>
      </c>
      <c r="Q1092">
        <v>2</v>
      </c>
      <c r="R1092" t="s">
        <v>45</v>
      </c>
      <c r="S1092" s="6">
        <v>8020</v>
      </c>
      <c r="T1092">
        <v>5100</v>
      </c>
      <c r="U1092">
        <v>0</v>
      </c>
      <c r="V1092" t="s">
        <v>39</v>
      </c>
      <c r="W1092" t="s">
        <v>40</v>
      </c>
      <c r="X1092">
        <v>15</v>
      </c>
      <c r="Y1092">
        <v>3</v>
      </c>
      <c r="Z1092">
        <v>3</v>
      </c>
      <c r="AA1092">
        <v>80</v>
      </c>
      <c r="AB1092">
        <v>2</v>
      </c>
      <c r="AC1092">
        <v>12</v>
      </c>
      <c r="AD1092">
        <v>3</v>
      </c>
      <c r="AE1092">
        <v>2</v>
      </c>
      <c r="AF1092">
        <v>11</v>
      </c>
      <c r="AG1092">
        <v>9</v>
      </c>
      <c r="AH1092">
        <v>6</v>
      </c>
      <c r="AI1092">
        <v>9</v>
      </c>
    </row>
    <row r="1093" spans="1:35" x14ac:dyDescent="0.3">
      <c r="A1093">
        <v>35</v>
      </c>
      <c r="B1093" t="s">
        <v>40</v>
      </c>
      <c r="C1093" t="s">
        <v>33</v>
      </c>
      <c r="D1093">
        <v>1296</v>
      </c>
      <c r="E1093" t="s">
        <v>42</v>
      </c>
      <c r="F1093">
        <v>5</v>
      </c>
      <c r="G1093">
        <v>4</v>
      </c>
      <c r="H1093" t="s">
        <v>57</v>
      </c>
      <c r="I1093">
        <v>1</v>
      </c>
      <c r="J1093">
        <v>464</v>
      </c>
      <c r="K1093">
        <v>3</v>
      </c>
      <c r="L1093" s="17" t="s">
        <v>43</v>
      </c>
      <c r="M1093">
        <v>62</v>
      </c>
      <c r="N1093">
        <v>3</v>
      </c>
      <c r="O1093">
        <v>3</v>
      </c>
      <c r="P1093" t="s">
        <v>50</v>
      </c>
      <c r="Q1093">
        <v>2</v>
      </c>
      <c r="R1093" t="s">
        <v>38</v>
      </c>
      <c r="S1093" s="6">
        <v>8095</v>
      </c>
      <c r="T1093">
        <v>18264</v>
      </c>
      <c r="U1093">
        <v>0</v>
      </c>
      <c r="V1093" t="s">
        <v>39</v>
      </c>
      <c r="W1093" t="s">
        <v>40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17</v>
      </c>
      <c r="AD1093">
        <v>5</v>
      </c>
      <c r="AE1093">
        <v>3</v>
      </c>
      <c r="AF1093">
        <v>16</v>
      </c>
      <c r="AG1093">
        <v>6</v>
      </c>
      <c r="AH1093">
        <v>0</v>
      </c>
      <c r="AI1093">
        <v>13</v>
      </c>
    </row>
    <row r="1094" spans="1:35" x14ac:dyDescent="0.3">
      <c r="A1094">
        <v>34</v>
      </c>
      <c r="B1094" t="s">
        <v>40</v>
      </c>
      <c r="C1094" t="s">
        <v>33</v>
      </c>
      <c r="D1094">
        <v>735</v>
      </c>
      <c r="E1094" t="s">
        <v>34</v>
      </c>
      <c r="F1094">
        <v>3</v>
      </c>
      <c r="G1094">
        <v>1</v>
      </c>
      <c r="H1094" t="s">
        <v>48</v>
      </c>
      <c r="I1094">
        <v>1</v>
      </c>
      <c r="J1094">
        <v>1915</v>
      </c>
      <c r="K1094">
        <v>4</v>
      </c>
      <c r="L1094" s="17" t="s">
        <v>36</v>
      </c>
      <c r="M1094">
        <v>75</v>
      </c>
      <c r="N1094">
        <v>2</v>
      </c>
      <c r="O1094">
        <v>2</v>
      </c>
      <c r="P1094" t="s">
        <v>37</v>
      </c>
      <c r="Q1094">
        <v>4</v>
      </c>
      <c r="R1094" t="s">
        <v>45</v>
      </c>
      <c r="S1094" s="6">
        <v>8103</v>
      </c>
      <c r="T1094">
        <v>16495</v>
      </c>
      <c r="U1094">
        <v>3</v>
      </c>
      <c r="V1094" t="s">
        <v>39</v>
      </c>
      <c r="W1094" t="s">
        <v>32</v>
      </c>
      <c r="X1094">
        <v>12</v>
      </c>
      <c r="Y1094">
        <v>3</v>
      </c>
      <c r="Z1094">
        <v>3</v>
      </c>
      <c r="AA1094">
        <v>80</v>
      </c>
      <c r="AB1094">
        <v>0</v>
      </c>
      <c r="AC1094">
        <v>9</v>
      </c>
      <c r="AD1094">
        <v>3</v>
      </c>
      <c r="AE1094">
        <v>2</v>
      </c>
      <c r="AF1094">
        <v>4</v>
      </c>
      <c r="AG1094">
        <v>2</v>
      </c>
      <c r="AH1094">
        <v>0</v>
      </c>
      <c r="AI1094">
        <v>1</v>
      </c>
    </row>
    <row r="1095" spans="1:35" x14ac:dyDescent="0.3">
      <c r="A1095">
        <v>48</v>
      </c>
      <c r="B1095" t="s">
        <v>40</v>
      </c>
      <c r="C1095" t="s">
        <v>33</v>
      </c>
      <c r="D1095">
        <v>817</v>
      </c>
      <c r="E1095" t="s">
        <v>34</v>
      </c>
      <c r="F1095">
        <v>2</v>
      </c>
      <c r="G1095">
        <v>1</v>
      </c>
      <c r="H1095" t="s">
        <v>56</v>
      </c>
      <c r="I1095">
        <v>1</v>
      </c>
      <c r="J1095">
        <v>712</v>
      </c>
      <c r="K1095">
        <v>2</v>
      </c>
      <c r="L1095" s="17" t="s">
        <v>43</v>
      </c>
      <c r="M1095">
        <v>56</v>
      </c>
      <c r="N1095">
        <v>4</v>
      </c>
      <c r="O1095">
        <v>2</v>
      </c>
      <c r="P1095" t="s">
        <v>37</v>
      </c>
      <c r="Q1095">
        <v>2</v>
      </c>
      <c r="R1095" t="s">
        <v>45</v>
      </c>
      <c r="S1095" s="6">
        <v>8120</v>
      </c>
      <c r="T1095">
        <v>18597</v>
      </c>
      <c r="U1095">
        <v>3</v>
      </c>
      <c r="V1095" t="s">
        <v>39</v>
      </c>
      <c r="W1095" t="s">
        <v>40</v>
      </c>
      <c r="X1095">
        <v>12</v>
      </c>
      <c r="Y1095">
        <v>3</v>
      </c>
      <c r="Z1095">
        <v>4</v>
      </c>
      <c r="AA1095">
        <v>80</v>
      </c>
      <c r="AB1095">
        <v>0</v>
      </c>
      <c r="AC1095">
        <v>12</v>
      </c>
      <c r="AD1095">
        <v>3</v>
      </c>
      <c r="AE1095">
        <v>3</v>
      </c>
      <c r="AF1095">
        <v>2</v>
      </c>
      <c r="AG1095">
        <v>2</v>
      </c>
      <c r="AH1095">
        <v>2</v>
      </c>
      <c r="AI1095">
        <v>2</v>
      </c>
    </row>
    <row r="1096" spans="1:35" x14ac:dyDescent="0.3">
      <c r="A1096">
        <v>31</v>
      </c>
      <c r="B1096" t="s">
        <v>32</v>
      </c>
      <c r="C1096" t="s">
        <v>33</v>
      </c>
      <c r="D1096">
        <v>1079</v>
      </c>
      <c r="E1096" t="s">
        <v>34</v>
      </c>
      <c r="F1096">
        <v>16</v>
      </c>
      <c r="G1096">
        <v>4</v>
      </c>
      <c r="H1096" t="s">
        <v>56</v>
      </c>
      <c r="I1096">
        <v>1</v>
      </c>
      <c r="J1096">
        <v>1761</v>
      </c>
      <c r="K1096">
        <v>1</v>
      </c>
      <c r="L1096" s="17" t="s">
        <v>43</v>
      </c>
      <c r="M1096">
        <v>70</v>
      </c>
      <c r="N1096">
        <v>3</v>
      </c>
      <c r="O1096">
        <v>3</v>
      </c>
      <c r="P1096" t="s">
        <v>37</v>
      </c>
      <c r="Q1096">
        <v>3</v>
      </c>
      <c r="R1096" t="s">
        <v>45</v>
      </c>
      <c r="S1096" s="6">
        <v>8161</v>
      </c>
      <c r="T1096">
        <v>19002</v>
      </c>
      <c r="U1096">
        <v>2</v>
      </c>
      <c r="V1096" t="s">
        <v>39</v>
      </c>
      <c r="W1096" t="s">
        <v>40</v>
      </c>
      <c r="X1096">
        <v>13</v>
      </c>
      <c r="Y1096">
        <v>3</v>
      </c>
      <c r="Z1096">
        <v>1</v>
      </c>
      <c r="AA1096">
        <v>80</v>
      </c>
      <c r="AB1096">
        <v>3</v>
      </c>
      <c r="AC1096">
        <v>10</v>
      </c>
      <c r="AD1096">
        <v>2</v>
      </c>
      <c r="AE1096">
        <v>3</v>
      </c>
      <c r="AF1096">
        <v>1</v>
      </c>
      <c r="AG1096">
        <v>0</v>
      </c>
      <c r="AH1096">
        <v>0</v>
      </c>
      <c r="AI1096">
        <v>0</v>
      </c>
    </row>
    <row r="1097" spans="1:35" x14ac:dyDescent="0.3">
      <c r="A1097">
        <v>41</v>
      </c>
      <c r="B1097" t="s">
        <v>40</v>
      </c>
      <c r="C1097" t="s">
        <v>33</v>
      </c>
      <c r="D1097">
        <v>802</v>
      </c>
      <c r="E1097" t="s">
        <v>34</v>
      </c>
      <c r="F1097">
        <v>9</v>
      </c>
      <c r="G1097">
        <v>1</v>
      </c>
      <c r="H1097" t="s">
        <v>35</v>
      </c>
      <c r="I1097">
        <v>1</v>
      </c>
      <c r="J1097">
        <v>176</v>
      </c>
      <c r="K1097">
        <v>3</v>
      </c>
      <c r="L1097" s="17" t="s">
        <v>43</v>
      </c>
      <c r="M1097">
        <v>96</v>
      </c>
      <c r="N1097">
        <v>3</v>
      </c>
      <c r="O1097">
        <v>3</v>
      </c>
      <c r="P1097" t="s">
        <v>37</v>
      </c>
      <c r="Q1097">
        <v>3</v>
      </c>
      <c r="R1097" t="s">
        <v>49</v>
      </c>
      <c r="S1097" s="6">
        <v>8189</v>
      </c>
      <c r="T1097">
        <v>21196</v>
      </c>
      <c r="U1097">
        <v>3</v>
      </c>
      <c r="V1097" t="s">
        <v>39</v>
      </c>
      <c r="W1097" t="s">
        <v>32</v>
      </c>
      <c r="X1097">
        <v>13</v>
      </c>
      <c r="Y1097">
        <v>3</v>
      </c>
      <c r="Z1097">
        <v>3</v>
      </c>
      <c r="AA1097">
        <v>80</v>
      </c>
      <c r="AB1097">
        <v>1</v>
      </c>
      <c r="AC1097">
        <v>12</v>
      </c>
      <c r="AD1097">
        <v>2</v>
      </c>
      <c r="AE1097">
        <v>3</v>
      </c>
      <c r="AF1097">
        <v>9</v>
      </c>
      <c r="AG1097">
        <v>7</v>
      </c>
      <c r="AH1097">
        <v>0</v>
      </c>
      <c r="AI1097">
        <v>7</v>
      </c>
    </row>
    <row r="1098" spans="1:35" x14ac:dyDescent="0.3">
      <c r="A1098">
        <v>33</v>
      </c>
      <c r="B1098" t="s">
        <v>32</v>
      </c>
      <c r="C1098" t="s">
        <v>33</v>
      </c>
      <c r="D1098">
        <v>603</v>
      </c>
      <c r="E1098" t="s">
        <v>34</v>
      </c>
      <c r="F1098">
        <v>9</v>
      </c>
      <c r="G1098">
        <v>4</v>
      </c>
      <c r="H1098" t="s">
        <v>56</v>
      </c>
      <c r="I1098">
        <v>1</v>
      </c>
      <c r="J1098">
        <v>1157</v>
      </c>
      <c r="K1098">
        <v>1</v>
      </c>
      <c r="L1098" s="17" t="s">
        <v>36</v>
      </c>
      <c r="M1098">
        <v>77</v>
      </c>
      <c r="N1098">
        <v>3</v>
      </c>
      <c r="O1098">
        <v>2</v>
      </c>
      <c r="P1098" t="s">
        <v>37</v>
      </c>
      <c r="Q1098">
        <v>1</v>
      </c>
      <c r="R1098" t="s">
        <v>38</v>
      </c>
      <c r="S1098" s="6">
        <v>8224</v>
      </c>
      <c r="T1098">
        <v>18385</v>
      </c>
      <c r="U1098">
        <v>0</v>
      </c>
      <c r="V1098" t="s">
        <v>39</v>
      </c>
      <c r="W1098" t="s">
        <v>32</v>
      </c>
      <c r="X1098">
        <v>17</v>
      </c>
      <c r="Y1098">
        <v>3</v>
      </c>
      <c r="Z1098">
        <v>1</v>
      </c>
      <c r="AA1098">
        <v>80</v>
      </c>
      <c r="AB1098">
        <v>0</v>
      </c>
      <c r="AC1098">
        <v>6</v>
      </c>
      <c r="AD1098">
        <v>3</v>
      </c>
      <c r="AE1098">
        <v>3</v>
      </c>
      <c r="AF1098">
        <v>5</v>
      </c>
      <c r="AG1098">
        <v>2</v>
      </c>
      <c r="AH1098">
        <v>0</v>
      </c>
      <c r="AI1098">
        <v>3</v>
      </c>
    </row>
    <row r="1099" spans="1:35" x14ac:dyDescent="0.3">
      <c r="A1099">
        <v>39</v>
      </c>
      <c r="B1099" t="s">
        <v>40</v>
      </c>
      <c r="C1099" t="s">
        <v>33</v>
      </c>
      <c r="D1099">
        <v>1462</v>
      </c>
      <c r="E1099" t="s">
        <v>34</v>
      </c>
      <c r="F1099">
        <v>6</v>
      </c>
      <c r="G1099">
        <v>3</v>
      </c>
      <c r="H1099" t="s">
        <v>48</v>
      </c>
      <c r="I1099">
        <v>1</v>
      </c>
      <c r="J1099">
        <v>1588</v>
      </c>
      <c r="K1099">
        <v>4</v>
      </c>
      <c r="L1099" s="17" t="s">
        <v>43</v>
      </c>
      <c r="M1099">
        <v>38</v>
      </c>
      <c r="N1099">
        <v>4</v>
      </c>
      <c r="O1099">
        <v>3</v>
      </c>
      <c r="P1099" t="s">
        <v>37</v>
      </c>
      <c r="Q1099">
        <v>3</v>
      </c>
      <c r="R1099" t="s">
        <v>45</v>
      </c>
      <c r="S1099" s="6">
        <v>8237</v>
      </c>
      <c r="T1099">
        <v>4658</v>
      </c>
      <c r="U1099">
        <v>2</v>
      </c>
      <c r="V1099" t="s">
        <v>39</v>
      </c>
      <c r="W1099" t="s">
        <v>40</v>
      </c>
      <c r="X1099">
        <v>11</v>
      </c>
      <c r="Y1099">
        <v>3</v>
      </c>
      <c r="Z1099">
        <v>1</v>
      </c>
      <c r="AA1099">
        <v>80</v>
      </c>
      <c r="AB1099">
        <v>1</v>
      </c>
      <c r="AC1099">
        <v>11</v>
      </c>
      <c r="AD1099">
        <v>3</v>
      </c>
      <c r="AE1099">
        <v>3</v>
      </c>
      <c r="AF1099">
        <v>7</v>
      </c>
      <c r="AG1099">
        <v>6</v>
      </c>
      <c r="AH1099">
        <v>7</v>
      </c>
      <c r="AI1099">
        <v>6</v>
      </c>
    </row>
    <row r="1100" spans="1:35" x14ac:dyDescent="0.3">
      <c r="A1100">
        <v>29</v>
      </c>
      <c r="B1100" t="s">
        <v>40</v>
      </c>
      <c r="C1100" t="s">
        <v>33</v>
      </c>
      <c r="D1100">
        <v>144</v>
      </c>
      <c r="E1100" t="s">
        <v>34</v>
      </c>
      <c r="F1100">
        <v>10</v>
      </c>
      <c r="G1100">
        <v>1</v>
      </c>
      <c r="H1100" t="s">
        <v>56</v>
      </c>
      <c r="I1100">
        <v>1</v>
      </c>
      <c r="J1100">
        <v>463</v>
      </c>
      <c r="K1100">
        <v>4</v>
      </c>
      <c r="L1100" s="17" t="s">
        <v>36</v>
      </c>
      <c r="M1100">
        <v>39</v>
      </c>
      <c r="N1100">
        <v>2</v>
      </c>
      <c r="O1100">
        <v>2</v>
      </c>
      <c r="P1100" t="s">
        <v>37</v>
      </c>
      <c r="Q1100">
        <v>2</v>
      </c>
      <c r="R1100" t="s">
        <v>49</v>
      </c>
      <c r="S1100" s="6">
        <v>8268</v>
      </c>
      <c r="T1100">
        <v>11866</v>
      </c>
      <c r="U1100">
        <v>1</v>
      </c>
      <c r="V1100" t="s">
        <v>39</v>
      </c>
      <c r="W1100" t="s">
        <v>32</v>
      </c>
      <c r="X1100">
        <v>14</v>
      </c>
      <c r="Y1100">
        <v>3</v>
      </c>
      <c r="Z1100">
        <v>1</v>
      </c>
      <c r="AA1100">
        <v>80</v>
      </c>
      <c r="AB1100">
        <v>2</v>
      </c>
      <c r="AC1100">
        <v>7</v>
      </c>
      <c r="AD1100">
        <v>2</v>
      </c>
      <c r="AE1100">
        <v>3</v>
      </c>
      <c r="AF1100">
        <v>7</v>
      </c>
      <c r="AG1100">
        <v>7</v>
      </c>
      <c r="AH1100">
        <v>1</v>
      </c>
      <c r="AI1100">
        <v>7</v>
      </c>
    </row>
    <row r="1101" spans="1:35" x14ac:dyDescent="0.3">
      <c r="A1101">
        <v>36</v>
      </c>
      <c r="B1101" t="s">
        <v>40</v>
      </c>
      <c r="C1101" t="s">
        <v>33</v>
      </c>
      <c r="D1101">
        <v>1383</v>
      </c>
      <c r="E1101" t="s">
        <v>42</v>
      </c>
      <c r="F1101">
        <v>10</v>
      </c>
      <c r="G1101">
        <v>3</v>
      </c>
      <c r="H1101" t="s">
        <v>35</v>
      </c>
      <c r="I1101">
        <v>1</v>
      </c>
      <c r="J1101">
        <v>1790</v>
      </c>
      <c r="K1101">
        <v>4</v>
      </c>
      <c r="L1101" s="17" t="s">
        <v>43</v>
      </c>
      <c r="M1101">
        <v>90</v>
      </c>
      <c r="N1101">
        <v>3</v>
      </c>
      <c r="O1101">
        <v>3</v>
      </c>
      <c r="P1101" t="s">
        <v>51</v>
      </c>
      <c r="Q1101">
        <v>1</v>
      </c>
      <c r="R1101" t="s">
        <v>45</v>
      </c>
      <c r="S1101" s="6">
        <v>8321</v>
      </c>
      <c r="T1101">
        <v>25949</v>
      </c>
      <c r="U1101">
        <v>7</v>
      </c>
      <c r="V1101" t="s">
        <v>39</v>
      </c>
      <c r="W1101" t="s">
        <v>32</v>
      </c>
      <c r="X1101">
        <v>13</v>
      </c>
      <c r="Y1101">
        <v>3</v>
      </c>
      <c r="Z1101">
        <v>4</v>
      </c>
      <c r="AA1101">
        <v>80</v>
      </c>
      <c r="AB1101">
        <v>1</v>
      </c>
      <c r="AC1101">
        <v>15</v>
      </c>
      <c r="AD1101">
        <v>1</v>
      </c>
      <c r="AE1101">
        <v>3</v>
      </c>
      <c r="AF1101">
        <v>12</v>
      </c>
      <c r="AG1101">
        <v>8</v>
      </c>
      <c r="AH1101">
        <v>5</v>
      </c>
      <c r="AI1101">
        <v>7</v>
      </c>
    </row>
    <row r="1102" spans="1:35" x14ac:dyDescent="0.3">
      <c r="A1102">
        <v>31</v>
      </c>
      <c r="B1102" t="s">
        <v>40</v>
      </c>
      <c r="C1102" t="s">
        <v>33</v>
      </c>
      <c r="D1102">
        <v>1003</v>
      </c>
      <c r="E1102" t="s">
        <v>34</v>
      </c>
      <c r="F1102">
        <v>5</v>
      </c>
      <c r="G1102">
        <v>3</v>
      </c>
      <c r="H1102" t="s">
        <v>57</v>
      </c>
      <c r="I1102">
        <v>1</v>
      </c>
      <c r="J1102">
        <v>1749</v>
      </c>
      <c r="K1102">
        <v>1</v>
      </c>
      <c r="L1102" s="17" t="s">
        <v>43</v>
      </c>
      <c r="M1102">
        <v>51</v>
      </c>
      <c r="N1102">
        <v>3</v>
      </c>
      <c r="O1102">
        <v>2</v>
      </c>
      <c r="P1102" t="s">
        <v>37</v>
      </c>
      <c r="Q1102">
        <v>3</v>
      </c>
      <c r="R1102" t="s">
        <v>45</v>
      </c>
      <c r="S1102" s="6">
        <v>8346</v>
      </c>
      <c r="T1102">
        <v>20943</v>
      </c>
      <c r="U1102">
        <v>1</v>
      </c>
      <c r="V1102" t="s">
        <v>39</v>
      </c>
      <c r="W1102" t="s">
        <v>40</v>
      </c>
      <c r="X1102">
        <v>19</v>
      </c>
      <c r="Y1102">
        <v>3</v>
      </c>
      <c r="Z1102">
        <v>3</v>
      </c>
      <c r="AA1102">
        <v>80</v>
      </c>
      <c r="AB1102">
        <v>1</v>
      </c>
      <c r="AC1102">
        <v>6</v>
      </c>
      <c r="AD1102">
        <v>3</v>
      </c>
      <c r="AE1102">
        <v>3</v>
      </c>
      <c r="AF1102">
        <v>5</v>
      </c>
      <c r="AG1102">
        <v>2</v>
      </c>
      <c r="AH1102">
        <v>0</v>
      </c>
      <c r="AI1102">
        <v>2</v>
      </c>
    </row>
    <row r="1103" spans="1:35" x14ac:dyDescent="0.3">
      <c r="A1103">
        <v>39</v>
      </c>
      <c r="B1103" t="s">
        <v>40</v>
      </c>
      <c r="C1103" t="s">
        <v>33</v>
      </c>
      <c r="D1103">
        <v>1089</v>
      </c>
      <c r="E1103" t="s">
        <v>42</v>
      </c>
      <c r="F1103">
        <v>6</v>
      </c>
      <c r="G1103">
        <v>3</v>
      </c>
      <c r="H1103" t="s">
        <v>35</v>
      </c>
      <c r="I1103">
        <v>1</v>
      </c>
      <c r="J1103">
        <v>1525</v>
      </c>
      <c r="K1103">
        <v>2</v>
      </c>
      <c r="L1103" s="17" t="s">
        <v>36</v>
      </c>
      <c r="M1103">
        <v>32</v>
      </c>
      <c r="N1103">
        <v>3</v>
      </c>
      <c r="O1103">
        <v>3</v>
      </c>
      <c r="P1103" t="s">
        <v>50</v>
      </c>
      <c r="Q1103">
        <v>2</v>
      </c>
      <c r="R1103" t="s">
        <v>38</v>
      </c>
      <c r="S1103" s="6">
        <v>8376</v>
      </c>
      <c r="T1103">
        <v>9150</v>
      </c>
      <c r="U1103">
        <v>4</v>
      </c>
      <c r="V1103" t="s">
        <v>39</v>
      </c>
      <c r="W1103" t="s">
        <v>40</v>
      </c>
      <c r="X1103">
        <v>18</v>
      </c>
      <c r="Y1103">
        <v>3</v>
      </c>
      <c r="Z1103">
        <v>4</v>
      </c>
      <c r="AA1103">
        <v>80</v>
      </c>
      <c r="AB1103">
        <v>0</v>
      </c>
      <c r="AC1103">
        <v>9</v>
      </c>
      <c r="AD1103">
        <v>3</v>
      </c>
      <c r="AE1103">
        <v>3</v>
      </c>
      <c r="AF1103">
        <v>2</v>
      </c>
      <c r="AG1103">
        <v>0</v>
      </c>
      <c r="AH1103">
        <v>2</v>
      </c>
      <c r="AI1103">
        <v>2</v>
      </c>
    </row>
    <row r="1104" spans="1:35" x14ac:dyDescent="0.3">
      <c r="A1104">
        <v>33</v>
      </c>
      <c r="B1104" t="s">
        <v>40</v>
      </c>
      <c r="C1104" t="s">
        <v>33</v>
      </c>
      <c r="D1104">
        <v>536</v>
      </c>
      <c r="E1104" t="s">
        <v>34</v>
      </c>
      <c r="F1104">
        <v>10</v>
      </c>
      <c r="G1104">
        <v>5</v>
      </c>
      <c r="H1104" t="s">
        <v>56</v>
      </c>
      <c r="I1104">
        <v>1</v>
      </c>
      <c r="J1104">
        <v>1268</v>
      </c>
      <c r="K1104">
        <v>4</v>
      </c>
      <c r="L1104" s="17" t="s">
        <v>43</v>
      </c>
      <c r="M1104">
        <v>82</v>
      </c>
      <c r="N1104">
        <v>4</v>
      </c>
      <c r="O1104">
        <v>3</v>
      </c>
      <c r="P1104" t="s">
        <v>37</v>
      </c>
      <c r="Q1104">
        <v>3</v>
      </c>
      <c r="R1104" t="s">
        <v>49</v>
      </c>
      <c r="S1104" s="6">
        <v>8380</v>
      </c>
      <c r="T1104">
        <v>21708</v>
      </c>
      <c r="U1104">
        <v>0</v>
      </c>
      <c r="V1104" t="s">
        <v>39</v>
      </c>
      <c r="W1104" t="s">
        <v>32</v>
      </c>
      <c r="X1104">
        <v>14</v>
      </c>
      <c r="Y1104">
        <v>3</v>
      </c>
      <c r="Z1104">
        <v>4</v>
      </c>
      <c r="AA1104">
        <v>80</v>
      </c>
      <c r="AB1104">
        <v>2</v>
      </c>
      <c r="AC1104">
        <v>10</v>
      </c>
      <c r="AD1104">
        <v>3</v>
      </c>
      <c r="AE1104">
        <v>3</v>
      </c>
      <c r="AF1104">
        <v>9</v>
      </c>
      <c r="AG1104">
        <v>8</v>
      </c>
      <c r="AH1104">
        <v>0</v>
      </c>
      <c r="AI1104">
        <v>8</v>
      </c>
    </row>
    <row r="1105" spans="1:35" x14ac:dyDescent="0.3">
      <c r="A1105">
        <v>53</v>
      </c>
      <c r="B1105" t="s">
        <v>40</v>
      </c>
      <c r="C1105" t="s">
        <v>33</v>
      </c>
      <c r="D1105">
        <v>238</v>
      </c>
      <c r="E1105" t="s">
        <v>34</v>
      </c>
      <c r="F1105">
        <v>1</v>
      </c>
      <c r="G1105">
        <v>1</v>
      </c>
      <c r="H1105" t="s">
        <v>48</v>
      </c>
      <c r="I1105">
        <v>1</v>
      </c>
      <c r="J1105">
        <v>682</v>
      </c>
      <c r="K1105">
        <v>4</v>
      </c>
      <c r="L1105" s="17" t="s">
        <v>36</v>
      </c>
      <c r="M1105">
        <v>34</v>
      </c>
      <c r="N1105">
        <v>3</v>
      </c>
      <c r="O1105">
        <v>2</v>
      </c>
      <c r="P1105" t="s">
        <v>37</v>
      </c>
      <c r="Q1105">
        <v>1</v>
      </c>
      <c r="R1105" t="s">
        <v>38</v>
      </c>
      <c r="S1105" s="6">
        <v>8381</v>
      </c>
      <c r="T1105">
        <v>7507</v>
      </c>
      <c r="U1105">
        <v>7</v>
      </c>
      <c r="V1105" t="s">
        <v>39</v>
      </c>
      <c r="W1105" t="s">
        <v>40</v>
      </c>
      <c r="X1105">
        <v>20</v>
      </c>
      <c r="Y1105">
        <v>4</v>
      </c>
      <c r="Z1105">
        <v>4</v>
      </c>
      <c r="AA1105">
        <v>80</v>
      </c>
      <c r="AB1105">
        <v>0</v>
      </c>
      <c r="AC1105">
        <v>18</v>
      </c>
      <c r="AD1105">
        <v>2</v>
      </c>
      <c r="AE1105">
        <v>4</v>
      </c>
      <c r="AF1105">
        <v>14</v>
      </c>
      <c r="AG1105">
        <v>7</v>
      </c>
      <c r="AH1105">
        <v>8</v>
      </c>
      <c r="AI1105">
        <v>10</v>
      </c>
    </row>
    <row r="1106" spans="1:35" x14ac:dyDescent="0.3">
      <c r="A1106">
        <v>41</v>
      </c>
      <c r="B1106" t="s">
        <v>40</v>
      </c>
      <c r="C1106" t="s">
        <v>33</v>
      </c>
      <c r="D1106">
        <v>645</v>
      </c>
      <c r="E1106" t="s">
        <v>34</v>
      </c>
      <c r="F1106">
        <v>1</v>
      </c>
      <c r="G1106">
        <v>3</v>
      </c>
      <c r="H1106" t="s">
        <v>56</v>
      </c>
      <c r="I1106">
        <v>1</v>
      </c>
      <c r="J1106">
        <v>534</v>
      </c>
      <c r="K1106">
        <v>2</v>
      </c>
      <c r="L1106" s="17" t="s">
        <v>43</v>
      </c>
      <c r="M1106">
        <v>49</v>
      </c>
      <c r="N1106">
        <v>4</v>
      </c>
      <c r="O1106">
        <v>3</v>
      </c>
      <c r="P1106" t="s">
        <v>37</v>
      </c>
      <c r="Q1106">
        <v>1</v>
      </c>
      <c r="R1106" t="s">
        <v>45</v>
      </c>
      <c r="S1106" s="6">
        <v>8392</v>
      </c>
      <c r="T1106">
        <v>19566</v>
      </c>
      <c r="U1106">
        <v>1</v>
      </c>
      <c r="V1106" t="s">
        <v>39</v>
      </c>
      <c r="W1106" t="s">
        <v>40</v>
      </c>
      <c r="X1106">
        <v>16</v>
      </c>
      <c r="Y1106">
        <v>3</v>
      </c>
      <c r="Z1106">
        <v>3</v>
      </c>
      <c r="AA1106">
        <v>80</v>
      </c>
      <c r="AB1106">
        <v>1</v>
      </c>
      <c r="AC1106">
        <v>10</v>
      </c>
      <c r="AD1106">
        <v>2</v>
      </c>
      <c r="AE1106">
        <v>3</v>
      </c>
      <c r="AF1106">
        <v>10</v>
      </c>
      <c r="AG1106">
        <v>7</v>
      </c>
      <c r="AH1106">
        <v>0</v>
      </c>
      <c r="AI1106">
        <v>7</v>
      </c>
    </row>
    <row r="1107" spans="1:35" x14ac:dyDescent="0.3">
      <c r="A1107">
        <v>40</v>
      </c>
      <c r="B1107" t="s">
        <v>40</v>
      </c>
      <c r="C1107" t="s">
        <v>33</v>
      </c>
      <c r="D1107">
        <v>300</v>
      </c>
      <c r="E1107" t="s">
        <v>34</v>
      </c>
      <c r="F1107">
        <v>26</v>
      </c>
      <c r="G1107">
        <v>3</v>
      </c>
      <c r="H1107" t="s">
        <v>56</v>
      </c>
      <c r="I1107">
        <v>1</v>
      </c>
      <c r="J1107">
        <v>1066</v>
      </c>
      <c r="K1107">
        <v>3</v>
      </c>
      <c r="L1107" s="17" t="s">
        <v>43</v>
      </c>
      <c r="M1107">
        <v>74</v>
      </c>
      <c r="N1107">
        <v>3</v>
      </c>
      <c r="O1107">
        <v>2</v>
      </c>
      <c r="P1107" t="s">
        <v>37</v>
      </c>
      <c r="Q1107">
        <v>1</v>
      </c>
      <c r="R1107" t="s">
        <v>45</v>
      </c>
      <c r="S1107" s="6">
        <v>8396</v>
      </c>
      <c r="T1107">
        <v>22217</v>
      </c>
      <c r="U1107">
        <v>1</v>
      </c>
      <c r="V1107" t="s">
        <v>39</v>
      </c>
      <c r="W1107" t="s">
        <v>40</v>
      </c>
      <c r="X1107">
        <v>14</v>
      </c>
      <c r="Y1107">
        <v>3</v>
      </c>
      <c r="Z1107">
        <v>2</v>
      </c>
      <c r="AA1107">
        <v>80</v>
      </c>
      <c r="AB1107">
        <v>1</v>
      </c>
      <c r="AC1107">
        <v>8</v>
      </c>
      <c r="AD1107">
        <v>3</v>
      </c>
      <c r="AE1107">
        <v>2</v>
      </c>
      <c r="AF1107">
        <v>7</v>
      </c>
      <c r="AG1107">
        <v>7</v>
      </c>
      <c r="AH1107">
        <v>7</v>
      </c>
      <c r="AI1107">
        <v>5</v>
      </c>
    </row>
    <row r="1108" spans="1:35" x14ac:dyDescent="0.3">
      <c r="A1108">
        <v>30</v>
      </c>
      <c r="B1108" t="s">
        <v>40</v>
      </c>
      <c r="C1108" t="s">
        <v>52</v>
      </c>
      <c r="D1108">
        <v>1398</v>
      </c>
      <c r="E1108" t="s">
        <v>34</v>
      </c>
      <c r="F1108">
        <v>22</v>
      </c>
      <c r="G1108">
        <v>4</v>
      </c>
      <c r="H1108" t="s">
        <v>46</v>
      </c>
      <c r="I1108">
        <v>1</v>
      </c>
      <c r="J1108">
        <v>567</v>
      </c>
      <c r="K1108">
        <v>3</v>
      </c>
      <c r="L1108" s="17" t="s">
        <v>36</v>
      </c>
      <c r="M1108">
        <v>69</v>
      </c>
      <c r="N1108">
        <v>3</v>
      </c>
      <c r="O1108">
        <v>3</v>
      </c>
      <c r="P1108" t="s">
        <v>37</v>
      </c>
      <c r="Q1108">
        <v>1</v>
      </c>
      <c r="R1108" t="s">
        <v>45</v>
      </c>
      <c r="S1108" s="6">
        <v>8412</v>
      </c>
      <c r="T1108">
        <v>2890</v>
      </c>
      <c r="U1108">
        <v>0</v>
      </c>
      <c r="V1108" t="s">
        <v>39</v>
      </c>
      <c r="W1108" t="s">
        <v>40</v>
      </c>
      <c r="X1108">
        <v>11</v>
      </c>
      <c r="Y1108">
        <v>3</v>
      </c>
      <c r="Z1108">
        <v>3</v>
      </c>
      <c r="AA1108">
        <v>80</v>
      </c>
      <c r="AB1108">
        <v>0</v>
      </c>
      <c r="AC1108">
        <v>10</v>
      </c>
      <c r="AD1108">
        <v>3</v>
      </c>
      <c r="AE1108">
        <v>3</v>
      </c>
      <c r="AF1108">
        <v>9</v>
      </c>
      <c r="AG1108">
        <v>8</v>
      </c>
      <c r="AH1108">
        <v>7</v>
      </c>
      <c r="AI1108">
        <v>8</v>
      </c>
    </row>
    <row r="1109" spans="1:35" x14ac:dyDescent="0.3">
      <c r="A1109">
        <v>52</v>
      </c>
      <c r="B1109" t="s">
        <v>32</v>
      </c>
      <c r="C1109" t="s">
        <v>33</v>
      </c>
      <c r="D1109">
        <v>1030</v>
      </c>
      <c r="E1109" t="s">
        <v>34</v>
      </c>
      <c r="F1109">
        <v>5</v>
      </c>
      <c r="G1109">
        <v>3</v>
      </c>
      <c r="H1109" t="s">
        <v>35</v>
      </c>
      <c r="I1109">
        <v>1</v>
      </c>
      <c r="J1109">
        <v>1319</v>
      </c>
      <c r="K1109">
        <v>2</v>
      </c>
      <c r="L1109" s="17" t="s">
        <v>43</v>
      </c>
      <c r="M1109">
        <v>64</v>
      </c>
      <c r="N1109">
        <v>3</v>
      </c>
      <c r="O1109">
        <v>3</v>
      </c>
      <c r="P1109" t="s">
        <v>37</v>
      </c>
      <c r="Q1109">
        <v>2</v>
      </c>
      <c r="R1109" t="s">
        <v>38</v>
      </c>
      <c r="S1109" s="6">
        <v>8446</v>
      </c>
      <c r="T1109">
        <v>21534</v>
      </c>
      <c r="U1109">
        <v>9</v>
      </c>
      <c r="V1109" t="s">
        <v>39</v>
      </c>
      <c r="W1109" t="s">
        <v>32</v>
      </c>
      <c r="X1109">
        <v>19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2</v>
      </c>
      <c r="AF1109">
        <v>8</v>
      </c>
      <c r="AG1109">
        <v>7</v>
      </c>
      <c r="AH1109">
        <v>7</v>
      </c>
      <c r="AI1109">
        <v>7</v>
      </c>
    </row>
    <row r="1110" spans="1:35" x14ac:dyDescent="0.3">
      <c r="A1110">
        <v>28</v>
      </c>
      <c r="B1110" t="s">
        <v>40</v>
      </c>
      <c r="C1110" t="s">
        <v>33</v>
      </c>
      <c r="D1110">
        <v>866</v>
      </c>
      <c r="E1110" t="s">
        <v>34</v>
      </c>
      <c r="F1110">
        <v>5</v>
      </c>
      <c r="G1110">
        <v>3</v>
      </c>
      <c r="H1110" t="s">
        <v>48</v>
      </c>
      <c r="I1110">
        <v>1</v>
      </c>
      <c r="J1110">
        <v>1469</v>
      </c>
      <c r="K1110">
        <v>4</v>
      </c>
      <c r="L1110" s="17" t="s">
        <v>43</v>
      </c>
      <c r="M1110">
        <v>84</v>
      </c>
      <c r="N1110">
        <v>3</v>
      </c>
      <c r="O1110">
        <v>2</v>
      </c>
      <c r="P1110" t="s">
        <v>37</v>
      </c>
      <c r="Q1110">
        <v>1</v>
      </c>
      <c r="R1110" t="s">
        <v>38</v>
      </c>
      <c r="S1110" s="6">
        <v>8463</v>
      </c>
      <c r="T1110">
        <v>23490</v>
      </c>
      <c r="U1110">
        <v>0</v>
      </c>
      <c r="V1110" t="s">
        <v>39</v>
      </c>
      <c r="W1110" t="s">
        <v>40</v>
      </c>
      <c r="X1110">
        <v>18</v>
      </c>
      <c r="Y1110">
        <v>3</v>
      </c>
      <c r="Z1110">
        <v>4</v>
      </c>
      <c r="AA1110">
        <v>80</v>
      </c>
      <c r="AB1110">
        <v>0</v>
      </c>
      <c r="AC1110">
        <v>6</v>
      </c>
      <c r="AD1110">
        <v>4</v>
      </c>
      <c r="AE1110">
        <v>3</v>
      </c>
      <c r="AF1110">
        <v>5</v>
      </c>
      <c r="AG1110">
        <v>4</v>
      </c>
      <c r="AH1110">
        <v>1</v>
      </c>
      <c r="AI1110">
        <v>3</v>
      </c>
    </row>
    <row r="1111" spans="1:35" x14ac:dyDescent="0.3">
      <c r="A1111">
        <v>30</v>
      </c>
      <c r="B1111" t="s">
        <v>40</v>
      </c>
      <c r="C1111" t="s">
        <v>52</v>
      </c>
      <c r="D1111">
        <v>829</v>
      </c>
      <c r="E1111" t="s">
        <v>42</v>
      </c>
      <c r="F1111">
        <v>1</v>
      </c>
      <c r="G1111">
        <v>1</v>
      </c>
      <c r="H1111" t="s">
        <v>35</v>
      </c>
      <c r="I1111">
        <v>1</v>
      </c>
      <c r="J1111">
        <v>292</v>
      </c>
      <c r="K1111">
        <v>3</v>
      </c>
      <c r="L1111" s="17" t="s">
        <v>43</v>
      </c>
      <c r="M1111">
        <v>88</v>
      </c>
      <c r="N1111">
        <v>2</v>
      </c>
      <c r="O1111">
        <v>3</v>
      </c>
      <c r="P1111" t="s">
        <v>50</v>
      </c>
      <c r="Q1111">
        <v>3</v>
      </c>
      <c r="R1111" t="s">
        <v>38</v>
      </c>
      <c r="S1111" s="6">
        <v>8474</v>
      </c>
      <c r="T1111">
        <v>20925</v>
      </c>
      <c r="U1111">
        <v>1</v>
      </c>
      <c r="V1111" t="s">
        <v>39</v>
      </c>
      <c r="W1111" t="s">
        <v>40</v>
      </c>
      <c r="X1111">
        <v>22</v>
      </c>
      <c r="Y1111">
        <v>4</v>
      </c>
      <c r="Z1111">
        <v>3</v>
      </c>
      <c r="AA1111">
        <v>80</v>
      </c>
      <c r="AB1111">
        <v>0</v>
      </c>
      <c r="AC1111">
        <v>12</v>
      </c>
      <c r="AD1111">
        <v>2</v>
      </c>
      <c r="AE1111">
        <v>3</v>
      </c>
      <c r="AF1111">
        <v>11</v>
      </c>
      <c r="AG1111">
        <v>8</v>
      </c>
      <c r="AH1111">
        <v>5</v>
      </c>
      <c r="AI1111">
        <v>8</v>
      </c>
    </row>
    <row r="1112" spans="1:35" x14ac:dyDescent="0.3">
      <c r="A1112">
        <v>34</v>
      </c>
      <c r="B1112" t="s">
        <v>40</v>
      </c>
      <c r="C1112" t="s">
        <v>33</v>
      </c>
      <c r="D1112">
        <v>943</v>
      </c>
      <c r="E1112" t="s">
        <v>42</v>
      </c>
      <c r="F1112">
        <v>9</v>
      </c>
      <c r="G1112">
        <v>3</v>
      </c>
      <c r="H1112" t="s">
        <v>35</v>
      </c>
      <c r="I1112">
        <v>1</v>
      </c>
      <c r="J1112">
        <v>1344</v>
      </c>
      <c r="K1112">
        <v>4</v>
      </c>
      <c r="L1112" s="17" t="s">
        <v>43</v>
      </c>
      <c r="M1112">
        <v>86</v>
      </c>
      <c r="N1112">
        <v>3</v>
      </c>
      <c r="O1112">
        <v>3</v>
      </c>
      <c r="P1112" t="s">
        <v>51</v>
      </c>
      <c r="Q1112">
        <v>4</v>
      </c>
      <c r="R1112" t="s">
        <v>49</v>
      </c>
      <c r="S1112" s="6">
        <v>8500</v>
      </c>
      <c r="T1112">
        <v>5494</v>
      </c>
      <c r="U1112">
        <v>0</v>
      </c>
      <c r="V1112" t="s">
        <v>39</v>
      </c>
      <c r="W1112" t="s">
        <v>40</v>
      </c>
      <c r="X1112">
        <v>11</v>
      </c>
      <c r="Y1112">
        <v>3</v>
      </c>
      <c r="Z1112">
        <v>4</v>
      </c>
      <c r="AA1112">
        <v>80</v>
      </c>
      <c r="AB1112">
        <v>1</v>
      </c>
      <c r="AC1112">
        <v>10</v>
      </c>
      <c r="AD1112">
        <v>0</v>
      </c>
      <c r="AE1112">
        <v>2</v>
      </c>
      <c r="AF1112">
        <v>9</v>
      </c>
      <c r="AG1112">
        <v>7</v>
      </c>
      <c r="AH1112">
        <v>1</v>
      </c>
      <c r="AI1112">
        <v>6</v>
      </c>
    </row>
    <row r="1113" spans="1:35" x14ac:dyDescent="0.3">
      <c r="A1113">
        <v>33</v>
      </c>
      <c r="B1113" t="s">
        <v>32</v>
      </c>
      <c r="C1113" t="s">
        <v>33</v>
      </c>
      <c r="D1113">
        <v>211</v>
      </c>
      <c r="E1113" t="s">
        <v>34</v>
      </c>
      <c r="F1113">
        <v>16</v>
      </c>
      <c r="G1113">
        <v>3</v>
      </c>
      <c r="H1113" t="s">
        <v>35</v>
      </c>
      <c r="I1113">
        <v>1</v>
      </c>
      <c r="J1113">
        <v>1758</v>
      </c>
      <c r="K1113">
        <v>1</v>
      </c>
      <c r="L1113" s="17" t="s">
        <v>36</v>
      </c>
      <c r="M1113">
        <v>74</v>
      </c>
      <c r="N1113">
        <v>3</v>
      </c>
      <c r="O1113">
        <v>3</v>
      </c>
      <c r="P1113" t="s">
        <v>37</v>
      </c>
      <c r="Q1113">
        <v>1</v>
      </c>
      <c r="R1113" t="s">
        <v>38</v>
      </c>
      <c r="S1113" s="6">
        <v>8564</v>
      </c>
      <c r="T1113">
        <v>10092</v>
      </c>
      <c r="U1113">
        <v>2</v>
      </c>
      <c r="V1113" t="s">
        <v>39</v>
      </c>
      <c r="W1113" t="s">
        <v>32</v>
      </c>
      <c r="X1113">
        <v>20</v>
      </c>
      <c r="Y1113">
        <v>4</v>
      </c>
      <c r="Z1113">
        <v>3</v>
      </c>
      <c r="AA1113">
        <v>80</v>
      </c>
      <c r="AB1113">
        <v>0</v>
      </c>
      <c r="AC1113">
        <v>11</v>
      </c>
      <c r="AD1113">
        <v>2</v>
      </c>
      <c r="AE1113">
        <v>2</v>
      </c>
      <c r="AF1113">
        <v>0</v>
      </c>
      <c r="AG1113">
        <v>0</v>
      </c>
      <c r="AH1113">
        <v>0</v>
      </c>
      <c r="AI1113">
        <v>0</v>
      </c>
    </row>
    <row r="1114" spans="1:35" x14ac:dyDescent="0.3">
      <c r="A1114">
        <v>46</v>
      </c>
      <c r="B1114" t="s">
        <v>40</v>
      </c>
      <c r="C1114" t="s">
        <v>33</v>
      </c>
      <c r="D1114">
        <v>706</v>
      </c>
      <c r="E1114" t="s">
        <v>42</v>
      </c>
      <c r="F1114">
        <v>2</v>
      </c>
      <c r="G1114">
        <v>2</v>
      </c>
      <c r="H1114" t="s">
        <v>35</v>
      </c>
      <c r="I1114">
        <v>1</v>
      </c>
      <c r="J1114">
        <v>1857</v>
      </c>
      <c r="K1114">
        <v>4</v>
      </c>
      <c r="L1114" s="17" t="s">
        <v>43</v>
      </c>
      <c r="M1114">
        <v>82</v>
      </c>
      <c r="N1114">
        <v>3</v>
      </c>
      <c r="O1114">
        <v>3</v>
      </c>
      <c r="P1114" t="s">
        <v>50</v>
      </c>
      <c r="Q1114">
        <v>4</v>
      </c>
      <c r="R1114" t="s">
        <v>49</v>
      </c>
      <c r="S1114" s="6">
        <v>8578</v>
      </c>
      <c r="T1114">
        <v>19989</v>
      </c>
      <c r="U1114">
        <v>3</v>
      </c>
      <c r="V1114" t="s">
        <v>39</v>
      </c>
      <c r="W1114" t="s">
        <v>40</v>
      </c>
      <c r="X1114">
        <v>14</v>
      </c>
      <c r="Y1114">
        <v>3</v>
      </c>
      <c r="Z1114">
        <v>3</v>
      </c>
      <c r="AA1114">
        <v>80</v>
      </c>
      <c r="AB1114">
        <v>1</v>
      </c>
      <c r="AC1114">
        <v>12</v>
      </c>
      <c r="AD1114">
        <v>4</v>
      </c>
      <c r="AE1114">
        <v>2</v>
      </c>
      <c r="AF1114">
        <v>9</v>
      </c>
      <c r="AG1114">
        <v>8</v>
      </c>
      <c r="AH1114">
        <v>4</v>
      </c>
      <c r="AI1114">
        <v>7</v>
      </c>
    </row>
    <row r="1115" spans="1:35" x14ac:dyDescent="0.3">
      <c r="A1115">
        <v>35</v>
      </c>
      <c r="B1115" t="s">
        <v>40</v>
      </c>
      <c r="C1115" t="s">
        <v>33</v>
      </c>
      <c r="D1115">
        <v>1029</v>
      </c>
      <c r="E1115" t="s">
        <v>42</v>
      </c>
      <c r="F1115">
        <v>16</v>
      </c>
      <c r="G1115">
        <v>3</v>
      </c>
      <c r="H1115" t="s">
        <v>35</v>
      </c>
      <c r="I1115">
        <v>1</v>
      </c>
      <c r="J1115">
        <v>1529</v>
      </c>
      <c r="K1115">
        <v>4</v>
      </c>
      <c r="L1115" s="17" t="s">
        <v>36</v>
      </c>
      <c r="M1115">
        <v>91</v>
      </c>
      <c r="N1115">
        <v>2</v>
      </c>
      <c r="O1115">
        <v>3</v>
      </c>
      <c r="P1115" t="s">
        <v>51</v>
      </c>
      <c r="Q1115">
        <v>2</v>
      </c>
      <c r="R1115" t="s">
        <v>38</v>
      </c>
      <c r="S1115" s="6">
        <v>8606</v>
      </c>
      <c r="T1115">
        <v>21195</v>
      </c>
      <c r="U1115">
        <v>1</v>
      </c>
      <c r="V1115" t="s">
        <v>39</v>
      </c>
      <c r="W1115" t="s">
        <v>40</v>
      </c>
      <c r="X1115">
        <v>19</v>
      </c>
      <c r="Y1115">
        <v>3</v>
      </c>
      <c r="Z1115">
        <v>4</v>
      </c>
      <c r="AA1115">
        <v>80</v>
      </c>
      <c r="AB1115">
        <v>0</v>
      </c>
      <c r="AC1115">
        <v>11</v>
      </c>
      <c r="AD1115">
        <v>3</v>
      </c>
      <c r="AE1115">
        <v>1</v>
      </c>
      <c r="AF1115">
        <v>11</v>
      </c>
      <c r="AG1115">
        <v>8</v>
      </c>
      <c r="AH1115">
        <v>3</v>
      </c>
      <c r="AI1115">
        <v>3</v>
      </c>
    </row>
    <row r="1116" spans="1:35" x14ac:dyDescent="0.3">
      <c r="A1116">
        <v>29</v>
      </c>
      <c r="B1116" t="s">
        <v>40</v>
      </c>
      <c r="C1116" t="s">
        <v>33</v>
      </c>
      <c r="D1116">
        <v>1246</v>
      </c>
      <c r="E1116" t="s">
        <v>34</v>
      </c>
      <c r="F1116">
        <v>19</v>
      </c>
      <c r="G1116">
        <v>3</v>
      </c>
      <c r="H1116" t="s">
        <v>35</v>
      </c>
      <c r="I1116">
        <v>1</v>
      </c>
      <c r="J1116">
        <v>1497</v>
      </c>
      <c r="K1116">
        <v>3</v>
      </c>
      <c r="L1116" s="17" t="s">
        <v>43</v>
      </c>
      <c r="M1116">
        <v>77</v>
      </c>
      <c r="N1116">
        <v>2</v>
      </c>
      <c r="O1116">
        <v>2</v>
      </c>
      <c r="P1116" t="s">
        <v>37</v>
      </c>
      <c r="Q1116">
        <v>3</v>
      </c>
      <c r="R1116" t="s">
        <v>49</v>
      </c>
      <c r="S1116" s="6">
        <v>8620</v>
      </c>
      <c r="T1116">
        <v>23757</v>
      </c>
      <c r="U1116">
        <v>1</v>
      </c>
      <c r="V1116" t="s">
        <v>39</v>
      </c>
      <c r="W1116" t="s">
        <v>40</v>
      </c>
      <c r="X1116">
        <v>14</v>
      </c>
      <c r="Y1116">
        <v>3</v>
      </c>
      <c r="Z1116">
        <v>3</v>
      </c>
      <c r="AA1116">
        <v>80</v>
      </c>
      <c r="AB1116">
        <v>2</v>
      </c>
      <c r="AC1116">
        <v>10</v>
      </c>
      <c r="AD1116">
        <v>3</v>
      </c>
      <c r="AE1116">
        <v>3</v>
      </c>
      <c r="AF1116">
        <v>10</v>
      </c>
      <c r="AG1116">
        <v>7</v>
      </c>
      <c r="AH1116">
        <v>0</v>
      </c>
      <c r="AI1116">
        <v>4</v>
      </c>
    </row>
    <row r="1117" spans="1:35" x14ac:dyDescent="0.3">
      <c r="A1117">
        <v>34</v>
      </c>
      <c r="B1117" t="s">
        <v>40</v>
      </c>
      <c r="C1117" t="s">
        <v>33</v>
      </c>
      <c r="D1117">
        <v>1442</v>
      </c>
      <c r="E1117" t="s">
        <v>42</v>
      </c>
      <c r="F1117">
        <v>9</v>
      </c>
      <c r="G1117">
        <v>3</v>
      </c>
      <c r="H1117" t="s">
        <v>48</v>
      </c>
      <c r="I1117">
        <v>1</v>
      </c>
      <c r="J1117">
        <v>717</v>
      </c>
      <c r="K1117">
        <v>4</v>
      </c>
      <c r="L1117" s="17" t="s">
        <v>36</v>
      </c>
      <c r="M1117">
        <v>46</v>
      </c>
      <c r="N1117">
        <v>2</v>
      </c>
      <c r="O1117">
        <v>3</v>
      </c>
      <c r="P1117" t="s">
        <v>51</v>
      </c>
      <c r="Q1117">
        <v>2</v>
      </c>
      <c r="R1117" t="s">
        <v>38</v>
      </c>
      <c r="S1117" s="6">
        <v>8621</v>
      </c>
      <c r="T1117">
        <v>17654</v>
      </c>
      <c r="U1117">
        <v>1</v>
      </c>
      <c r="V1117" t="s">
        <v>39</v>
      </c>
      <c r="W1117" t="s">
        <v>40</v>
      </c>
      <c r="X1117">
        <v>14</v>
      </c>
      <c r="Y1117">
        <v>3</v>
      </c>
      <c r="Z1117">
        <v>2</v>
      </c>
      <c r="AA1117">
        <v>80</v>
      </c>
      <c r="AB1117">
        <v>0</v>
      </c>
      <c r="AC1117">
        <v>9</v>
      </c>
      <c r="AD1117">
        <v>3</v>
      </c>
      <c r="AE1117">
        <v>4</v>
      </c>
      <c r="AF1117">
        <v>8</v>
      </c>
      <c r="AG1117">
        <v>7</v>
      </c>
      <c r="AH1117">
        <v>7</v>
      </c>
      <c r="AI1117">
        <v>7</v>
      </c>
    </row>
    <row r="1118" spans="1:35" x14ac:dyDescent="0.3">
      <c r="A1118">
        <v>34</v>
      </c>
      <c r="B1118" t="s">
        <v>40</v>
      </c>
      <c r="C1118" t="s">
        <v>33</v>
      </c>
      <c r="D1118">
        <v>1239</v>
      </c>
      <c r="E1118" t="s">
        <v>34</v>
      </c>
      <c r="F1118">
        <v>13</v>
      </c>
      <c r="G1118">
        <v>4</v>
      </c>
      <c r="H1118" t="s">
        <v>48</v>
      </c>
      <c r="I1118">
        <v>1</v>
      </c>
      <c r="J1118">
        <v>1951</v>
      </c>
      <c r="K1118">
        <v>4</v>
      </c>
      <c r="L1118" s="17" t="s">
        <v>43</v>
      </c>
      <c r="M1118">
        <v>39</v>
      </c>
      <c r="N1118">
        <v>3</v>
      </c>
      <c r="O1118">
        <v>3</v>
      </c>
      <c r="P1118" t="s">
        <v>37</v>
      </c>
      <c r="Q1118">
        <v>3</v>
      </c>
      <c r="R1118" t="s">
        <v>49</v>
      </c>
      <c r="S1118" s="6">
        <v>8628</v>
      </c>
      <c r="T1118">
        <v>22914</v>
      </c>
      <c r="U1118">
        <v>1</v>
      </c>
      <c r="V1118" t="s">
        <v>39</v>
      </c>
      <c r="W1118" t="s">
        <v>40</v>
      </c>
      <c r="X1118">
        <v>18</v>
      </c>
      <c r="Y1118">
        <v>3</v>
      </c>
      <c r="Z1118">
        <v>3</v>
      </c>
      <c r="AA1118">
        <v>80</v>
      </c>
      <c r="AB1118">
        <v>1</v>
      </c>
      <c r="AC1118">
        <v>9</v>
      </c>
      <c r="AD1118">
        <v>2</v>
      </c>
      <c r="AE1118">
        <v>2</v>
      </c>
      <c r="AF1118">
        <v>8</v>
      </c>
      <c r="AG1118">
        <v>7</v>
      </c>
      <c r="AH1118">
        <v>1</v>
      </c>
      <c r="AI1118">
        <v>1</v>
      </c>
    </row>
    <row r="1119" spans="1:35" x14ac:dyDescent="0.3">
      <c r="A1119">
        <v>47</v>
      </c>
      <c r="B1119" t="s">
        <v>40</v>
      </c>
      <c r="C1119" t="s">
        <v>33</v>
      </c>
      <c r="D1119">
        <v>1180</v>
      </c>
      <c r="E1119" t="s">
        <v>42</v>
      </c>
      <c r="F1119">
        <v>25</v>
      </c>
      <c r="G1119">
        <v>3</v>
      </c>
      <c r="H1119" t="s">
        <v>48</v>
      </c>
      <c r="I1119">
        <v>1</v>
      </c>
      <c r="J1119">
        <v>1993</v>
      </c>
      <c r="K1119">
        <v>1</v>
      </c>
      <c r="L1119" s="17" t="s">
        <v>43</v>
      </c>
      <c r="M1119">
        <v>84</v>
      </c>
      <c r="N1119">
        <v>3</v>
      </c>
      <c r="O1119">
        <v>3</v>
      </c>
      <c r="P1119" t="s">
        <v>51</v>
      </c>
      <c r="Q1119">
        <v>3</v>
      </c>
      <c r="R1119" t="s">
        <v>38</v>
      </c>
      <c r="S1119" s="6">
        <v>8633</v>
      </c>
      <c r="T1119">
        <v>13084</v>
      </c>
      <c r="U1119">
        <v>2</v>
      </c>
      <c r="V1119" t="s">
        <v>39</v>
      </c>
      <c r="W1119" t="s">
        <v>40</v>
      </c>
      <c r="X1119">
        <v>23</v>
      </c>
      <c r="Y1119">
        <v>4</v>
      </c>
      <c r="Z1119">
        <v>2</v>
      </c>
      <c r="AA1119">
        <v>80</v>
      </c>
      <c r="AB1119">
        <v>0</v>
      </c>
      <c r="AC1119">
        <v>25</v>
      </c>
      <c r="AD1119">
        <v>3</v>
      </c>
      <c r="AE1119">
        <v>3</v>
      </c>
      <c r="AF1119">
        <v>17</v>
      </c>
      <c r="AG1119">
        <v>14</v>
      </c>
      <c r="AH1119">
        <v>12</v>
      </c>
      <c r="AI1119">
        <v>11</v>
      </c>
    </row>
    <row r="1120" spans="1:35" x14ac:dyDescent="0.3">
      <c r="A1120">
        <v>25</v>
      </c>
      <c r="B1120" t="s">
        <v>40</v>
      </c>
      <c r="C1120" t="s">
        <v>33</v>
      </c>
      <c r="D1120">
        <v>959</v>
      </c>
      <c r="E1120" t="s">
        <v>34</v>
      </c>
      <c r="F1120">
        <v>28</v>
      </c>
      <c r="G1120">
        <v>3</v>
      </c>
      <c r="H1120" t="s">
        <v>35</v>
      </c>
      <c r="I1120">
        <v>1</v>
      </c>
      <c r="J1120">
        <v>183</v>
      </c>
      <c r="K1120">
        <v>1</v>
      </c>
      <c r="L1120" s="17" t="s">
        <v>43</v>
      </c>
      <c r="M1120">
        <v>41</v>
      </c>
      <c r="N1120">
        <v>2</v>
      </c>
      <c r="O1120">
        <v>2</v>
      </c>
      <c r="P1120" t="s">
        <v>37</v>
      </c>
      <c r="Q1120">
        <v>3</v>
      </c>
      <c r="R1120" t="s">
        <v>45</v>
      </c>
      <c r="S1120" s="6">
        <v>8639</v>
      </c>
      <c r="T1120">
        <v>24835</v>
      </c>
      <c r="U1120">
        <v>2</v>
      </c>
      <c r="V1120" t="s">
        <v>39</v>
      </c>
      <c r="W1120" t="s">
        <v>40</v>
      </c>
      <c r="X1120">
        <v>18</v>
      </c>
      <c r="Y1120">
        <v>3</v>
      </c>
      <c r="Z1120">
        <v>4</v>
      </c>
      <c r="AA1120">
        <v>80</v>
      </c>
      <c r="AB1120">
        <v>0</v>
      </c>
      <c r="AC1120">
        <v>6</v>
      </c>
      <c r="AD1120">
        <v>3</v>
      </c>
      <c r="AE1120">
        <v>3</v>
      </c>
      <c r="AF1120">
        <v>2</v>
      </c>
      <c r="AG1120">
        <v>2</v>
      </c>
      <c r="AH1120">
        <v>2</v>
      </c>
      <c r="AI1120">
        <v>2</v>
      </c>
    </row>
    <row r="1121" spans="1:35" x14ac:dyDescent="0.3">
      <c r="A1121">
        <v>38</v>
      </c>
      <c r="B1121" t="s">
        <v>40</v>
      </c>
      <c r="C1121" t="s">
        <v>33</v>
      </c>
      <c r="D1121">
        <v>702</v>
      </c>
      <c r="E1121" t="s">
        <v>34</v>
      </c>
      <c r="F1121">
        <v>1</v>
      </c>
      <c r="G1121">
        <v>4</v>
      </c>
      <c r="H1121" t="s">
        <v>35</v>
      </c>
      <c r="I1121">
        <v>1</v>
      </c>
      <c r="J1121">
        <v>230</v>
      </c>
      <c r="K1121">
        <v>1</v>
      </c>
      <c r="L1121" s="17" t="s">
        <v>36</v>
      </c>
      <c r="M1121">
        <v>59</v>
      </c>
      <c r="N1121">
        <v>2</v>
      </c>
      <c r="O1121">
        <v>2</v>
      </c>
      <c r="P1121" t="s">
        <v>37</v>
      </c>
      <c r="Q1121">
        <v>4</v>
      </c>
      <c r="R1121" t="s">
        <v>38</v>
      </c>
      <c r="S1121" s="6">
        <v>8686</v>
      </c>
      <c r="T1121">
        <v>12930</v>
      </c>
      <c r="U1121">
        <v>4</v>
      </c>
      <c r="V1121" t="s">
        <v>39</v>
      </c>
      <c r="W1121" t="s">
        <v>40</v>
      </c>
      <c r="X1121">
        <v>22</v>
      </c>
      <c r="Y1121">
        <v>4</v>
      </c>
      <c r="Z1121">
        <v>3</v>
      </c>
      <c r="AA1121">
        <v>80</v>
      </c>
      <c r="AB1121">
        <v>0</v>
      </c>
      <c r="AC1121">
        <v>12</v>
      </c>
      <c r="AD1121">
        <v>2</v>
      </c>
      <c r="AE1121">
        <v>4</v>
      </c>
      <c r="AF1121">
        <v>8</v>
      </c>
      <c r="AG1121">
        <v>3</v>
      </c>
      <c r="AH1121">
        <v>0</v>
      </c>
      <c r="AI1121">
        <v>7</v>
      </c>
    </row>
    <row r="1122" spans="1:35" x14ac:dyDescent="0.3">
      <c r="A1122">
        <v>28</v>
      </c>
      <c r="B1122" t="s">
        <v>32</v>
      </c>
      <c r="C1122" t="s">
        <v>52</v>
      </c>
      <c r="D1122">
        <v>1366</v>
      </c>
      <c r="E1122" t="s">
        <v>42</v>
      </c>
      <c r="F1122">
        <v>24</v>
      </c>
      <c r="G1122">
        <v>2</v>
      </c>
      <c r="H1122" t="s">
        <v>57</v>
      </c>
      <c r="I1122">
        <v>1</v>
      </c>
      <c r="J1122">
        <v>1082</v>
      </c>
      <c r="K1122">
        <v>2</v>
      </c>
      <c r="L1122" s="17" t="s">
        <v>43</v>
      </c>
      <c r="M1122">
        <v>72</v>
      </c>
      <c r="N1122">
        <v>2</v>
      </c>
      <c r="O1122">
        <v>3</v>
      </c>
      <c r="P1122" t="s">
        <v>51</v>
      </c>
      <c r="Q1122">
        <v>1</v>
      </c>
      <c r="R1122" t="s">
        <v>38</v>
      </c>
      <c r="S1122" s="6">
        <v>8722</v>
      </c>
      <c r="T1122">
        <v>12355</v>
      </c>
      <c r="U1122">
        <v>1</v>
      </c>
      <c r="V1122" t="s">
        <v>39</v>
      </c>
      <c r="W1122" t="s">
        <v>40</v>
      </c>
      <c r="X1122">
        <v>12</v>
      </c>
      <c r="Y1122">
        <v>3</v>
      </c>
      <c r="Z1122">
        <v>1</v>
      </c>
      <c r="AA1122">
        <v>80</v>
      </c>
      <c r="AB1122">
        <v>0</v>
      </c>
      <c r="AC1122">
        <v>10</v>
      </c>
      <c r="AD1122">
        <v>2</v>
      </c>
      <c r="AE1122">
        <v>2</v>
      </c>
      <c r="AF1122">
        <v>10</v>
      </c>
      <c r="AG1122">
        <v>7</v>
      </c>
      <c r="AH1122">
        <v>1</v>
      </c>
      <c r="AI1122">
        <v>9</v>
      </c>
    </row>
    <row r="1123" spans="1:35" x14ac:dyDescent="0.3">
      <c r="A1123">
        <v>27</v>
      </c>
      <c r="B1123" t="s">
        <v>40</v>
      </c>
      <c r="C1123" t="s">
        <v>41</v>
      </c>
      <c r="D1123">
        <v>994</v>
      </c>
      <c r="E1123" t="s">
        <v>34</v>
      </c>
      <c r="F1123">
        <v>8</v>
      </c>
      <c r="G1123">
        <v>3</v>
      </c>
      <c r="H1123" t="s">
        <v>35</v>
      </c>
      <c r="I1123">
        <v>1</v>
      </c>
      <c r="J1123">
        <v>56</v>
      </c>
      <c r="K1123">
        <v>4</v>
      </c>
      <c r="L1123" s="17" t="s">
        <v>43</v>
      </c>
      <c r="M1123">
        <v>37</v>
      </c>
      <c r="N1123">
        <v>3</v>
      </c>
      <c r="O1123">
        <v>3</v>
      </c>
      <c r="P1123" t="s">
        <v>37</v>
      </c>
      <c r="Q1123">
        <v>3</v>
      </c>
      <c r="R1123" t="s">
        <v>38</v>
      </c>
      <c r="S1123" s="6">
        <v>8726</v>
      </c>
      <c r="T1123">
        <v>2975</v>
      </c>
      <c r="U1123">
        <v>1</v>
      </c>
      <c r="V1123" t="s">
        <v>39</v>
      </c>
      <c r="W1123" t="s">
        <v>40</v>
      </c>
      <c r="X1123">
        <v>15</v>
      </c>
      <c r="Y1123">
        <v>3</v>
      </c>
      <c r="Z1123">
        <v>4</v>
      </c>
      <c r="AA1123">
        <v>80</v>
      </c>
      <c r="AB1123">
        <v>0</v>
      </c>
      <c r="AC1123">
        <v>9</v>
      </c>
      <c r="AD1123">
        <v>0</v>
      </c>
      <c r="AE1123">
        <v>3</v>
      </c>
      <c r="AF1123">
        <v>9</v>
      </c>
      <c r="AG1123">
        <v>8</v>
      </c>
      <c r="AH1123">
        <v>1</v>
      </c>
      <c r="AI1123">
        <v>7</v>
      </c>
    </row>
    <row r="1124" spans="1:35" x14ac:dyDescent="0.3">
      <c r="A1124">
        <v>38</v>
      </c>
      <c r="B1124" t="s">
        <v>40</v>
      </c>
      <c r="C1124" t="s">
        <v>33</v>
      </c>
      <c r="D1124">
        <v>770</v>
      </c>
      <c r="E1124" t="s">
        <v>34</v>
      </c>
      <c r="F1124">
        <v>10</v>
      </c>
      <c r="G1124">
        <v>4</v>
      </c>
      <c r="H1124" t="s">
        <v>56</v>
      </c>
      <c r="I1124">
        <v>1</v>
      </c>
      <c r="J1124">
        <v>1119</v>
      </c>
      <c r="K1124">
        <v>3</v>
      </c>
      <c r="L1124" s="17" t="s">
        <v>43</v>
      </c>
      <c r="M1124">
        <v>73</v>
      </c>
      <c r="N1124">
        <v>2</v>
      </c>
      <c r="O1124">
        <v>3</v>
      </c>
      <c r="P1124" t="s">
        <v>37</v>
      </c>
      <c r="Q1124">
        <v>3</v>
      </c>
      <c r="R1124" t="s">
        <v>49</v>
      </c>
      <c r="S1124" s="6">
        <v>8740</v>
      </c>
      <c r="T1124">
        <v>5569</v>
      </c>
      <c r="U1124">
        <v>0</v>
      </c>
      <c r="V1124" t="s">
        <v>39</v>
      </c>
      <c r="W1124" t="s">
        <v>32</v>
      </c>
      <c r="X1124">
        <v>14</v>
      </c>
      <c r="Y1124">
        <v>3</v>
      </c>
      <c r="Z1124">
        <v>2</v>
      </c>
      <c r="AA1124">
        <v>80</v>
      </c>
      <c r="AB1124">
        <v>2</v>
      </c>
      <c r="AC1124">
        <v>9</v>
      </c>
      <c r="AD1124">
        <v>2</v>
      </c>
      <c r="AE1124">
        <v>3</v>
      </c>
      <c r="AF1124">
        <v>8</v>
      </c>
      <c r="AG1124">
        <v>7</v>
      </c>
      <c r="AH1124">
        <v>2</v>
      </c>
      <c r="AI1124">
        <v>7</v>
      </c>
    </row>
    <row r="1125" spans="1:35" x14ac:dyDescent="0.3">
      <c r="A1125">
        <v>35</v>
      </c>
      <c r="B1125" t="s">
        <v>40</v>
      </c>
      <c r="C1125" t="s">
        <v>41</v>
      </c>
      <c r="D1125">
        <v>944</v>
      </c>
      <c r="E1125" t="s">
        <v>34</v>
      </c>
      <c r="F1125">
        <v>1</v>
      </c>
      <c r="G1125">
        <v>3</v>
      </c>
      <c r="H1125" t="s">
        <v>56</v>
      </c>
      <c r="I1125">
        <v>1</v>
      </c>
      <c r="J1125">
        <v>314</v>
      </c>
      <c r="K1125">
        <v>3</v>
      </c>
      <c r="L1125" s="17" t="s">
        <v>36</v>
      </c>
      <c r="M1125">
        <v>92</v>
      </c>
      <c r="N1125">
        <v>3</v>
      </c>
      <c r="O1125">
        <v>3</v>
      </c>
      <c r="P1125" t="s">
        <v>37</v>
      </c>
      <c r="Q1125">
        <v>3</v>
      </c>
      <c r="R1125" t="s">
        <v>38</v>
      </c>
      <c r="S1125" s="6">
        <v>8789</v>
      </c>
      <c r="T1125">
        <v>9096</v>
      </c>
      <c r="U1125">
        <v>1</v>
      </c>
      <c r="V1125" t="s">
        <v>39</v>
      </c>
      <c r="W1125" t="s">
        <v>40</v>
      </c>
      <c r="X1125">
        <v>14</v>
      </c>
      <c r="Y1125">
        <v>3</v>
      </c>
      <c r="Z1125">
        <v>1</v>
      </c>
      <c r="AA1125">
        <v>80</v>
      </c>
      <c r="AB1125">
        <v>0</v>
      </c>
      <c r="AC1125">
        <v>10</v>
      </c>
      <c r="AD1125">
        <v>3</v>
      </c>
      <c r="AE1125">
        <v>4</v>
      </c>
      <c r="AF1125">
        <v>10</v>
      </c>
      <c r="AG1125">
        <v>7</v>
      </c>
      <c r="AH1125">
        <v>0</v>
      </c>
      <c r="AI1125">
        <v>8</v>
      </c>
    </row>
    <row r="1126" spans="1:35" x14ac:dyDescent="0.3">
      <c r="A1126">
        <v>27</v>
      </c>
      <c r="B1126" t="s">
        <v>40</v>
      </c>
      <c r="C1126" t="s">
        <v>41</v>
      </c>
      <c r="D1126">
        <v>294</v>
      </c>
      <c r="E1126" t="s">
        <v>42</v>
      </c>
      <c r="F1126">
        <v>10</v>
      </c>
      <c r="G1126">
        <v>2</v>
      </c>
      <c r="H1126" t="s">
        <v>35</v>
      </c>
      <c r="I1126">
        <v>1</v>
      </c>
      <c r="J1126">
        <v>733</v>
      </c>
      <c r="K1126">
        <v>4</v>
      </c>
      <c r="L1126" s="17" t="s">
        <v>43</v>
      </c>
      <c r="M1126">
        <v>32</v>
      </c>
      <c r="N1126">
        <v>3</v>
      </c>
      <c r="O1126">
        <v>3</v>
      </c>
      <c r="P1126" t="s">
        <v>50</v>
      </c>
      <c r="Q1126">
        <v>1</v>
      </c>
      <c r="R1126" t="s">
        <v>49</v>
      </c>
      <c r="S1126" s="6">
        <v>8793</v>
      </c>
      <c r="T1126">
        <v>4809</v>
      </c>
      <c r="U1126">
        <v>1</v>
      </c>
      <c r="V1126" t="s">
        <v>39</v>
      </c>
      <c r="W1126" t="s">
        <v>40</v>
      </c>
      <c r="X1126">
        <v>21</v>
      </c>
      <c r="Y1126">
        <v>4</v>
      </c>
      <c r="Z1126">
        <v>3</v>
      </c>
      <c r="AA1126">
        <v>80</v>
      </c>
      <c r="AB1126">
        <v>2</v>
      </c>
      <c r="AC1126">
        <v>9</v>
      </c>
      <c r="AD1126">
        <v>4</v>
      </c>
      <c r="AE1126">
        <v>2</v>
      </c>
      <c r="AF1126">
        <v>9</v>
      </c>
      <c r="AG1126">
        <v>7</v>
      </c>
      <c r="AH1126">
        <v>1</v>
      </c>
      <c r="AI1126">
        <v>7</v>
      </c>
    </row>
    <row r="1127" spans="1:35" x14ac:dyDescent="0.3">
      <c r="A1127">
        <v>38</v>
      </c>
      <c r="B1127" t="s">
        <v>40</v>
      </c>
      <c r="C1127" t="s">
        <v>33</v>
      </c>
      <c r="D1127">
        <v>330</v>
      </c>
      <c r="E1127" t="s">
        <v>42</v>
      </c>
      <c r="F1127">
        <v>17</v>
      </c>
      <c r="G1127">
        <v>1</v>
      </c>
      <c r="H1127" t="s">
        <v>35</v>
      </c>
      <c r="I1127">
        <v>1</v>
      </c>
      <c r="J1127">
        <v>1088</v>
      </c>
      <c r="K1127">
        <v>3</v>
      </c>
      <c r="L1127" s="17" t="s">
        <v>36</v>
      </c>
      <c r="M1127">
        <v>65</v>
      </c>
      <c r="N1127">
        <v>2</v>
      </c>
      <c r="O1127">
        <v>3</v>
      </c>
      <c r="P1127" t="s">
        <v>51</v>
      </c>
      <c r="Q1127">
        <v>3</v>
      </c>
      <c r="R1127" t="s">
        <v>45</v>
      </c>
      <c r="S1127" s="6">
        <v>8823</v>
      </c>
      <c r="T1127">
        <v>24608</v>
      </c>
      <c r="U1127">
        <v>0</v>
      </c>
      <c r="V1127" t="s">
        <v>39</v>
      </c>
      <c r="W1127" t="s">
        <v>40</v>
      </c>
      <c r="X1127">
        <v>18</v>
      </c>
      <c r="Y1127">
        <v>3</v>
      </c>
      <c r="Z1127">
        <v>1</v>
      </c>
      <c r="AA1127">
        <v>80</v>
      </c>
      <c r="AB1127">
        <v>1</v>
      </c>
      <c r="AC1127">
        <v>20</v>
      </c>
      <c r="AD1127">
        <v>4</v>
      </c>
      <c r="AE1127">
        <v>2</v>
      </c>
      <c r="AF1127">
        <v>19</v>
      </c>
      <c r="AG1127">
        <v>9</v>
      </c>
      <c r="AH1127">
        <v>1</v>
      </c>
      <c r="AI1127">
        <v>9</v>
      </c>
    </row>
    <row r="1128" spans="1:35" x14ac:dyDescent="0.3">
      <c r="A1128">
        <v>37</v>
      </c>
      <c r="B1128" t="s">
        <v>40</v>
      </c>
      <c r="C1128" t="s">
        <v>52</v>
      </c>
      <c r="D1128">
        <v>142</v>
      </c>
      <c r="E1128" t="s">
        <v>34</v>
      </c>
      <c r="F1128">
        <v>9</v>
      </c>
      <c r="G1128">
        <v>4</v>
      </c>
      <c r="H1128" t="s">
        <v>48</v>
      </c>
      <c r="I1128">
        <v>1</v>
      </c>
      <c r="J1128">
        <v>626</v>
      </c>
      <c r="K1128">
        <v>1</v>
      </c>
      <c r="L1128" s="17" t="s">
        <v>43</v>
      </c>
      <c r="M1128">
        <v>69</v>
      </c>
      <c r="N1128">
        <v>3</v>
      </c>
      <c r="O1128">
        <v>3</v>
      </c>
      <c r="P1128" t="s">
        <v>37</v>
      </c>
      <c r="Q1128">
        <v>2</v>
      </c>
      <c r="R1128" t="s">
        <v>49</v>
      </c>
      <c r="S1128" s="6">
        <v>8834</v>
      </c>
      <c r="T1128">
        <v>24666</v>
      </c>
      <c r="U1128">
        <v>1</v>
      </c>
      <c r="V1128" t="s">
        <v>39</v>
      </c>
      <c r="W1128" t="s">
        <v>40</v>
      </c>
      <c r="X1128">
        <v>13</v>
      </c>
      <c r="Y1128">
        <v>3</v>
      </c>
      <c r="Z1128">
        <v>4</v>
      </c>
      <c r="AA1128">
        <v>80</v>
      </c>
      <c r="AB1128">
        <v>1</v>
      </c>
      <c r="AC1128">
        <v>9</v>
      </c>
      <c r="AD1128">
        <v>6</v>
      </c>
      <c r="AE1128">
        <v>3</v>
      </c>
      <c r="AF1128">
        <v>9</v>
      </c>
      <c r="AG1128">
        <v>5</v>
      </c>
      <c r="AH1128">
        <v>7</v>
      </c>
      <c r="AI1128">
        <v>7</v>
      </c>
    </row>
    <row r="1129" spans="1:35" x14ac:dyDescent="0.3">
      <c r="A1129">
        <v>35</v>
      </c>
      <c r="B1129" t="s">
        <v>40</v>
      </c>
      <c r="C1129" t="s">
        <v>33</v>
      </c>
      <c r="D1129">
        <v>1146</v>
      </c>
      <c r="E1129" t="s">
        <v>58</v>
      </c>
      <c r="F1129">
        <v>26</v>
      </c>
      <c r="G1129">
        <v>4</v>
      </c>
      <c r="H1129" t="s">
        <v>35</v>
      </c>
      <c r="I1129">
        <v>1</v>
      </c>
      <c r="J1129">
        <v>2040</v>
      </c>
      <c r="K1129">
        <v>3</v>
      </c>
      <c r="L1129" s="17" t="s">
        <v>36</v>
      </c>
      <c r="M1129">
        <v>31</v>
      </c>
      <c r="N1129">
        <v>3</v>
      </c>
      <c r="O1129">
        <v>3</v>
      </c>
      <c r="P1129" t="s">
        <v>58</v>
      </c>
      <c r="Q1129">
        <v>4</v>
      </c>
      <c r="R1129" t="s">
        <v>38</v>
      </c>
      <c r="S1129" s="6">
        <v>8837</v>
      </c>
      <c r="T1129">
        <v>16642</v>
      </c>
      <c r="U1129">
        <v>1</v>
      </c>
      <c r="V1129" t="s">
        <v>39</v>
      </c>
      <c r="W1129" t="s">
        <v>32</v>
      </c>
      <c r="X1129">
        <v>16</v>
      </c>
      <c r="Y1129">
        <v>3</v>
      </c>
      <c r="Z1129">
        <v>3</v>
      </c>
      <c r="AA1129">
        <v>80</v>
      </c>
      <c r="AB1129">
        <v>0</v>
      </c>
      <c r="AC1129">
        <v>9</v>
      </c>
      <c r="AD1129">
        <v>2</v>
      </c>
      <c r="AE1129">
        <v>3</v>
      </c>
      <c r="AF1129">
        <v>9</v>
      </c>
      <c r="AG1129">
        <v>0</v>
      </c>
      <c r="AH1129">
        <v>1</v>
      </c>
      <c r="AI1129">
        <v>7</v>
      </c>
    </row>
    <row r="1130" spans="1:35" x14ac:dyDescent="0.3">
      <c r="A1130">
        <v>36</v>
      </c>
      <c r="B1130" t="s">
        <v>40</v>
      </c>
      <c r="C1130" t="s">
        <v>33</v>
      </c>
      <c r="D1130">
        <v>913</v>
      </c>
      <c r="E1130" t="s">
        <v>42</v>
      </c>
      <c r="F1130">
        <v>9</v>
      </c>
      <c r="G1130">
        <v>2</v>
      </c>
      <c r="H1130" t="s">
        <v>48</v>
      </c>
      <c r="I1130">
        <v>1</v>
      </c>
      <c r="J1130">
        <v>699</v>
      </c>
      <c r="K1130">
        <v>2</v>
      </c>
      <c r="L1130" s="17" t="s">
        <v>43</v>
      </c>
      <c r="M1130">
        <v>48</v>
      </c>
      <c r="N1130">
        <v>2</v>
      </c>
      <c r="O1130">
        <v>2</v>
      </c>
      <c r="P1130" t="s">
        <v>50</v>
      </c>
      <c r="Q1130">
        <v>2</v>
      </c>
      <c r="R1130" t="s">
        <v>49</v>
      </c>
      <c r="S1130" s="6">
        <v>8847</v>
      </c>
      <c r="T1130">
        <v>13934</v>
      </c>
      <c r="U1130">
        <v>2</v>
      </c>
      <c r="V1130" t="s">
        <v>39</v>
      </c>
      <c r="W1130" t="s">
        <v>32</v>
      </c>
      <c r="X1130">
        <v>11</v>
      </c>
      <c r="Y1130">
        <v>3</v>
      </c>
      <c r="Z1130">
        <v>3</v>
      </c>
      <c r="AA1130">
        <v>80</v>
      </c>
      <c r="AB1130">
        <v>1</v>
      </c>
      <c r="AC1130">
        <v>13</v>
      </c>
      <c r="AD1130">
        <v>2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29</v>
      </c>
      <c r="B1131" t="s">
        <v>40</v>
      </c>
      <c r="C1131" t="s">
        <v>41</v>
      </c>
      <c r="D1131">
        <v>995</v>
      </c>
      <c r="E1131" t="s">
        <v>42</v>
      </c>
      <c r="F1131">
        <v>2</v>
      </c>
      <c r="G1131">
        <v>1</v>
      </c>
      <c r="H1131" t="s">
        <v>35</v>
      </c>
      <c r="I1131">
        <v>1</v>
      </c>
      <c r="J1131">
        <v>1590</v>
      </c>
      <c r="K1131">
        <v>1</v>
      </c>
      <c r="L1131" s="17" t="s">
        <v>43</v>
      </c>
      <c r="M1131">
        <v>87</v>
      </c>
      <c r="N1131">
        <v>3</v>
      </c>
      <c r="O1131">
        <v>2</v>
      </c>
      <c r="P1131" t="s">
        <v>51</v>
      </c>
      <c r="Q1131">
        <v>4</v>
      </c>
      <c r="R1131" t="s">
        <v>49</v>
      </c>
      <c r="S1131" s="6">
        <v>8853</v>
      </c>
      <c r="T1131">
        <v>24483</v>
      </c>
      <c r="U1131">
        <v>1</v>
      </c>
      <c r="V1131" t="s">
        <v>39</v>
      </c>
      <c r="W1131" t="s">
        <v>40</v>
      </c>
      <c r="X1131">
        <v>19</v>
      </c>
      <c r="Y1131">
        <v>3</v>
      </c>
      <c r="Z1131">
        <v>4</v>
      </c>
      <c r="AA1131">
        <v>80</v>
      </c>
      <c r="AB1131">
        <v>1</v>
      </c>
      <c r="AC1131">
        <v>6</v>
      </c>
      <c r="AD1131">
        <v>0</v>
      </c>
      <c r="AE1131">
        <v>4</v>
      </c>
      <c r="AF1131">
        <v>6</v>
      </c>
      <c r="AG1131">
        <v>4</v>
      </c>
      <c r="AH1131">
        <v>1</v>
      </c>
      <c r="AI1131">
        <v>3</v>
      </c>
    </row>
    <row r="1132" spans="1:35" x14ac:dyDescent="0.3">
      <c r="A1132">
        <v>36</v>
      </c>
      <c r="B1132" t="s">
        <v>40</v>
      </c>
      <c r="C1132" t="s">
        <v>33</v>
      </c>
      <c r="D1132">
        <v>796</v>
      </c>
      <c r="E1132" t="s">
        <v>42</v>
      </c>
      <c r="F1132">
        <v>12</v>
      </c>
      <c r="G1132">
        <v>5</v>
      </c>
      <c r="H1132" t="s">
        <v>48</v>
      </c>
      <c r="I1132">
        <v>1</v>
      </c>
      <c r="J1132">
        <v>1073</v>
      </c>
      <c r="K1132">
        <v>4</v>
      </c>
      <c r="L1132" s="17" t="s">
        <v>36</v>
      </c>
      <c r="M1132">
        <v>51</v>
      </c>
      <c r="N1132">
        <v>2</v>
      </c>
      <c r="O1132">
        <v>3</v>
      </c>
      <c r="P1132" t="s">
        <v>50</v>
      </c>
      <c r="Q1132">
        <v>4</v>
      </c>
      <c r="R1132" t="s">
        <v>38</v>
      </c>
      <c r="S1132" s="6">
        <v>8858</v>
      </c>
      <c r="T1132">
        <v>15669</v>
      </c>
      <c r="U1132">
        <v>0</v>
      </c>
      <c r="V1132" t="s">
        <v>39</v>
      </c>
      <c r="W1132" t="s">
        <v>40</v>
      </c>
      <c r="X1132">
        <v>11</v>
      </c>
      <c r="Y1132">
        <v>3</v>
      </c>
      <c r="Z1132">
        <v>2</v>
      </c>
      <c r="AA1132">
        <v>80</v>
      </c>
      <c r="AB1132">
        <v>0</v>
      </c>
      <c r="AC1132">
        <v>15</v>
      </c>
      <c r="AD1132">
        <v>2</v>
      </c>
      <c r="AE1132">
        <v>2</v>
      </c>
      <c r="AF1132">
        <v>14</v>
      </c>
      <c r="AG1132">
        <v>8</v>
      </c>
      <c r="AH1132">
        <v>7</v>
      </c>
      <c r="AI1132">
        <v>8</v>
      </c>
    </row>
    <row r="1133" spans="1:35" x14ac:dyDescent="0.3">
      <c r="A1133">
        <v>45</v>
      </c>
      <c r="B1133" t="s">
        <v>40</v>
      </c>
      <c r="C1133" t="s">
        <v>52</v>
      </c>
      <c r="D1133">
        <v>1052</v>
      </c>
      <c r="E1133" t="s">
        <v>34</v>
      </c>
      <c r="F1133">
        <v>6</v>
      </c>
      <c r="G1133">
        <v>3</v>
      </c>
      <c r="H1133" t="s">
        <v>48</v>
      </c>
      <c r="I1133">
        <v>1</v>
      </c>
      <c r="J1133">
        <v>302</v>
      </c>
      <c r="K1133">
        <v>4</v>
      </c>
      <c r="L1133" s="17" t="s">
        <v>36</v>
      </c>
      <c r="M1133">
        <v>57</v>
      </c>
      <c r="N1133">
        <v>2</v>
      </c>
      <c r="O1133">
        <v>3</v>
      </c>
      <c r="P1133" t="s">
        <v>37</v>
      </c>
      <c r="Q1133">
        <v>4</v>
      </c>
      <c r="R1133" t="s">
        <v>38</v>
      </c>
      <c r="S1133" s="6">
        <v>8865</v>
      </c>
      <c r="T1133">
        <v>16840</v>
      </c>
      <c r="U1133">
        <v>6</v>
      </c>
      <c r="V1133" t="s">
        <v>39</v>
      </c>
      <c r="W1133" t="s">
        <v>40</v>
      </c>
      <c r="X1133">
        <v>12</v>
      </c>
      <c r="Y1133">
        <v>3</v>
      </c>
      <c r="Z1133">
        <v>4</v>
      </c>
      <c r="AA1133">
        <v>80</v>
      </c>
      <c r="AB1133">
        <v>0</v>
      </c>
      <c r="AC1133">
        <v>23</v>
      </c>
      <c r="AD1133">
        <v>2</v>
      </c>
      <c r="AE1133">
        <v>3</v>
      </c>
      <c r="AF1133">
        <v>19</v>
      </c>
      <c r="AG1133">
        <v>7</v>
      </c>
      <c r="AH1133">
        <v>12</v>
      </c>
      <c r="AI1133">
        <v>8</v>
      </c>
    </row>
    <row r="1134" spans="1:35" x14ac:dyDescent="0.3">
      <c r="A1134">
        <v>46</v>
      </c>
      <c r="B1134" t="s">
        <v>32</v>
      </c>
      <c r="C1134" t="s">
        <v>33</v>
      </c>
      <c r="D1134">
        <v>261</v>
      </c>
      <c r="E1134" t="s">
        <v>42</v>
      </c>
      <c r="F1134">
        <v>21</v>
      </c>
      <c r="G1134">
        <v>2</v>
      </c>
      <c r="H1134" t="s">
        <v>48</v>
      </c>
      <c r="I1134">
        <v>1</v>
      </c>
      <c r="J1134">
        <v>1821</v>
      </c>
      <c r="K1134">
        <v>4</v>
      </c>
      <c r="L1134" s="17" t="s">
        <v>36</v>
      </c>
      <c r="M1134">
        <v>66</v>
      </c>
      <c r="N1134">
        <v>3</v>
      </c>
      <c r="O1134">
        <v>2</v>
      </c>
      <c r="P1134" t="s">
        <v>51</v>
      </c>
      <c r="Q1134">
        <v>2</v>
      </c>
      <c r="R1134" t="s">
        <v>45</v>
      </c>
      <c r="S1134" s="6">
        <v>8926</v>
      </c>
      <c r="T1134">
        <v>10842</v>
      </c>
      <c r="U1134">
        <v>4</v>
      </c>
      <c r="V1134" t="s">
        <v>39</v>
      </c>
      <c r="W1134" t="s">
        <v>40</v>
      </c>
      <c r="X1134">
        <v>22</v>
      </c>
      <c r="Y1134">
        <v>4</v>
      </c>
      <c r="Z1134">
        <v>4</v>
      </c>
      <c r="AA1134">
        <v>80</v>
      </c>
      <c r="AB1134">
        <v>1</v>
      </c>
      <c r="AC1134">
        <v>13</v>
      </c>
      <c r="AD1134">
        <v>2</v>
      </c>
      <c r="AE1134">
        <v>4</v>
      </c>
      <c r="AF1134">
        <v>9</v>
      </c>
      <c r="AG1134">
        <v>7</v>
      </c>
      <c r="AH1134">
        <v>3</v>
      </c>
      <c r="AI1134">
        <v>7</v>
      </c>
    </row>
    <row r="1135" spans="1:35" x14ac:dyDescent="0.3">
      <c r="A1135">
        <v>41</v>
      </c>
      <c r="B1135" t="s">
        <v>40</v>
      </c>
      <c r="C1135" t="s">
        <v>33</v>
      </c>
      <c r="D1135">
        <v>930</v>
      </c>
      <c r="E1135" t="s">
        <v>34</v>
      </c>
      <c r="F1135">
        <v>3</v>
      </c>
      <c r="G1135">
        <v>3</v>
      </c>
      <c r="H1135" t="s">
        <v>35</v>
      </c>
      <c r="I1135">
        <v>1</v>
      </c>
      <c r="J1135">
        <v>2037</v>
      </c>
      <c r="K1135">
        <v>3</v>
      </c>
      <c r="L1135" s="17" t="s">
        <v>43</v>
      </c>
      <c r="M1135">
        <v>57</v>
      </c>
      <c r="N1135">
        <v>2</v>
      </c>
      <c r="O1135">
        <v>2</v>
      </c>
      <c r="P1135" t="s">
        <v>37</v>
      </c>
      <c r="Q1135">
        <v>2</v>
      </c>
      <c r="R1135" t="s">
        <v>49</v>
      </c>
      <c r="S1135" s="6">
        <v>8938</v>
      </c>
      <c r="T1135">
        <v>12227</v>
      </c>
      <c r="U1135">
        <v>2</v>
      </c>
      <c r="V1135" t="s">
        <v>39</v>
      </c>
      <c r="W1135" t="s">
        <v>40</v>
      </c>
      <c r="X1135">
        <v>11</v>
      </c>
      <c r="Y1135">
        <v>3</v>
      </c>
      <c r="Z1135">
        <v>3</v>
      </c>
      <c r="AA1135">
        <v>80</v>
      </c>
      <c r="AB1135">
        <v>1</v>
      </c>
      <c r="AC1135">
        <v>14</v>
      </c>
      <c r="AD1135">
        <v>5</v>
      </c>
      <c r="AE1135">
        <v>3</v>
      </c>
      <c r="AF1135">
        <v>5</v>
      </c>
      <c r="AG1135">
        <v>4</v>
      </c>
      <c r="AH1135">
        <v>0</v>
      </c>
      <c r="AI1135">
        <v>4</v>
      </c>
    </row>
    <row r="1136" spans="1:35" x14ac:dyDescent="0.3">
      <c r="A1136">
        <v>31</v>
      </c>
      <c r="B1136" t="s">
        <v>40</v>
      </c>
      <c r="C1136" t="s">
        <v>41</v>
      </c>
      <c r="D1136">
        <v>798</v>
      </c>
      <c r="E1136" t="s">
        <v>42</v>
      </c>
      <c r="F1136">
        <v>7</v>
      </c>
      <c r="G1136">
        <v>2</v>
      </c>
      <c r="H1136" t="s">
        <v>35</v>
      </c>
      <c r="I1136">
        <v>1</v>
      </c>
      <c r="J1136">
        <v>442</v>
      </c>
      <c r="K1136">
        <v>3</v>
      </c>
      <c r="L1136" s="17" t="s">
        <v>36</v>
      </c>
      <c r="M1136">
        <v>48</v>
      </c>
      <c r="N1136">
        <v>2</v>
      </c>
      <c r="O1136">
        <v>3</v>
      </c>
      <c r="P1136" t="s">
        <v>50</v>
      </c>
      <c r="Q1136">
        <v>3</v>
      </c>
      <c r="R1136" t="s">
        <v>45</v>
      </c>
      <c r="S1136" s="6">
        <v>8943</v>
      </c>
      <c r="T1136">
        <v>14034</v>
      </c>
      <c r="U1136">
        <v>1</v>
      </c>
      <c r="V1136" t="s">
        <v>39</v>
      </c>
      <c r="W1136" t="s">
        <v>40</v>
      </c>
      <c r="X1136">
        <v>24</v>
      </c>
      <c r="Y1136">
        <v>4</v>
      </c>
      <c r="Z1136">
        <v>1</v>
      </c>
      <c r="AA1136">
        <v>80</v>
      </c>
      <c r="AB1136">
        <v>1</v>
      </c>
      <c r="AC1136">
        <v>10</v>
      </c>
      <c r="AD1136">
        <v>2</v>
      </c>
      <c r="AE1136">
        <v>3</v>
      </c>
      <c r="AF1136">
        <v>10</v>
      </c>
      <c r="AG1136">
        <v>9</v>
      </c>
      <c r="AH1136">
        <v>8</v>
      </c>
      <c r="AI1136">
        <v>9</v>
      </c>
    </row>
    <row r="1137" spans="1:35" x14ac:dyDescent="0.3">
      <c r="A1137">
        <v>35</v>
      </c>
      <c r="B1137" t="s">
        <v>40</v>
      </c>
      <c r="C1137" t="s">
        <v>33</v>
      </c>
      <c r="D1137">
        <v>1361</v>
      </c>
      <c r="E1137" t="s">
        <v>34</v>
      </c>
      <c r="F1137">
        <v>17</v>
      </c>
      <c r="G1137">
        <v>4</v>
      </c>
      <c r="H1137" t="s">
        <v>35</v>
      </c>
      <c r="I1137">
        <v>1</v>
      </c>
      <c r="J1137">
        <v>1218</v>
      </c>
      <c r="K1137">
        <v>3</v>
      </c>
      <c r="L1137" s="17" t="s">
        <v>43</v>
      </c>
      <c r="M1137">
        <v>94</v>
      </c>
      <c r="N1137">
        <v>3</v>
      </c>
      <c r="O1137">
        <v>2</v>
      </c>
      <c r="P1137" t="s">
        <v>37</v>
      </c>
      <c r="Q1137">
        <v>1</v>
      </c>
      <c r="R1137" t="s">
        <v>45</v>
      </c>
      <c r="S1137" s="6">
        <v>8966</v>
      </c>
      <c r="T1137">
        <v>21026</v>
      </c>
      <c r="U1137">
        <v>3</v>
      </c>
      <c r="V1137" t="s">
        <v>39</v>
      </c>
      <c r="W1137" t="s">
        <v>32</v>
      </c>
      <c r="X1137">
        <v>15</v>
      </c>
      <c r="Y1137">
        <v>3</v>
      </c>
      <c r="Z1137">
        <v>4</v>
      </c>
      <c r="AA1137">
        <v>80</v>
      </c>
      <c r="AB1137">
        <v>3</v>
      </c>
      <c r="AC1137">
        <v>15</v>
      </c>
      <c r="AD1137">
        <v>2</v>
      </c>
      <c r="AE1137">
        <v>3</v>
      </c>
      <c r="AF1137">
        <v>7</v>
      </c>
      <c r="AG1137">
        <v>7</v>
      </c>
      <c r="AH1137">
        <v>1</v>
      </c>
      <c r="AI1137">
        <v>7</v>
      </c>
    </row>
    <row r="1138" spans="1:35" x14ac:dyDescent="0.3">
      <c r="A1138">
        <v>32</v>
      </c>
      <c r="B1138" t="s">
        <v>40</v>
      </c>
      <c r="C1138" t="s">
        <v>41</v>
      </c>
      <c r="D1138">
        <v>967</v>
      </c>
      <c r="E1138" t="s">
        <v>34</v>
      </c>
      <c r="F1138">
        <v>8</v>
      </c>
      <c r="G1138">
        <v>3</v>
      </c>
      <c r="H1138" t="s">
        <v>56</v>
      </c>
      <c r="I1138">
        <v>1</v>
      </c>
      <c r="J1138">
        <v>207</v>
      </c>
      <c r="K1138">
        <v>2</v>
      </c>
      <c r="L1138" s="17" t="s">
        <v>36</v>
      </c>
      <c r="M1138">
        <v>43</v>
      </c>
      <c r="N1138">
        <v>3</v>
      </c>
      <c r="O1138">
        <v>3</v>
      </c>
      <c r="P1138" t="s">
        <v>37</v>
      </c>
      <c r="Q1138">
        <v>4</v>
      </c>
      <c r="R1138" t="s">
        <v>38</v>
      </c>
      <c r="S1138" s="6">
        <v>8998</v>
      </c>
      <c r="T1138">
        <v>15589</v>
      </c>
      <c r="U1138">
        <v>1</v>
      </c>
      <c r="V1138" t="s">
        <v>39</v>
      </c>
      <c r="W1138" t="s">
        <v>40</v>
      </c>
      <c r="X1138">
        <v>14</v>
      </c>
      <c r="Y1138">
        <v>3</v>
      </c>
      <c r="Z1138">
        <v>4</v>
      </c>
      <c r="AA1138">
        <v>80</v>
      </c>
      <c r="AB1138">
        <v>0</v>
      </c>
      <c r="AC1138">
        <v>9</v>
      </c>
      <c r="AD1138">
        <v>2</v>
      </c>
      <c r="AE1138">
        <v>3</v>
      </c>
      <c r="AF1138">
        <v>9</v>
      </c>
      <c r="AG1138">
        <v>8</v>
      </c>
      <c r="AH1138">
        <v>3</v>
      </c>
      <c r="AI1138">
        <v>7</v>
      </c>
    </row>
    <row r="1139" spans="1:35" x14ac:dyDescent="0.3">
      <c r="A1139">
        <v>35</v>
      </c>
      <c r="B1139" t="s">
        <v>40</v>
      </c>
      <c r="C1139" t="s">
        <v>41</v>
      </c>
      <c r="D1139">
        <v>853</v>
      </c>
      <c r="E1139" t="s">
        <v>34</v>
      </c>
      <c r="F1139">
        <v>18</v>
      </c>
      <c r="G1139">
        <v>5</v>
      </c>
      <c r="H1139" t="s">
        <v>35</v>
      </c>
      <c r="I1139">
        <v>1</v>
      </c>
      <c r="J1139">
        <v>74</v>
      </c>
      <c r="K1139">
        <v>2</v>
      </c>
      <c r="L1139" s="17" t="s">
        <v>43</v>
      </c>
      <c r="M1139">
        <v>71</v>
      </c>
      <c r="N1139">
        <v>3</v>
      </c>
      <c r="O1139">
        <v>3</v>
      </c>
      <c r="P1139" t="s">
        <v>37</v>
      </c>
      <c r="Q1139">
        <v>1</v>
      </c>
      <c r="R1139" t="s">
        <v>45</v>
      </c>
      <c r="S1139" s="6">
        <v>9069</v>
      </c>
      <c r="T1139">
        <v>11031</v>
      </c>
      <c r="U1139">
        <v>1</v>
      </c>
      <c r="V1139" t="s">
        <v>39</v>
      </c>
      <c r="W1139" t="s">
        <v>40</v>
      </c>
      <c r="X1139">
        <v>22</v>
      </c>
      <c r="Y1139">
        <v>4</v>
      </c>
      <c r="Z1139">
        <v>4</v>
      </c>
      <c r="AA1139">
        <v>80</v>
      </c>
      <c r="AB1139">
        <v>1</v>
      </c>
      <c r="AC1139">
        <v>9</v>
      </c>
      <c r="AD1139">
        <v>3</v>
      </c>
      <c r="AE1139">
        <v>2</v>
      </c>
      <c r="AF1139">
        <v>9</v>
      </c>
      <c r="AG1139">
        <v>8</v>
      </c>
      <c r="AH1139">
        <v>1</v>
      </c>
      <c r="AI1139">
        <v>8</v>
      </c>
    </row>
    <row r="1140" spans="1:35" x14ac:dyDescent="0.3">
      <c r="A1140">
        <v>46</v>
      </c>
      <c r="B1140" t="s">
        <v>40</v>
      </c>
      <c r="C1140" t="s">
        <v>33</v>
      </c>
      <c r="D1140">
        <v>1125</v>
      </c>
      <c r="E1140" t="s">
        <v>34</v>
      </c>
      <c r="F1140">
        <v>10</v>
      </c>
      <c r="G1140">
        <v>3</v>
      </c>
      <c r="H1140" t="s">
        <v>56</v>
      </c>
      <c r="I1140">
        <v>1</v>
      </c>
      <c r="J1140">
        <v>580</v>
      </c>
      <c r="K1140">
        <v>3</v>
      </c>
      <c r="L1140" s="17" t="s">
        <v>36</v>
      </c>
      <c r="M1140">
        <v>94</v>
      </c>
      <c r="N1140">
        <v>2</v>
      </c>
      <c r="O1140">
        <v>3</v>
      </c>
      <c r="P1140" t="s">
        <v>37</v>
      </c>
      <c r="Q1140">
        <v>4</v>
      </c>
      <c r="R1140" t="s">
        <v>45</v>
      </c>
      <c r="S1140" s="6">
        <v>9071</v>
      </c>
      <c r="T1140">
        <v>11563</v>
      </c>
      <c r="U1140">
        <v>2</v>
      </c>
      <c r="V1140" t="s">
        <v>39</v>
      </c>
      <c r="W1140" t="s">
        <v>32</v>
      </c>
      <c r="X1140">
        <v>19</v>
      </c>
      <c r="Y1140">
        <v>3</v>
      </c>
      <c r="Z1140">
        <v>3</v>
      </c>
      <c r="AA1140">
        <v>80</v>
      </c>
      <c r="AB1140">
        <v>1</v>
      </c>
      <c r="AC1140">
        <v>15</v>
      </c>
      <c r="AD1140">
        <v>3</v>
      </c>
      <c r="AE1140">
        <v>3</v>
      </c>
      <c r="AF1140">
        <v>3</v>
      </c>
      <c r="AG1140">
        <v>2</v>
      </c>
      <c r="AH1140">
        <v>1</v>
      </c>
      <c r="AI1140">
        <v>2</v>
      </c>
    </row>
    <row r="1141" spans="1:35" x14ac:dyDescent="0.3">
      <c r="A1141">
        <v>40</v>
      </c>
      <c r="B1141" t="s">
        <v>32</v>
      </c>
      <c r="C1141" t="s">
        <v>33</v>
      </c>
      <c r="D1141">
        <v>299</v>
      </c>
      <c r="E1141" t="s">
        <v>34</v>
      </c>
      <c r="F1141">
        <v>25</v>
      </c>
      <c r="G1141">
        <v>4</v>
      </c>
      <c r="H1141" t="s">
        <v>56</v>
      </c>
      <c r="I1141">
        <v>1</v>
      </c>
      <c r="J1141">
        <v>1318</v>
      </c>
      <c r="K1141">
        <v>4</v>
      </c>
      <c r="L1141" s="17" t="s">
        <v>43</v>
      </c>
      <c r="M1141">
        <v>57</v>
      </c>
      <c r="N1141">
        <v>2</v>
      </c>
      <c r="O1141">
        <v>3</v>
      </c>
      <c r="P1141" t="s">
        <v>37</v>
      </c>
      <c r="Q1141">
        <v>2</v>
      </c>
      <c r="R1141" t="s">
        <v>38</v>
      </c>
      <c r="S1141" s="6">
        <v>9094</v>
      </c>
      <c r="T1141">
        <v>17235</v>
      </c>
      <c r="U1141">
        <v>2</v>
      </c>
      <c r="V1141" t="s">
        <v>39</v>
      </c>
      <c r="W1141" t="s">
        <v>32</v>
      </c>
      <c r="X1141">
        <v>12</v>
      </c>
      <c r="Y1141">
        <v>3</v>
      </c>
      <c r="Z1141">
        <v>3</v>
      </c>
      <c r="AA1141">
        <v>80</v>
      </c>
      <c r="AB1141">
        <v>0</v>
      </c>
      <c r="AC1141">
        <v>9</v>
      </c>
      <c r="AD1141">
        <v>2</v>
      </c>
      <c r="AE1141">
        <v>3</v>
      </c>
      <c r="AF1141">
        <v>5</v>
      </c>
      <c r="AG1141">
        <v>4</v>
      </c>
      <c r="AH1141">
        <v>1</v>
      </c>
      <c r="AI1141">
        <v>0</v>
      </c>
    </row>
    <row r="1142" spans="1:35" x14ac:dyDescent="0.3">
      <c r="A1142">
        <v>32</v>
      </c>
      <c r="B1142" t="s">
        <v>40</v>
      </c>
      <c r="C1142" t="s">
        <v>33</v>
      </c>
      <c r="D1142">
        <v>601</v>
      </c>
      <c r="E1142" t="s">
        <v>34</v>
      </c>
      <c r="F1142">
        <v>7</v>
      </c>
      <c r="G1142">
        <v>5</v>
      </c>
      <c r="H1142" t="s">
        <v>56</v>
      </c>
      <c r="I1142">
        <v>1</v>
      </c>
      <c r="J1142">
        <v>1446</v>
      </c>
      <c r="K1142">
        <v>4</v>
      </c>
      <c r="L1142" s="17" t="s">
        <v>43</v>
      </c>
      <c r="M1142">
        <v>97</v>
      </c>
      <c r="N1142">
        <v>3</v>
      </c>
      <c r="O1142">
        <v>2</v>
      </c>
      <c r="P1142" t="s">
        <v>37</v>
      </c>
      <c r="Q1142">
        <v>4</v>
      </c>
      <c r="R1142" t="s">
        <v>45</v>
      </c>
      <c r="S1142" s="6">
        <v>9204</v>
      </c>
      <c r="T1142">
        <v>23343</v>
      </c>
      <c r="U1142">
        <v>4</v>
      </c>
      <c r="V1142" t="s">
        <v>39</v>
      </c>
      <c r="W1142" t="s">
        <v>40</v>
      </c>
      <c r="X1142">
        <v>12</v>
      </c>
      <c r="Y1142">
        <v>3</v>
      </c>
      <c r="Z1142">
        <v>3</v>
      </c>
      <c r="AA1142">
        <v>80</v>
      </c>
      <c r="AB1142">
        <v>1</v>
      </c>
      <c r="AC1142">
        <v>7</v>
      </c>
      <c r="AD1142">
        <v>3</v>
      </c>
      <c r="AE1142">
        <v>2</v>
      </c>
      <c r="AF1142">
        <v>4</v>
      </c>
      <c r="AG1142">
        <v>3</v>
      </c>
      <c r="AH1142">
        <v>0</v>
      </c>
      <c r="AI1142">
        <v>3</v>
      </c>
    </row>
    <row r="1143" spans="1:35" x14ac:dyDescent="0.3">
      <c r="A1143">
        <v>50</v>
      </c>
      <c r="B1143" t="s">
        <v>40</v>
      </c>
      <c r="C1143" t="s">
        <v>41</v>
      </c>
      <c r="D1143">
        <v>809</v>
      </c>
      <c r="E1143" t="s">
        <v>34</v>
      </c>
      <c r="F1143">
        <v>12</v>
      </c>
      <c r="G1143">
        <v>3</v>
      </c>
      <c r="H1143" t="s">
        <v>56</v>
      </c>
      <c r="I1143">
        <v>1</v>
      </c>
      <c r="J1143">
        <v>174</v>
      </c>
      <c r="K1143">
        <v>3</v>
      </c>
      <c r="L1143" s="17" t="s">
        <v>36</v>
      </c>
      <c r="M1143">
        <v>77</v>
      </c>
      <c r="N1143">
        <v>3</v>
      </c>
      <c r="O1143">
        <v>3</v>
      </c>
      <c r="P1143" t="s">
        <v>37</v>
      </c>
      <c r="Q1143">
        <v>4</v>
      </c>
      <c r="R1143" t="s">
        <v>38</v>
      </c>
      <c r="S1143" s="6">
        <v>9208</v>
      </c>
      <c r="T1143">
        <v>6645</v>
      </c>
      <c r="U1143">
        <v>4</v>
      </c>
      <c r="V1143" t="s">
        <v>39</v>
      </c>
      <c r="W1143" t="s">
        <v>40</v>
      </c>
      <c r="X1143">
        <v>11</v>
      </c>
      <c r="Y1143">
        <v>3</v>
      </c>
      <c r="Z1143">
        <v>4</v>
      </c>
      <c r="AA1143">
        <v>80</v>
      </c>
      <c r="AB1143">
        <v>0</v>
      </c>
      <c r="AC1143">
        <v>16</v>
      </c>
      <c r="AD1143">
        <v>3</v>
      </c>
      <c r="AE1143">
        <v>3</v>
      </c>
      <c r="AF1143">
        <v>2</v>
      </c>
      <c r="AG1143">
        <v>2</v>
      </c>
      <c r="AH1143">
        <v>2</v>
      </c>
      <c r="AI1143">
        <v>1</v>
      </c>
    </row>
    <row r="1144" spans="1:35" x14ac:dyDescent="0.3">
      <c r="A1144">
        <v>41</v>
      </c>
      <c r="B1144" t="s">
        <v>40</v>
      </c>
      <c r="C1144" t="s">
        <v>33</v>
      </c>
      <c r="D1144">
        <v>918</v>
      </c>
      <c r="E1144" t="s">
        <v>34</v>
      </c>
      <c r="F1144">
        <v>6</v>
      </c>
      <c r="G1144">
        <v>3</v>
      </c>
      <c r="H1144" t="s">
        <v>56</v>
      </c>
      <c r="I1144">
        <v>1</v>
      </c>
      <c r="J1144">
        <v>1708</v>
      </c>
      <c r="K1144">
        <v>4</v>
      </c>
      <c r="L1144" s="17" t="s">
        <v>43</v>
      </c>
      <c r="M1144">
        <v>35</v>
      </c>
      <c r="N1144">
        <v>3</v>
      </c>
      <c r="O1144">
        <v>3</v>
      </c>
      <c r="P1144" t="s">
        <v>37</v>
      </c>
      <c r="Q1144">
        <v>3</v>
      </c>
      <c r="R1144" t="s">
        <v>38</v>
      </c>
      <c r="S1144" s="6">
        <v>9241</v>
      </c>
      <c r="T1144">
        <v>15869</v>
      </c>
      <c r="U1144">
        <v>1</v>
      </c>
      <c r="V1144" t="s">
        <v>39</v>
      </c>
      <c r="W1144" t="s">
        <v>40</v>
      </c>
      <c r="X1144">
        <v>12</v>
      </c>
      <c r="Y1144">
        <v>3</v>
      </c>
      <c r="Z1144">
        <v>2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8</v>
      </c>
      <c r="AH1144">
        <v>8</v>
      </c>
      <c r="AI1144">
        <v>7</v>
      </c>
    </row>
    <row r="1145" spans="1:35" x14ac:dyDescent="0.3">
      <c r="A1145">
        <v>30</v>
      </c>
      <c r="B1145" t="s">
        <v>40</v>
      </c>
      <c r="C1145" t="s">
        <v>33</v>
      </c>
      <c r="D1145">
        <v>1288</v>
      </c>
      <c r="E1145" t="s">
        <v>34</v>
      </c>
      <c r="F1145">
        <v>29</v>
      </c>
      <c r="G1145">
        <v>4</v>
      </c>
      <c r="H1145" t="s">
        <v>57</v>
      </c>
      <c r="I1145">
        <v>1</v>
      </c>
      <c r="J1145">
        <v>1568</v>
      </c>
      <c r="K1145">
        <v>3</v>
      </c>
      <c r="L1145" s="17" t="s">
        <v>43</v>
      </c>
      <c r="M1145">
        <v>33</v>
      </c>
      <c r="N1145">
        <v>3</v>
      </c>
      <c r="O1145">
        <v>3</v>
      </c>
      <c r="P1145" t="s">
        <v>37</v>
      </c>
      <c r="Q1145">
        <v>2</v>
      </c>
      <c r="R1145" t="s">
        <v>45</v>
      </c>
      <c r="S1145" s="6">
        <v>9250</v>
      </c>
      <c r="T1145">
        <v>17799</v>
      </c>
      <c r="U1145">
        <v>3</v>
      </c>
      <c r="V1145" t="s">
        <v>39</v>
      </c>
      <c r="W1145" t="s">
        <v>40</v>
      </c>
      <c r="X1145">
        <v>12</v>
      </c>
      <c r="Y1145">
        <v>3</v>
      </c>
      <c r="Z1145">
        <v>2</v>
      </c>
      <c r="AA1145">
        <v>80</v>
      </c>
      <c r="AB1145">
        <v>1</v>
      </c>
      <c r="AC1145">
        <v>9</v>
      </c>
      <c r="AD1145">
        <v>3</v>
      </c>
      <c r="AE1145">
        <v>3</v>
      </c>
      <c r="AF1145">
        <v>4</v>
      </c>
      <c r="AG1145">
        <v>2</v>
      </c>
      <c r="AH1145">
        <v>1</v>
      </c>
      <c r="AI1145">
        <v>3</v>
      </c>
    </row>
    <row r="1146" spans="1:35" x14ac:dyDescent="0.3">
      <c r="A1146">
        <v>36</v>
      </c>
      <c r="B1146" t="s">
        <v>40</v>
      </c>
      <c r="C1146" t="s">
        <v>33</v>
      </c>
      <c r="D1146">
        <v>1174</v>
      </c>
      <c r="E1146" t="s">
        <v>34</v>
      </c>
      <c r="F1146">
        <v>3</v>
      </c>
      <c r="G1146">
        <v>4</v>
      </c>
      <c r="H1146" t="s">
        <v>56</v>
      </c>
      <c r="I1146">
        <v>1</v>
      </c>
      <c r="J1146">
        <v>1425</v>
      </c>
      <c r="K1146">
        <v>1</v>
      </c>
      <c r="L1146" s="17" t="s">
        <v>36</v>
      </c>
      <c r="M1146">
        <v>99</v>
      </c>
      <c r="N1146">
        <v>3</v>
      </c>
      <c r="O1146">
        <v>2</v>
      </c>
      <c r="P1146" t="s">
        <v>37</v>
      </c>
      <c r="Q1146">
        <v>2</v>
      </c>
      <c r="R1146" t="s">
        <v>38</v>
      </c>
      <c r="S1146" s="6">
        <v>9278</v>
      </c>
      <c r="T1146">
        <v>20763</v>
      </c>
      <c r="U1146">
        <v>3</v>
      </c>
      <c r="V1146" t="s">
        <v>39</v>
      </c>
      <c r="W1146" t="s">
        <v>32</v>
      </c>
      <c r="X1146">
        <v>16</v>
      </c>
      <c r="Y1146">
        <v>3</v>
      </c>
      <c r="Z1146">
        <v>4</v>
      </c>
      <c r="AA1146">
        <v>80</v>
      </c>
      <c r="AB1146">
        <v>0</v>
      </c>
      <c r="AC1146">
        <v>15</v>
      </c>
      <c r="AD1146">
        <v>3</v>
      </c>
      <c r="AE1146">
        <v>3</v>
      </c>
      <c r="AF1146">
        <v>5</v>
      </c>
      <c r="AG1146">
        <v>4</v>
      </c>
      <c r="AH1146">
        <v>0</v>
      </c>
      <c r="AI1146">
        <v>1</v>
      </c>
    </row>
    <row r="1147" spans="1:35" x14ac:dyDescent="0.3">
      <c r="A1147">
        <v>41</v>
      </c>
      <c r="B1147" t="s">
        <v>32</v>
      </c>
      <c r="C1147" t="s">
        <v>41</v>
      </c>
      <c r="D1147">
        <v>143</v>
      </c>
      <c r="E1147" t="s">
        <v>34</v>
      </c>
      <c r="F1147">
        <v>4</v>
      </c>
      <c r="G1147">
        <v>3</v>
      </c>
      <c r="H1147" t="s">
        <v>56</v>
      </c>
      <c r="I1147">
        <v>1</v>
      </c>
      <c r="J1147">
        <v>488</v>
      </c>
      <c r="K1147">
        <v>1</v>
      </c>
      <c r="L1147" s="17" t="s">
        <v>43</v>
      </c>
      <c r="M1147">
        <v>56</v>
      </c>
      <c r="N1147">
        <v>3</v>
      </c>
      <c r="O1147">
        <v>2</v>
      </c>
      <c r="P1147" t="s">
        <v>37</v>
      </c>
      <c r="Q1147">
        <v>2</v>
      </c>
      <c r="R1147" t="s">
        <v>38</v>
      </c>
      <c r="S1147" s="6">
        <v>9355</v>
      </c>
      <c r="T1147">
        <v>9558</v>
      </c>
      <c r="U1147">
        <v>1</v>
      </c>
      <c r="V1147" t="s">
        <v>39</v>
      </c>
      <c r="W1147" t="s">
        <v>40</v>
      </c>
      <c r="X1147">
        <v>18</v>
      </c>
      <c r="Y1147">
        <v>3</v>
      </c>
      <c r="Z1147">
        <v>3</v>
      </c>
      <c r="AA1147">
        <v>80</v>
      </c>
      <c r="AB1147">
        <v>0</v>
      </c>
      <c r="AC1147">
        <v>8</v>
      </c>
      <c r="AD1147">
        <v>5</v>
      </c>
      <c r="AE1147">
        <v>3</v>
      </c>
      <c r="AF1147">
        <v>8</v>
      </c>
      <c r="AG1147">
        <v>7</v>
      </c>
      <c r="AH1147">
        <v>7</v>
      </c>
      <c r="AI1147">
        <v>7</v>
      </c>
    </row>
    <row r="1148" spans="1:35" x14ac:dyDescent="0.3">
      <c r="A1148">
        <v>35</v>
      </c>
      <c r="B1148" t="s">
        <v>40</v>
      </c>
      <c r="C1148" t="s">
        <v>41</v>
      </c>
      <c r="D1148">
        <v>200</v>
      </c>
      <c r="E1148" t="s">
        <v>42</v>
      </c>
      <c r="F1148">
        <v>18</v>
      </c>
      <c r="G1148">
        <v>2</v>
      </c>
      <c r="H1148" t="s">
        <v>35</v>
      </c>
      <c r="I1148">
        <v>1</v>
      </c>
      <c r="J1148">
        <v>1412</v>
      </c>
      <c r="K1148">
        <v>3</v>
      </c>
      <c r="L1148" s="17" t="s">
        <v>43</v>
      </c>
      <c r="M1148">
        <v>60</v>
      </c>
      <c r="N1148">
        <v>3</v>
      </c>
      <c r="O1148">
        <v>3</v>
      </c>
      <c r="P1148" t="s">
        <v>50</v>
      </c>
      <c r="Q1148">
        <v>4</v>
      </c>
      <c r="R1148" t="s">
        <v>38</v>
      </c>
      <c r="S1148" s="6">
        <v>9362</v>
      </c>
      <c r="T1148">
        <v>19944</v>
      </c>
      <c r="U1148">
        <v>2</v>
      </c>
      <c r="V1148" t="s">
        <v>39</v>
      </c>
      <c r="W1148" t="s">
        <v>40</v>
      </c>
      <c r="X1148">
        <v>11</v>
      </c>
      <c r="Y1148">
        <v>3</v>
      </c>
      <c r="Z1148">
        <v>3</v>
      </c>
      <c r="AA1148">
        <v>80</v>
      </c>
      <c r="AB1148">
        <v>0</v>
      </c>
      <c r="AC1148">
        <v>10</v>
      </c>
      <c r="AD1148">
        <v>2</v>
      </c>
      <c r="AE1148">
        <v>3</v>
      </c>
      <c r="AF1148">
        <v>2</v>
      </c>
      <c r="AG1148">
        <v>2</v>
      </c>
      <c r="AH1148">
        <v>2</v>
      </c>
      <c r="AI1148">
        <v>2</v>
      </c>
    </row>
    <row r="1149" spans="1:35" x14ac:dyDescent="0.3">
      <c r="A1149">
        <v>45</v>
      </c>
      <c r="B1149" t="s">
        <v>40</v>
      </c>
      <c r="C1149" t="s">
        <v>33</v>
      </c>
      <c r="D1149">
        <v>1448</v>
      </c>
      <c r="E1149" t="s">
        <v>42</v>
      </c>
      <c r="F1149">
        <v>29</v>
      </c>
      <c r="G1149">
        <v>3</v>
      </c>
      <c r="H1149" t="s">
        <v>57</v>
      </c>
      <c r="I1149">
        <v>1</v>
      </c>
      <c r="J1149">
        <v>1465</v>
      </c>
      <c r="K1149">
        <v>2</v>
      </c>
      <c r="L1149" s="17" t="s">
        <v>43</v>
      </c>
      <c r="M1149">
        <v>55</v>
      </c>
      <c r="N1149">
        <v>3</v>
      </c>
      <c r="O1149">
        <v>3</v>
      </c>
      <c r="P1149" t="s">
        <v>50</v>
      </c>
      <c r="Q1149">
        <v>4</v>
      </c>
      <c r="R1149" t="s">
        <v>45</v>
      </c>
      <c r="S1149" s="6">
        <v>9380</v>
      </c>
      <c r="T1149">
        <v>14720</v>
      </c>
      <c r="U1149">
        <v>4</v>
      </c>
      <c r="V1149" t="s">
        <v>39</v>
      </c>
      <c r="W1149" t="s">
        <v>32</v>
      </c>
      <c r="X1149">
        <v>18</v>
      </c>
      <c r="Y1149">
        <v>3</v>
      </c>
      <c r="Z1149">
        <v>4</v>
      </c>
      <c r="AA1149">
        <v>80</v>
      </c>
      <c r="AB1149">
        <v>2</v>
      </c>
      <c r="AC1149">
        <v>10</v>
      </c>
      <c r="AD1149">
        <v>4</v>
      </c>
      <c r="AE1149">
        <v>4</v>
      </c>
      <c r="AF1149">
        <v>3</v>
      </c>
      <c r="AG1149">
        <v>1</v>
      </c>
      <c r="AH1149">
        <v>1</v>
      </c>
      <c r="AI1149">
        <v>2</v>
      </c>
    </row>
    <row r="1150" spans="1:35" x14ac:dyDescent="0.3">
      <c r="A1150">
        <v>46</v>
      </c>
      <c r="B1150" t="s">
        <v>40</v>
      </c>
      <c r="C1150" t="s">
        <v>33</v>
      </c>
      <c r="D1150">
        <v>644</v>
      </c>
      <c r="E1150" t="s">
        <v>42</v>
      </c>
      <c r="F1150">
        <v>1</v>
      </c>
      <c r="G1150">
        <v>4</v>
      </c>
      <c r="H1150" t="s">
        <v>48</v>
      </c>
      <c r="I1150">
        <v>1</v>
      </c>
      <c r="J1150">
        <v>288</v>
      </c>
      <c r="K1150">
        <v>4</v>
      </c>
      <c r="L1150" s="17" t="s">
        <v>43</v>
      </c>
      <c r="M1150">
        <v>97</v>
      </c>
      <c r="N1150">
        <v>3</v>
      </c>
      <c r="O1150">
        <v>3</v>
      </c>
      <c r="P1150" t="s">
        <v>51</v>
      </c>
      <c r="Q1150">
        <v>1</v>
      </c>
      <c r="R1150" t="s">
        <v>49</v>
      </c>
      <c r="S1150" s="6">
        <v>9396</v>
      </c>
      <c r="T1150">
        <v>12368</v>
      </c>
      <c r="U1150">
        <v>7</v>
      </c>
      <c r="V1150" t="s">
        <v>39</v>
      </c>
      <c r="W1150" t="s">
        <v>40</v>
      </c>
      <c r="X1150">
        <v>16</v>
      </c>
      <c r="Y1150">
        <v>3</v>
      </c>
      <c r="Z1150">
        <v>3</v>
      </c>
      <c r="AA1150">
        <v>80</v>
      </c>
      <c r="AB1150">
        <v>1</v>
      </c>
      <c r="AC1150">
        <v>17</v>
      </c>
      <c r="AD1150">
        <v>3</v>
      </c>
      <c r="AE1150">
        <v>3</v>
      </c>
      <c r="AF1150">
        <v>4</v>
      </c>
      <c r="AG1150">
        <v>2</v>
      </c>
      <c r="AH1150">
        <v>0</v>
      </c>
      <c r="AI1150">
        <v>3</v>
      </c>
    </row>
    <row r="1151" spans="1:35" x14ac:dyDescent="0.3">
      <c r="A1151">
        <v>30</v>
      </c>
      <c r="B1151" t="s">
        <v>40</v>
      </c>
      <c r="C1151" t="s">
        <v>33</v>
      </c>
      <c r="D1151">
        <v>1339</v>
      </c>
      <c r="E1151" t="s">
        <v>34</v>
      </c>
      <c r="F1151">
        <v>5</v>
      </c>
      <c r="G1151">
        <v>3</v>
      </c>
      <c r="H1151" t="s">
        <v>35</v>
      </c>
      <c r="I1151">
        <v>1</v>
      </c>
      <c r="J1151">
        <v>228</v>
      </c>
      <c r="K1151">
        <v>2</v>
      </c>
      <c r="L1151" s="17" t="s">
        <v>36</v>
      </c>
      <c r="M1151">
        <v>41</v>
      </c>
      <c r="N1151">
        <v>3</v>
      </c>
      <c r="O1151">
        <v>3</v>
      </c>
      <c r="P1151" t="s">
        <v>37</v>
      </c>
      <c r="Q1151">
        <v>4</v>
      </c>
      <c r="R1151" t="s">
        <v>45</v>
      </c>
      <c r="S1151" s="6">
        <v>9419</v>
      </c>
      <c r="T1151">
        <v>8053</v>
      </c>
      <c r="U1151">
        <v>2</v>
      </c>
      <c r="V1151" t="s">
        <v>39</v>
      </c>
      <c r="W1151" t="s">
        <v>40</v>
      </c>
      <c r="X1151">
        <v>12</v>
      </c>
      <c r="Y1151">
        <v>3</v>
      </c>
      <c r="Z1151">
        <v>3</v>
      </c>
      <c r="AA1151">
        <v>80</v>
      </c>
      <c r="AB1151">
        <v>1</v>
      </c>
      <c r="AC1151">
        <v>12</v>
      </c>
      <c r="AD1151">
        <v>2</v>
      </c>
      <c r="AE1151">
        <v>3</v>
      </c>
      <c r="AF1151">
        <v>10</v>
      </c>
      <c r="AG1151">
        <v>9</v>
      </c>
      <c r="AH1151">
        <v>7</v>
      </c>
      <c r="AI1151">
        <v>4</v>
      </c>
    </row>
    <row r="1152" spans="1:35" x14ac:dyDescent="0.3">
      <c r="A1152">
        <v>37</v>
      </c>
      <c r="B1152" t="s">
        <v>40</v>
      </c>
      <c r="C1152" t="s">
        <v>33</v>
      </c>
      <c r="D1152">
        <v>482</v>
      </c>
      <c r="E1152" t="s">
        <v>42</v>
      </c>
      <c r="F1152">
        <v>3</v>
      </c>
      <c r="G1152">
        <v>3</v>
      </c>
      <c r="H1152" t="s">
        <v>46</v>
      </c>
      <c r="I1152">
        <v>1</v>
      </c>
      <c r="J1152">
        <v>689</v>
      </c>
      <c r="K1152">
        <v>3</v>
      </c>
      <c r="L1152" s="17" t="s">
        <v>43</v>
      </c>
      <c r="M1152">
        <v>36</v>
      </c>
      <c r="N1152">
        <v>3</v>
      </c>
      <c r="O1152">
        <v>3</v>
      </c>
      <c r="P1152" t="s">
        <v>50</v>
      </c>
      <c r="Q1152">
        <v>3</v>
      </c>
      <c r="R1152" t="s">
        <v>45</v>
      </c>
      <c r="S1152" s="6">
        <v>9434</v>
      </c>
      <c r="T1152">
        <v>9606</v>
      </c>
      <c r="U1152">
        <v>1</v>
      </c>
      <c r="V1152" t="s">
        <v>39</v>
      </c>
      <c r="W1152" t="s">
        <v>40</v>
      </c>
      <c r="X1152">
        <v>15</v>
      </c>
      <c r="Y1152">
        <v>3</v>
      </c>
      <c r="Z1152">
        <v>3</v>
      </c>
      <c r="AA1152">
        <v>80</v>
      </c>
      <c r="AB1152">
        <v>1</v>
      </c>
      <c r="AC1152">
        <v>10</v>
      </c>
      <c r="AD1152">
        <v>2</v>
      </c>
      <c r="AE1152">
        <v>3</v>
      </c>
      <c r="AF1152">
        <v>10</v>
      </c>
      <c r="AG1152">
        <v>7</v>
      </c>
      <c r="AH1152">
        <v>7</v>
      </c>
      <c r="AI1152">
        <v>8</v>
      </c>
    </row>
    <row r="1153" spans="1:35" x14ac:dyDescent="0.3">
      <c r="A1153">
        <v>57</v>
      </c>
      <c r="B1153" t="s">
        <v>40</v>
      </c>
      <c r="C1153" t="s">
        <v>33</v>
      </c>
      <c r="D1153">
        <v>334</v>
      </c>
      <c r="E1153" t="s">
        <v>42</v>
      </c>
      <c r="F1153">
        <v>24</v>
      </c>
      <c r="G1153">
        <v>2</v>
      </c>
      <c r="H1153" t="s">
        <v>35</v>
      </c>
      <c r="I1153">
        <v>1</v>
      </c>
      <c r="J1153">
        <v>223</v>
      </c>
      <c r="K1153">
        <v>3</v>
      </c>
      <c r="L1153" s="17" t="s">
        <v>43</v>
      </c>
      <c r="M1153">
        <v>83</v>
      </c>
      <c r="N1153">
        <v>4</v>
      </c>
      <c r="O1153">
        <v>3</v>
      </c>
      <c r="P1153" t="s">
        <v>51</v>
      </c>
      <c r="Q1153">
        <v>4</v>
      </c>
      <c r="R1153" t="s">
        <v>49</v>
      </c>
      <c r="S1153" s="6">
        <v>9439</v>
      </c>
      <c r="T1153">
        <v>23402</v>
      </c>
      <c r="U1153">
        <v>3</v>
      </c>
      <c r="V1153" t="s">
        <v>39</v>
      </c>
      <c r="W1153" t="s">
        <v>32</v>
      </c>
      <c r="X1153">
        <v>16</v>
      </c>
      <c r="Y1153">
        <v>3</v>
      </c>
      <c r="Z1153">
        <v>2</v>
      </c>
      <c r="AA1153">
        <v>80</v>
      </c>
      <c r="AB1153">
        <v>1</v>
      </c>
      <c r="AC1153">
        <v>12</v>
      </c>
      <c r="AD1153">
        <v>2</v>
      </c>
      <c r="AE1153">
        <v>1</v>
      </c>
      <c r="AF1153">
        <v>5</v>
      </c>
      <c r="AG1153">
        <v>3</v>
      </c>
      <c r="AH1153">
        <v>1</v>
      </c>
      <c r="AI1153">
        <v>4</v>
      </c>
    </row>
    <row r="1154" spans="1:35" x14ac:dyDescent="0.3">
      <c r="A1154">
        <v>37</v>
      </c>
      <c r="B1154" t="s">
        <v>40</v>
      </c>
      <c r="C1154" t="s">
        <v>41</v>
      </c>
      <c r="D1154">
        <v>1278</v>
      </c>
      <c r="E1154" t="s">
        <v>34</v>
      </c>
      <c r="F1154">
        <v>1</v>
      </c>
      <c r="G1154">
        <v>4</v>
      </c>
      <c r="H1154" t="s">
        <v>48</v>
      </c>
      <c r="I1154">
        <v>1</v>
      </c>
      <c r="J1154">
        <v>1700</v>
      </c>
      <c r="K1154">
        <v>3</v>
      </c>
      <c r="L1154" s="17" t="s">
        <v>43</v>
      </c>
      <c r="M1154">
        <v>31</v>
      </c>
      <c r="N1154">
        <v>1</v>
      </c>
      <c r="O1154">
        <v>2</v>
      </c>
      <c r="P1154" t="s">
        <v>37</v>
      </c>
      <c r="Q1154">
        <v>4</v>
      </c>
      <c r="R1154" t="s">
        <v>49</v>
      </c>
      <c r="S1154" s="6">
        <v>9525</v>
      </c>
      <c r="T1154">
        <v>7677</v>
      </c>
      <c r="U1154">
        <v>1</v>
      </c>
      <c r="V1154" t="s">
        <v>39</v>
      </c>
      <c r="W1154" t="s">
        <v>40</v>
      </c>
      <c r="X1154">
        <v>14</v>
      </c>
      <c r="Y1154">
        <v>3</v>
      </c>
      <c r="Z1154">
        <v>3</v>
      </c>
      <c r="AA1154">
        <v>80</v>
      </c>
      <c r="AB1154">
        <v>2</v>
      </c>
      <c r="AC1154">
        <v>6</v>
      </c>
      <c r="AD1154">
        <v>2</v>
      </c>
      <c r="AE1154">
        <v>2</v>
      </c>
      <c r="AF1154">
        <v>6</v>
      </c>
      <c r="AG1154">
        <v>3</v>
      </c>
      <c r="AH1154">
        <v>1</v>
      </c>
      <c r="AI1154">
        <v>3</v>
      </c>
    </row>
    <row r="1155" spans="1:35" x14ac:dyDescent="0.3">
      <c r="A1155">
        <v>38</v>
      </c>
      <c r="B1155" t="s">
        <v>40</v>
      </c>
      <c r="C1155" t="s">
        <v>41</v>
      </c>
      <c r="D1155">
        <v>216</v>
      </c>
      <c r="E1155" t="s">
        <v>42</v>
      </c>
      <c r="F1155">
        <v>23</v>
      </c>
      <c r="G1155">
        <v>3</v>
      </c>
      <c r="H1155" t="s">
        <v>35</v>
      </c>
      <c r="I1155">
        <v>1</v>
      </c>
      <c r="J1155">
        <v>12</v>
      </c>
      <c r="K1155">
        <v>4</v>
      </c>
      <c r="L1155" s="17" t="s">
        <v>43</v>
      </c>
      <c r="M1155">
        <v>44</v>
      </c>
      <c r="N1155">
        <v>2</v>
      </c>
      <c r="O1155">
        <v>3</v>
      </c>
      <c r="P1155" t="s">
        <v>50</v>
      </c>
      <c r="Q1155">
        <v>3</v>
      </c>
      <c r="R1155" t="s">
        <v>38</v>
      </c>
      <c r="S1155" s="6">
        <v>9526</v>
      </c>
      <c r="T1155">
        <v>8787</v>
      </c>
      <c r="U1155">
        <v>0</v>
      </c>
      <c r="V1155" t="s">
        <v>39</v>
      </c>
      <c r="W1155" t="s">
        <v>40</v>
      </c>
      <c r="X1155">
        <v>21</v>
      </c>
      <c r="Y1155">
        <v>4</v>
      </c>
      <c r="Z1155">
        <v>2</v>
      </c>
      <c r="AA1155">
        <v>80</v>
      </c>
      <c r="AB1155">
        <v>0</v>
      </c>
      <c r="AC1155">
        <v>10</v>
      </c>
      <c r="AD1155">
        <v>2</v>
      </c>
      <c r="AE1155">
        <v>3</v>
      </c>
      <c r="AF1155">
        <v>9</v>
      </c>
      <c r="AG1155">
        <v>7</v>
      </c>
      <c r="AH1155">
        <v>1</v>
      </c>
      <c r="AI1155">
        <v>8</v>
      </c>
    </row>
    <row r="1156" spans="1:35" x14ac:dyDescent="0.3">
      <c r="A1156">
        <v>34</v>
      </c>
      <c r="B1156" t="s">
        <v>40</v>
      </c>
      <c r="C1156" t="s">
        <v>41</v>
      </c>
      <c r="D1156">
        <v>1069</v>
      </c>
      <c r="E1156" t="s">
        <v>42</v>
      </c>
      <c r="F1156">
        <v>2</v>
      </c>
      <c r="G1156">
        <v>1</v>
      </c>
      <c r="H1156" t="s">
        <v>35</v>
      </c>
      <c r="I1156">
        <v>1</v>
      </c>
      <c r="J1156">
        <v>256</v>
      </c>
      <c r="K1156">
        <v>4</v>
      </c>
      <c r="L1156" s="17" t="s">
        <v>43</v>
      </c>
      <c r="M1156">
        <v>45</v>
      </c>
      <c r="N1156">
        <v>2</v>
      </c>
      <c r="O1156">
        <v>2</v>
      </c>
      <c r="P1156" t="s">
        <v>50</v>
      </c>
      <c r="Q1156">
        <v>3</v>
      </c>
      <c r="R1156" t="s">
        <v>45</v>
      </c>
      <c r="S1156" s="6">
        <v>9547</v>
      </c>
      <c r="T1156">
        <v>14074</v>
      </c>
      <c r="U1156">
        <v>1</v>
      </c>
      <c r="V1156" t="s">
        <v>39</v>
      </c>
      <c r="W1156" t="s">
        <v>40</v>
      </c>
      <c r="X1156">
        <v>17</v>
      </c>
      <c r="Y1156">
        <v>3</v>
      </c>
      <c r="Z1156">
        <v>3</v>
      </c>
      <c r="AA1156">
        <v>80</v>
      </c>
      <c r="AB1156">
        <v>0</v>
      </c>
      <c r="AC1156">
        <v>10</v>
      </c>
      <c r="AD1156">
        <v>2</v>
      </c>
      <c r="AE1156">
        <v>2</v>
      </c>
      <c r="AF1156">
        <v>10</v>
      </c>
      <c r="AG1156">
        <v>9</v>
      </c>
      <c r="AH1156">
        <v>1</v>
      </c>
      <c r="AI1156">
        <v>9</v>
      </c>
    </row>
    <row r="1157" spans="1:35" x14ac:dyDescent="0.3">
      <c r="A1157">
        <v>35</v>
      </c>
      <c r="B1157" t="s">
        <v>32</v>
      </c>
      <c r="C1157" t="s">
        <v>33</v>
      </c>
      <c r="D1157">
        <v>1204</v>
      </c>
      <c r="E1157" t="s">
        <v>34</v>
      </c>
      <c r="F1157">
        <v>4</v>
      </c>
      <c r="G1157">
        <v>3</v>
      </c>
      <c r="H1157" t="s">
        <v>57</v>
      </c>
      <c r="I1157">
        <v>1</v>
      </c>
      <c r="J1157">
        <v>1100</v>
      </c>
      <c r="K1157">
        <v>4</v>
      </c>
      <c r="L1157" s="17" t="s">
        <v>43</v>
      </c>
      <c r="M1157">
        <v>86</v>
      </c>
      <c r="N1157">
        <v>3</v>
      </c>
      <c r="O1157">
        <v>3</v>
      </c>
      <c r="P1157" t="s">
        <v>37</v>
      </c>
      <c r="Q1157">
        <v>1</v>
      </c>
      <c r="R1157" t="s">
        <v>38</v>
      </c>
      <c r="S1157" s="6">
        <v>9582</v>
      </c>
      <c r="T1157">
        <v>10333</v>
      </c>
      <c r="U1157">
        <v>0</v>
      </c>
      <c r="V1157" t="s">
        <v>39</v>
      </c>
      <c r="W1157" t="s">
        <v>32</v>
      </c>
      <c r="X1157">
        <v>22</v>
      </c>
      <c r="Y1157">
        <v>4</v>
      </c>
      <c r="Z1157">
        <v>1</v>
      </c>
      <c r="AA1157">
        <v>80</v>
      </c>
      <c r="AB1157">
        <v>0</v>
      </c>
      <c r="AC1157">
        <v>9</v>
      </c>
      <c r="AD1157">
        <v>2</v>
      </c>
      <c r="AE1157">
        <v>3</v>
      </c>
      <c r="AF1157">
        <v>8</v>
      </c>
      <c r="AG1157">
        <v>7</v>
      </c>
      <c r="AH1157">
        <v>4</v>
      </c>
      <c r="AI1157">
        <v>7</v>
      </c>
    </row>
    <row r="1158" spans="1:35" x14ac:dyDescent="0.3">
      <c r="A1158">
        <v>37</v>
      </c>
      <c r="B1158" t="s">
        <v>40</v>
      </c>
      <c r="C1158" t="s">
        <v>33</v>
      </c>
      <c r="D1158">
        <v>558</v>
      </c>
      <c r="E1158" t="s">
        <v>34</v>
      </c>
      <c r="F1158">
        <v>2</v>
      </c>
      <c r="G1158">
        <v>3</v>
      </c>
      <c r="H1158" t="s">
        <v>56</v>
      </c>
      <c r="I1158">
        <v>1</v>
      </c>
      <c r="J1158">
        <v>656</v>
      </c>
      <c r="K1158">
        <v>4</v>
      </c>
      <c r="L1158" s="17" t="s">
        <v>43</v>
      </c>
      <c r="M1158">
        <v>75</v>
      </c>
      <c r="N1158">
        <v>3</v>
      </c>
      <c r="O1158">
        <v>2</v>
      </c>
      <c r="P1158" t="s">
        <v>37</v>
      </c>
      <c r="Q1158">
        <v>3</v>
      </c>
      <c r="R1158" t="s">
        <v>45</v>
      </c>
      <c r="S1158" s="6">
        <v>9602</v>
      </c>
      <c r="T1158">
        <v>3010</v>
      </c>
      <c r="U1158">
        <v>4</v>
      </c>
      <c r="V1158" t="s">
        <v>39</v>
      </c>
      <c r="W1158" t="s">
        <v>32</v>
      </c>
      <c r="X1158">
        <v>11</v>
      </c>
      <c r="Y1158">
        <v>3</v>
      </c>
      <c r="Z1158">
        <v>3</v>
      </c>
      <c r="AA1158">
        <v>80</v>
      </c>
      <c r="AB1158">
        <v>1</v>
      </c>
      <c r="AC1158">
        <v>17</v>
      </c>
      <c r="AD1158">
        <v>3</v>
      </c>
      <c r="AE1158">
        <v>2</v>
      </c>
      <c r="AF1158">
        <v>3</v>
      </c>
      <c r="AG1158">
        <v>0</v>
      </c>
      <c r="AH1158">
        <v>1</v>
      </c>
      <c r="AI1158">
        <v>0</v>
      </c>
    </row>
    <row r="1159" spans="1:35" x14ac:dyDescent="0.3">
      <c r="A1159">
        <v>32</v>
      </c>
      <c r="B1159" t="s">
        <v>40</v>
      </c>
      <c r="C1159" t="s">
        <v>33</v>
      </c>
      <c r="D1159">
        <v>371</v>
      </c>
      <c r="E1159" t="s">
        <v>34</v>
      </c>
      <c r="F1159">
        <v>19</v>
      </c>
      <c r="G1159">
        <v>3</v>
      </c>
      <c r="H1159" t="s">
        <v>35</v>
      </c>
      <c r="I1159">
        <v>1</v>
      </c>
      <c r="J1159">
        <v>1739</v>
      </c>
      <c r="K1159">
        <v>4</v>
      </c>
      <c r="L1159" s="17" t="s">
        <v>43</v>
      </c>
      <c r="M1159">
        <v>80</v>
      </c>
      <c r="N1159">
        <v>1</v>
      </c>
      <c r="O1159">
        <v>3</v>
      </c>
      <c r="P1159" t="s">
        <v>37</v>
      </c>
      <c r="Q1159">
        <v>3</v>
      </c>
      <c r="R1159" t="s">
        <v>45</v>
      </c>
      <c r="S1159" s="6">
        <v>9610</v>
      </c>
      <c r="T1159">
        <v>3840</v>
      </c>
      <c r="U1159">
        <v>3</v>
      </c>
      <c r="V1159" t="s">
        <v>39</v>
      </c>
      <c r="W1159" t="s">
        <v>40</v>
      </c>
      <c r="X1159">
        <v>13</v>
      </c>
      <c r="Y1159">
        <v>3</v>
      </c>
      <c r="Z1159">
        <v>3</v>
      </c>
      <c r="AA1159">
        <v>80</v>
      </c>
      <c r="AB1159">
        <v>1</v>
      </c>
      <c r="AC1159">
        <v>10</v>
      </c>
      <c r="AD1159">
        <v>2</v>
      </c>
      <c r="AE1159">
        <v>1</v>
      </c>
      <c r="AF1159">
        <v>4</v>
      </c>
      <c r="AG1159">
        <v>3</v>
      </c>
      <c r="AH1159">
        <v>0</v>
      </c>
      <c r="AI1159">
        <v>2</v>
      </c>
    </row>
    <row r="1160" spans="1:35" x14ac:dyDescent="0.3">
      <c r="A1160">
        <v>39</v>
      </c>
      <c r="B1160" t="s">
        <v>40</v>
      </c>
      <c r="C1160" t="s">
        <v>33</v>
      </c>
      <c r="D1160">
        <v>1132</v>
      </c>
      <c r="E1160" t="s">
        <v>42</v>
      </c>
      <c r="F1160">
        <v>1</v>
      </c>
      <c r="G1160">
        <v>3</v>
      </c>
      <c r="H1160" t="s">
        <v>48</v>
      </c>
      <c r="I1160">
        <v>1</v>
      </c>
      <c r="J1160">
        <v>417</v>
      </c>
      <c r="K1160">
        <v>3</v>
      </c>
      <c r="L1160" s="17" t="s">
        <v>43</v>
      </c>
      <c r="M1160">
        <v>48</v>
      </c>
      <c r="N1160">
        <v>4</v>
      </c>
      <c r="O1160">
        <v>3</v>
      </c>
      <c r="P1160" t="s">
        <v>51</v>
      </c>
      <c r="Q1160">
        <v>4</v>
      </c>
      <c r="R1160" t="s">
        <v>49</v>
      </c>
      <c r="S1160" s="6">
        <v>9613</v>
      </c>
      <c r="T1160">
        <v>10942</v>
      </c>
      <c r="U1160">
        <v>0</v>
      </c>
      <c r="V1160" t="s">
        <v>39</v>
      </c>
      <c r="W1160" t="s">
        <v>40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19</v>
      </c>
      <c r="AD1160">
        <v>5</v>
      </c>
      <c r="AE1160">
        <v>2</v>
      </c>
      <c r="AF1160">
        <v>18</v>
      </c>
      <c r="AG1160">
        <v>10</v>
      </c>
      <c r="AH1160">
        <v>3</v>
      </c>
      <c r="AI1160">
        <v>7</v>
      </c>
    </row>
    <row r="1161" spans="1:35" x14ac:dyDescent="0.3">
      <c r="A1161">
        <v>46</v>
      </c>
      <c r="B1161" t="s">
        <v>32</v>
      </c>
      <c r="C1161" t="s">
        <v>33</v>
      </c>
      <c r="D1161">
        <v>669</v>
      </c>
      <c r="E1161" t="s">
        <v>34</v>
      </c>
      <c r="F1161">
        <v>9</v>
      </c>
      <c r="G1161">
        <v>2</v>
      </c>
      <c r="H1161" t="s">
        <v>48</v>
      </c>
      <c r="I1161">
        <v>1</v>
      </c>
      <c r="J1161">
        <v>118</v>
      </c>
      <c r="K1161">
        <v>3</v>
      </c>
      <c r="L1161" s="17" t="s">
        <v>43</v>
      </c>
      <c r="M1161">
        <v>64</v>
      </c>
      <c r="N1161">
        <v>2</v>
      </c>
      <c r="O1161">
        <v>3</v>
      </c>
      <c r="P1161" t="s">
        <v>37</v>
      </c>
      <c r="Q1161">
        <v>4</v>
      </c>
      <c r="R1161" t="s">
        <v>38</v>
      </c>
      <c r="S1161" s="6">
        <v>9619</v>
      </c>
      <c r="T1161">
        <v>13596</v>
      </c>
      <c r="U1161">
        <v>1</v>
      </c>
      <c r="V1161" t="s">
        <v>39</v>
      </c>
      <c r="W1161" t="s">
        <v>40</v>
      </c>
      <c r="X1161">
        <v>16</v>
      </c>
      <c r="Y1161">
        <v>3</v>
      </c>
      <c r="Z1161">
        <v>4</v>
      </c>
      <c r="AA1161">
        <v>80</v>
      </c>
      <c r="AB1161">
        <v>0</v>
      </c>
      <c r="AC1161">
        <v>9</v>
      </c>
      <c r="AD1161">
        <v>3</v>
      </c>
      <c r="AE1161">
        <v>3</v>
      </c>
      <c r="AF1161">
        <v>9</v>
      </c>
      <c r="AG1161">
        <v>8</v>
      </c>
      <c r="AH1161">
        <v>4</v>
      </c>
      <c r="AI1161">
        <v>7</v>
      </c>
    </row>
    <row r="1162" spans="1:35" x14ac:dyDescent="0.3">
      <c r="A1162">
        <v>31</v>
      </c>
      <c r="B1162" t="s">
        <v>40</v>
      </c>
      <c r="C1162" t="s">
        <v>41</v>
      </c>
      <c r="D1162">
        <v>1125</v>
      </c>
      <c r="E1162" t="s">
        <v>34</v>
      </c>
      <c r="F1162">
        <v>7</v>
      </c>
      <c r="G1162">
        <v>4</v>
      </c>
      <c r="H1162" t="s">
        <v>56</v>
      </c>
      <c r="I1162">
        <v>1</v>
      </c>
      <c r="J1162">
        <v>1833</v>
      </c>
      <c r="K1162">
        <v>1</v>
      </c>
      <c r="L1162" s="17" t="s">
        <v>36</v>
      </c>
      <c r="M1162">
        <v>68</v>
      </c>
      <c r="N1162">
        <v>3</v>
      </c>
      <c r="O1162">
        <v>3</v>
      </c>
      <c r="P1162" t="s">
        <v>37</v>
      </c>
      <c r="Q1162">
        <v>1</v>
      </c>
      <c r="R1162" t="s">
        <v>45</v>
      </c>
      <c r="S1162" s="6">
        <v>9637</v>
      </c>
      <c r="T1162">
        <v>8277</v>
      </c>
      <c r="U1162">
        <v>2</v>
      </c>
      <c r="V1162" t="s">
        <v>39</v>
      </c>
      <c r="W1162" t="s">
        <v>40</v>
      </c>
      <c r="X1162">
        <v>14</v>
      </c>
      <c r="Y1162">
        <v>3</v>
      </c>
      <c r="Z1162">
        <v>4</v>
      </c>
      <c r="AA1162">
        <v>80</v>
      </c>
      <c r="AB1162">
        <v>2</v>
      </c>
      <c r="AC1162">
        <v>9</v>
      </c>
      <c r="AD1162">
        <v>3</v>
      </c>
      <c r="AE1162">
        <v>3</v>
      </c>
      <c r="AF1162">
        <v>3</v>
      </c>
      <c r="AG1162">
        <v>2</v>
      </c>
      <c r="AH1162">
        <v>2</v>
      </c>
      <c r="AI1162">
        <v>2</v>
      </c>
    </row>
    <row r="1163" spans="1:35" x14ac:dyDescent="0.3">
      <c r="A1163">
        <v>30</v>
      </c>
      <c r="B1163" t="s">
        <v>40</v>
      </c>
      <c r="C1163" t="s">
        <v>33</v>
      </c>
      <c r="D1163">
        <v>1092</v>
      </c>
      <c r="E1163" t="s">
        <v>42</v>
      </c>
      <c r="F1163">
        <v>10</v>
      </c>
      <c r="G1163">
        <v>3</v>
      </c>
      <c r="H1163" t="s">
        <v>48</v>
      </c>
      <c r="I1163">
        <v>1</v>
      </c>
      <c r="J1163">
        <v>1816</v>
      </c>
      <c r="K1163">
        <v>1</v>
      </c>
      <c r="L1163" s="17" t="s">
        <v>36</v>
      </c>
      <c r="M1163">
        <v>64</v>
      </c>
      <c r="N1163">
        <v>3</v>
      </c>
      <c r="O1163">
        <v>3</v>
      </c>
      <c r="P1163" t="s">
        <v>50</v>
      </c>
      <c r="Q1163">
        <v>3</v>
      </c>
      <c r="R1163" t="s">
        <v>38</v>
      </c>
      <c r="S1163" s="6">
        <v>9667</v>
      </c>
      <c r="T1163">
        <v>2739</v>
      </c>
      <c r="U1163">
        <v>9</v>
      </c>
      <c r="V1163" t="s">
        <v>39</v>
      </c>
      <c r="W1163" t="s">
        <v>40</v>
      </c>
      <c r="X1163">
        <v>14</v>
      </c>
      <c r="Y1163">
        <v>3</v>
      </c>
      <c r="Z1163">
        <v>2</v>
      </c>
      <c r="AA1163">
        <v>80</v>
      </c>
      <c r="AB1163">
        <v>0</v>
      </c>
      <c r="AC1163">
        <v>9</v>
      </c>
      <c r="AD1163">
        <v>3</v>
      </c>
      <c r="AE1163">
        <v>3</v>
      </c>
      <c r="AF1163">
        <v>7</v>
      </c>
      <c r="AG1163">
        <v>7</v>
      </c>
      <c r="AH1163">
        <v>0</v>
      </c>
      <c r="AI1163">
        <v>2</v>
      </c>
    </row>
    <row r="1164" spans="1:35" x14ac:dyDescent="0.3">
      <c r="A1164">
        <v>32</v>
      </c>
      <c r="B1164" t="s">
        <v>40</v>
      </c>
      <c r="C1164" t="s">
        <v>33</v>
      </c>
      <c r="D1164">
        <v>1373</v>
      </c>
      <c r="E1164" t="s">
        <v>42</v>
      </c>
      <c r="F1164">
        <v>5</v>
      </c>
      <c r="G1164">
        <v>4</v>
      </c>
      <c r="H1164" t="s">
        <v>35</v>
      </c>
      <c r="I1164">
        <v>1</v>
      </c>
      <c r="J1164">
        <v>1966</v>
      </c>
      <c r="K1164">
        <v>4</v>
      </c>
      <c r="L1164" s="17" t="s">
        <v>43</v>
      </c>
      <c r="M1164">
        <v>56</v>
      </c>
      <c r="N1164">
        <v>2</v>
      </c>
      <c r="O1164">
        <v>2</v>
      </c>
      <c r="P1164" t="s">
        <v>50</v>
      </c>
      <c r="Q1164">
        <v>4</v>
      </c>
      <c r="R1164" t="s">
        <v>38</v>
      </c>
      <c r="S1164" s="6">
        <v>9679</v>
      </c>
      <c r="T1164">
        <v>10138</v>
      </c>
      <c r="U1164">
        <v>8</v>
      </c>
      <c r="V1164" t="s">
        <v>39</v>
      </c>
      <c r="W1164" t="s">
        <v>40</v>
      </c>
      <c r="X1164">
        <v>24</v>
      </c>
      <c r="Y1164">
        <v>4</v>
      </c>
      <c r="Z1164">
        <v>2</v>
      </c>
      <c r="AA1164">
        <v>80</v>
      </c>
      <c r="AB1164">
        <v>0</v>
      </c>
      <c r="AC1164">
        <v>8</v>
      </c>
      <c r="AD1164">
        <v>1</v>
      </c>
      <c r="AE1164">
        <v>3</v>
      </c>
      <c r="AF1164">
        <v>1</v>
      </c>
      <c r="AG1164">
        <v>0</v>
      </c>
      <c r="AH1164">
        <v>0</v>
      </c>
      <c r="AI1164">
        <v>0</v>
      </c>
    </row>
    <row r="1165" spans="1:35" x14ac:dyDescent="0.3">
      <c r="A1165">
        <v>36</v>
      </c>
      <c r="B1165" t="s">
        <v>40</v>
      </c>
      <c r="C1165" t="s">
        <v>41</v>
      </c>
      <c r="D1165">
        <v>541</v>
      </c>
      <c r="E1165" t="s">
        <v>34</v>
      </c>
      <c r="F1165">
        <v>3</v>
      </c>
      <c r="G1165">
        <v>4</v>
      </c>
      <c r="H1165" t="s">
        <v>48</v>
      </c>
      <c r="I1165">
        <v>1</v>
      </c>
      <c r="J1165">
        <v>481</v>
      </c>
      <c r="K1165">
        <v>1</v>
      </c>
      <c r="L1165" s="17" t="s">
        <v>43</v>
      </c>
      <c r="M1165">
        <v>48</v>
      </c>
      <c r="N1165">
        <v>2</v>
      </c>
      <c r="O1165">
        <v>3</v>
      </c>
      <c r="P1165" t="s">
        <v>37</v>
      </c>
      <c r="Q1165">
        <v>4</v>
      </c>
      <c r="R1165" t="s">
        <v>45</v>
      </c>
      <c r="S1165" s="6">
        <v>9699</v>
      </c>
      <c r="T1165">
        <v>7246</v>
      </c>
      <c r="U1165">
        <v>4</v>
      </c>
      <c r="V1165" t="s">
        <v>39</v>
      </c>
      <c r="W1165" t="s">
        <v>40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16</v>
      </c>
      <c r="AD1165">
        <v>2</v>
      </c>
      <c r="AE1165">
        <v>3</v>
      </c>
      <c r="AF1165">
        <v>13</v>
      </c>
      <c r="AG1165">
        <v>9</v>
      </c>
      <c r="AH1165">
        <v>1</v>
      </c>
      <c r="AI1165">
        <v>12</v>
      </c>
    </row>
    <row r="1166" spans="1:35" x14ac:dyDescent="0.3">
      <c r="A1166">
        <v>40</v>
      </c>
      <c r="B1166" t="s">
        <v>40</v>
      </c>
      <c r="C1166" t="s">
        <v>33</v>
      </c>
      <c r="D1166">
        <v>658</v>
      </c>
      <c r="E1166" t="s">
        <v>34</v>
      </c>
      <c r="F1166">
        <v>10</v>
      </c>
      <c r="G1166">
        <v>4</v>
      </c>
      <c r="H1166" t="s">
        <v>56</v>
      </c>
      <c r="I1166">
        <v>1</v>
      </c>
      <c r="J1166">
        <v>954</v>
      </c>
      <c r="K1166">
        <v>1</v>
      </c>
      <c r="L1166" s="17" t="s">
        <v>43</v>
      </c>
      <c r="M1166">
        <v>67</v>
      </c>
      <c r="N1166">
        <v>2</v>
      </c>
      <c r="O1166">
        <v>3</v>
      </c>
      <c r="P1166" t="s">
        <v>37</v>
      </c>
      <c r="Q1166">
        <v>2</v>
      </c>
      <c r="R1166" t="s">
        <v>49</v>
      </c>
      <c r="S1166" s="6">
        <v>9705</v>
      </c>
      <c r="T1166">
        <v>20652</v>
      </c>
      <c r="U1166">
        <v>2</v>
      </c>
      <c r="V1166" t="s">
        <v>39</v>
      </c>
      <c r="W1166" t="s">
        <v>40</v>
      </c>
      <c r="X1166">
        <v>12</v>
      </c>
      <c r="Y1166">
        <v>3</v>
      </c>
      <c r="Z1166">
        <v>2</v>
      </c>
      <c r="AA1166">
        <v>80</v>
      </c>
      <c r="AB1166">
        <v>1</v>
      </c>
      <c r="AC1166">
        <v>11</v>
      </c>
      <c r="AD1166">
        <v>2</v>
      </c>
      <c r="AE1166">
        <v>2</v>
      </c>
      <c r="AF1166">
        <v>1</v>
      </c>
      <c r="AG1166">
        <v>0</v>
      </c>
      <c r="AH1166">
        <v>0</v>
      </c>
      <c r="AI1166">
        <v>0</v>
      </c>
    </row>
    <row r="1167" spans="1:35" x14ac:dyDescent="0.3">
      <c r="A1167">
        <v>34</v>
      </c>
      <c r="B1167" t="s">
        <v>40</v>
      </c>
      <c r="C1167" t="s">
        <v>33</v>
      </c>
      <c r="D1167">
        <v>1480</v>
      </c>
      <c r="E1167" t="s">
        <v>34</v>
      </c>
      <c r="F1167">
        <v>4</v>
      </c>
      <c r="G1167">
        <v>3</v>
      </c>
      <c r="H1167" t="s">
        <v>35</v>
      </c>
      <c r="I1167">
        <v>1</v>
      </c>
      <c r="J1167">
        <v>1882</v>
      </c>
      <c r="K1167">
        <v>3</v>
      </c>
      <c r="L1167" s="17" t="s">
        <v>43</v>
      </c>
      <c r="M1167">
        <v>64</v>
      </c>
      <c r="N1167">
        <v>3</v>
      </c>
      <c r="O1167">
        <v>3</v>
      </c>
      <c r="P1167" t="s">
        <v>37</v>
      </c>
      <c r="Q1167">
        <v>4</v>
      </c>
      <c r="R1167" t="s">
        <v>45</v>
      </c>
      <c r="S1167" s="6">
        <v>9713</v>
      </c>
      <c r="T1167">
        <v>24444</v>
      </c>
      <c r="U1167">
        <v>2</v>
      </c>
      <c r="V1167" t="s">
        <v>39</v>
      </c>
      <c r="W1167" t="s">
        <v>32</v>
      </c>
      <c r="X1167">
        <v>13</v>
      </c>
      <c r="Y1167">
        <v>3</v>
      </c>
      <c r="Z1167">
        <v>4</v>
      </c>
      <c r="AA1167">
        <v>80</v>
      </c>
      <c r="AB1167">
        <v>3</v>
      </c>
      <c r="AC1167">
        <v>9</v>
      </c>
      <c r="AD1167">
        <v>3</v>
      </c>
      <c r="AE1167">
        <v>3</v>
      </c>
      <c r="AF1167">
        <v>5</v>
      </c>
      <c r="AG1167">
        <v>3</v>
      </c>
      <c r="AH1167">
        <v>1</v>
      </c>
      <c r="AI1167">
        <v>0</v>
      </c>
    </row>
    <row r="1168" spans="1:35" x14ac:dyDescent="0.3">
      <c r="A1168">
        <v>30</v>
      </c>
      <c r="B1168" t="s">
        <v>32</v>
      </c>
      <c r="C1168" t="s">
        <v>33</v>
      </c>
      <c r="D1168">
        <v>740</v>
      </c>
      <c r="E1168" t="s">
        <v>34</v>
      </c>
      <c r="F1168">
        <v>1</v>
      </c>
      <c r="G1168">
        <v>3</v>
      </c>
      <c r="H1168" t="s">
        <v>35</v>
      </c>
      <c r="I1168">
        <v>1</v>
      </c>
      <c r="J1168">
        <v>1562</v>
      </c>
      <c r="K1168">
        <v>2</v>
      </c>
      <c r="L1168" s="17" t="s">
        <v>43</v>
      </c>
      <c r="M1168">
        <v>64</v>
      </c>
      <c r="N1168">
        <v>2</v>
      </c>
      <c r="O1168">
        <v>2</v>
      </c>
      <c r="P1168" t="s">
        <v>37</v>
      </c>
      <c r="Q1168">
        <v>1</v>
      </c>
      <c r="R1168" t="s">
        <v>45</v>
      </c>
      <c r="S1168" s="6">
        <v>9714</v>
      </c>
      <c r="T1168">
        <v>5323</v>
      </c>
      <c r="U1168">
        <v>1</v>
      </c>
      <c r="V1168" t="s">
        <v>39</v>
      </c>
      <c r="W1168" t="s">
        <v>40</v>
      </c>
      <c r="X1168">
        <v>11</v>
      </c>
      <c r="Y1168">
        <v>3</v>
      </c>
      <c r="Z1168">
        <v>4</v>
      </c>
      <c r="AA1168">
        <v>80</v>
      </c>
      <c r="AB1168">
        <v>1</v>
      </c>
      <c r="AC1168">
        <v>10</v>
      </c>
      <c r="AD1168">
        <v>4</v>
      </c>
      <c r="AE1168">
        <v>3</v>
      </c>
      <c r="AF1168">
        <v>10</v>
      </c>
      <c r="AG1168">
        <v>8</v>
      </c>
      <c r="AH1168">
        <v>6</v>
      </c>
      <c r="AI1168">
        <v>7</v>
      </c>
    </row>
    <row r="1169" spans="1:35" x14ac:dyDescent="0.3">
      <c r="A1169">
        <v>29</v>
      </c>
      <c r="B1169" t="s">
        <v>40</v>
      </c>
      <c r="C1169" t="s">
        <v>33</v>
      </c>
      <c r="D1169">
        <v>441</v>
      </c>
      <c r="E1169" t="s">
        <v>42</v>
      </c>
      <c r="F1169">
        <v>8</v>
      </c>
      <c r="G1169">
        <v>1</v>
      </c>
      <c r="H1169" t="s">
        <v>46</v>
      </c>
      <c r="I1169">
        <v>1</v>
      </c>
      <c r="J1169">
        <v>1544</v>
      </c>
      <c r="K1169">
        <v>3</v>
      </c>
      <c r="L1169" s="17" t="s">
        <v>36</v>
      </c>
      <c r="M1169">
        <v>39</v>
      </c>
      <c r="N1169">
        <v>1</v>
      </c>
      <c r="O1169">
        <v>2</v>
      </c>
      <c r="P1169" t="s">
        <v>51</v>
      </c>
      <c r="Q1169">
        <v>1</v>
      </c>
      <c r="R1169" t="s">
        <v>45</v>
      </c>
      <c r="S1169" s="6">
        <v>9715</v>
      </c>
      <c r="T1169">
        <v>7288</v>
      </c>
      <c r="U1169">
        <v>3</v>
      </c>
      <c r="V1169" t="s">
        <v>39</v>
      </c>
      <c r="W1169" t="s">
        <v>40</v>
      </c>
      <c r="X1169">
        <v>13</v>
      </c>
      <c r="Y1169">
        <v>3</v>
      </c>
      <c r="Z1169">
        <v>3</v>
      </c>
      <c r="AA1169">
        <v>80</v>
      </c>
      <c r="AB1169">
        <v>1</v>
      </c>
      <c r="AC1169">
        <v>9</v>
      </c>
      <c r="AD1169">
        <v>3</v>
      </c>
      <c r="AE1169">
        <v>3</v>
      </c>
      <c r="AF1169">
        <v>7</v>
      </c>
      <c r="AG1169">
        <v>7</v>
      </c>
      <c r="AH1169">
        <v>0</v>
      </c>
      <c r="AI1169">
        <v>7</v>
      </c>
    </row>
    <row r="1170" spans="1:35" x14ac:dyDescent="0.3">
      <c r="A1170">
        <v>45</v>
      </c>
      <c r="B1170" t="s">
        <v>40</v>
      </c>
      <c r="C1170" t="s">
        <v>33</v>
      </c>
      <c r="D1170">
        <v>1339</v>
      </c>
      <c r="E1170" t="s">
        <v>42</v>
      </c>
      <c r="F1170">
        <v>7</v>
      </c>
      <c r="G1170">
        <v>3</v>
      </c>
      <c r="H1170" t="s">
        <v>35</v>
      </c>
      <c r="I1170">
        <v>1</v>
      </c>
      <c r="J1170">
        <v>86</v>
      </c>
      <c r="K1170">
        <v>2</v>
      </c>
      <c r="L1170" s="17" t="s">
        <v>43</v>
      </c>
      <c r="M1170">
        <v>59</v>
      </c>
      <c r="N1170">
        <v>3</v>
      </c>
      <c r="O1170">
        <v>3</v>
      </c>
      <c r="P1170" t="s">
        <v>44</v>
      </c>
      <c r="Q1170">
        <v>1</v>
      </c>
      <c r="R1170" t="s">
        <v>49</v>
      </c>
      <c r="S1170" s="6">
        <v>9724</v>
      </c>
      <c r="T1170">
        <v>18787</v>
      </c>
      <c r="U1170">
        <v>2</v>
      </c>
      <c r="V1170" t="s">
        <v>39</v>
      </c>
      <c r="W1170" t="s">
        <v>40</v>
      </c>
      <c r="X1170">
        <v>17</v>
      </c>
      <c r="Y1170">
        <v>3</v>
      </c>
      <c r="Z1170">
        <v>3</v>
      </c>
      <c r="AA1170">
        <v>80</v>
      </c>
      <c r="AB1170">
        <v>1</v>
      </c>
      <c r="AC1170">
        <v>25</v>
      </c>
      <c r="AD1170">
        <v>2</v>
      </c>
      <c r="AE1170">
        <v>3</v>
      </c>
      <c r="AF1170">
        <v>1</v>
      </c>
      <c r="AG1170">
        <v>0</v>
      </c>
      <c r="AH1170">
        <v>0</v>
      </c>
      <c r="AI1170">
        <v>0</v>
      </c>
    </row>
    <row r="1171" spans="1:35" x14ac:dyDescent="0.3">
      <c r="A1171">
        <v>34</v>
      </c>
      <c r="B1171" t="s">
        <v>40</v>
      </c>
      <c r="C1171" t="s">
        <v>33</v>
      </c>
      <c r="D1171">
        <v>216</v>
      </c>
      <c r="E1171" t="s">
        <v>34</v>
      </c>
      <c r="F1171">
        <v>1</v>
      </c>
      <c r="G1171">
        <v>4</v>
      </c>
      <c r="H1171" t="s">
        <v>56</v>
      </c>
      <c r="I1171">
        <v>1</v>
      </c>
      <c r="J1171">
        <v>1047</v>
      </c>
      <c r="K1171">
        <v>2</v>
      </c>
      <c r="L1171" s="17" t="s">
        <v>43</v>
      </c>
      <c r="M1171">
        <v>75</v>
      </c>
      <c r="N1171">
        <v>4</v>
      </c>
      <c r="O1171">
        <v>2</v>
      </c>
      <c r="P1171" t="s">
        <v>37</v>
      </c>
      <c r="Q1171">
        <v>4</v>
      </c>
      <c r="R1171" t="s">
        <v>49</v>
      </c>
      <c r="S1171" s="6">
        <v>9725</v>
      </c>
      <c r="T1171">
        <v>12278</v>
      </c>
      <c r="U1171">
        <v>0</v>
      </c>
      <c r="V1171" t="s">
        <v>39</v>
      </c>
      <c r="W1171" t="s">
        <v>40</v>
      </c>
      <c r="X1171">
        <v>11</v>
      </c>
      <c r="Y1171">
        <v>3</v>
      </c>
      <c r="Z1171">
        <v>4</v>
      </c>
      <c r="AA1171">
        <v>80</v>
      </c>
      <c r="AB1171">
        <v>1</v>
      </c>
      <c r="AC1171">
        <v>16</v>
      </c>
      <c r="AD1171">
        <v>2</v>
      </c>
      <c r="AE1171">
        <v>2</v>
      </c>
      <c r="AF1171">
        <v>15</v>
      </c>
      <c r="AG1171">
        <v>1</v>
      </c>
      <c r="AH1171">
        <v>0</v>
      </c>
      <c r="AI1171">
        <v>9</v>
      </c>
    </row>
    <row r="1172" spans="1:35" x14ac:dyDescent="0.3">
      <c r="A1172">
        <v>36</v>
      </c>
      <c r="B1172" t="s">
        <v>40</v>
      </c>
      <c r="C1172" t="s">
        <v>41</v>
      </c>
      <c r="D1172">
        <v>1467</v>
      </c>
      <c r="E1172" t="s">
        <v>34</v>
      </c>
      <c r="F1172">
        <v>11</v>
      </c>
      <c r="G1172">
        <v>2</v>
      </c>
      <c r="H1172" t="s">
        <v>57</v>
      </c>
      <c r="I1172">
        <v>1</v>
      </c>
      <c r="J1172">
        <v>154</v>
      </c>
      <c r="K1172">
        <v>2</v>
      </c>
      <c r="L1172" s="17" t="s">
        <v>36</v>
      </c>
      <c r="M1172">
        <v>92</v>
      </c>
      <c r="N1172">
        <v>3</v>
      </c>
      <c r="O1172">
        <v>3</v>
      </c>
      <c r="P1172" t="s">
        <v>37</v>
      </c>
      <c r="Q1172">
        <v>4</v>
      </c>
      <c r="R1172" t="s">
        <v>45</v>
      </c>
      <c r="S1172" s="6">
        <v>9738</v>
      </c>
      <c r="T1172">
        <v>22952</v>
      </c>
      <c r="U1172">
        <v>0</v>
      </c>
      <c r="V1172" t="s">
        <v>39</v>
      </c>
      <c r="W1172" t="s">
        <v>40</v>
      </c>
      <c r="X1172">
        <v>14</v>
      </c>
      <c r="Y1172">
        <v>3</v>
      </c>
      <c r="Z1172">
        <v>3</v>
      </c>
      <c r="AA1172">
        <v>80</v>
      </c>
      <c r="AB1172">
        <v>1</v>
      </c>
      <c r="AC1172">
        <v>10</v>
      </c>
      <c r="AD1172">
        <v>6</v>
      </c>
      <c r="AE1172">
        <v>3</v>
      </c>
      <c r="AF1172">
        <v>9</v>
      </c>
      <c r="AG1172">
        <v>7</v>
      </c>
      <c r="AH1172">
        <v>2</v>
      </c>
      <c r="AI1172">
        <v>8</v>
      </c>
    </row>
    <row r="1173" spans="1:35" x14ac:dyDescent="0.3">
      <c r="A1173">
        <v>45</v>
      </c>
      <c r="B1173" t="s">
        <v>40</v>
      </c>
      <c r="C1173" t="s">
        <v>33</v>
      </c>
      <c r="D1173">
        <v>176</v>
      </c>
      <c r="E1173" t="s">
        <v>58</v>
      </c>
      <c r="F1173">
        <v>4</v>
      </c>
      <c r="G1173">
        <v>3</v>
      </c>
      <c r="H1173" t="s">
        <v>35</v>
      </c>
      <c r="I1173">
        <v>1</v>
      </c>
      <c r="J1173">
        <v>1744</v>
      </c>
      <c r="K1173">
        <v>3</v>
      </c>
      <c r="L1173" s="17" t="s">
        <v>36</v>
      </c>
      <c r="M1173">
        <v>56</v>
      </c>
      <c r="N1173">
        <v>1</v>
      </c>
      <c r="O1173">
        <v>3</v>
      </c>
      <c r="P1173" t="s">
        <v>58</v>
      </c>
      <c r="Q1173">
        <v>3</v>
      </c>
      <c r="R1173" t="s">
        <v>45</v>
      </c>
      <c r="S1173" s="6">
        <v>9756</v>
      </c>
      <c r="T1173">
        <v>6595</v>
      </c>
      <c r="U1173">
        <v>4</v>
      </c>
      <c r="V1173" t="s">
        <v>39</v>
      </c>
      <c r="W1173" t="s">
        <v>40</v>
      </c>
      <c r="X1173">
        <v>21</v>
      </c>
      <c r="Y1173">
        <v>4</v>
      </c>
      <c r="Z1173">
        <v>3</v>
      </c>
      <c r="AA1173">
        <v>80</v>
      </c>
      <c r="AB1173">
        <v>2</v>
      </c>
      <c r="AC1173">
        <v>9</v>
      </c>
      <c r="AD1173">
        <v>2</v>
      </c>
      <c r="AE1173">
        <v>4</v>
      </c>
      <c r="AF1173">
        <v>5</v>
      </c>
      <c r="AG1173">
        <v>0</v>
      </c>
      <c r="AH1173">
        <v>0</v>
      </c>
      <c r="AI1173">
        <v>3</v>
      </c>
    </row>
    <row r="1174" spans="1:35" x14ac:dyDescent="0.3">
      <c r="A1174">
        <v>31</v>
      </c>
      <c r="B1174" t="s">
        <v>32</v>
      </c>
      <c r="C1174" t="s">
        <v>41</v>
      </c>
      <c r="D1174">
        <v>534</v>
      </c>
      <c r="E1174" t="s">
        <v>42</v>
      </c>
      <c r="F1174">
        <v>20</v>
      </c>
      <c r="G1174">
        <v>3</v>
      </c>
      <c r="H1174" t="s">
        <v>35</v>
      </c>
      <c r="I1174">
        <v>1</v>
      </c>
      <c r="J1174">
        <v>587</v>
      </c>
      <c r="K1174">
        <v>1</v>
      </c>
      <c r="L1174" s="17" t="s">
        <v>43</v>
      </c>
      <c r="M1174">
        <v>66</v>
      </c>
      <c r="N1174">
        <v>3</v>
      </c>
      <c r="O1174">
        <v>3</v>
      </c>
      <c r="P1174" t="s">
        <v>51</v>
      </c>
      <c r="Q1174">
        <v>3</v>
      </c>
      <c r="R1174" t="s">
        <v>45</v>
      </c>
      <c r="S1174" s="6">
        <v>9824</v>
      </c>
      <c r="T1174">
        <v>22908</v>
      </c>
      <c r="U1174">
        <v>3</v>
      </c>
      <c r="V1174" t="s">
        <v>39</v>
      </c>
      <c r="W1174" t="s">
        <v>40</v>
      </c>
      <c r="X1174">
        <v>12</v>
      </c>
      <c r="Y1174">
        <v>3</v>
      </c>
      <c r="Z1174">
        <v>1</v>
      </c>
      <c r="AA1174">
        <v>80</v>
      </c>
      <c r="AB1174">
        <v>0</v>
      </c>
      <c r="AC1174">
        <v>12</v>
      </c>
      <c r="AD1174">
        <v>2</v>
      </c>
      <c r="AE1174">
        <v>3</v>
      </c>
      <c r="AF1174">
        <v>1</v>
      </c>
      <c r="AG1174">
        <v>0</v>
      </c>
      <c r="AH1174">
        <v>0</v>
      </c>
      <c r="AI1174">
        <v>0</v>
      </c>
    </row>
    <row r="1175" spans="1:35" x14ac:dyDescent="0.3">
      <c r="A1175">
        <v>38</v>
      </c>
      <c r="B1175" t="s">
        <v>40</v>
      </c>
      <c r="C1175" t="s">
        <v>33</v>
      </c>
      <c r="D1175">
        <v>1495</v>
      </c>
      <c r="E1175" t="s">
        <v>42</v>
      </c>
      <c r="F1175">
        <v>10</v>
      </c>
      <c r="G1175">
        <v>3</v>
      </c>
      <c r="H1175" t="s">
        <v>48</v>
      </c>
      <c r="I1175">
        <v>1</v>
      </c>
      <c r="J1175">
        <v>634</v>
      </c>
      <c r="K1175">
        <v>3</v>
      </c>
      <c r="L1175" s="17" t="s">
        <v>36</v>
      </c>
      <c r="M1175">
        <v>76</v>
      </c>
      <c r="N1175">
        <v>3</v>
      </c>
      <c r="O1175">
        <v>2</v>
      </c>
      <c r="P1175" t="s">
        <v>51</v>
      </c>
      <c r="Q1175">
        <v>3</v>
      </c>
      <c r="R1175" t="s">
        <v>45</v>
      </c>
      <c r="S1175" s="6">
        <v>9824</v>
      </c>
      <c r="T1175">
        <v>22174</v>
      </c>
      <c r="U1175">
        <v>3</v>
      </c>
      <c r="V1175" t="s">
        <v>39</v>
      </c>
      <c r="W1175" t="s">
        <v>40</v>
      </c>
      <c r="X1175">
        <v>19</v>
      </c>
      <c r="Y1175">
        <v>3</v>
      </c>
      <c r="Z1175">
        <v>3</v>
      </c>
      <c r="AA1175">
        <v>80</v>
      </c>
      <c r="AB1175">
        <v>1</v>
      </c>
      <c r="AC1175">
        <v>18</v>
      </c>
      <c r="AD1175">
        <v>4</v>
      </c>
      <c r="AE1175">
        <v>3</v>
      </c>
      <c r="AF1175">
        <v>1</v>
      </c>
      <c r="AG1175">
        <v>0</v>
      </c>
      <c r="AH1175">
        <v>0</v>
      </c>
      <c r="AI1175">
        <v>0</v>
      </c>
    </row>
    <row r="1176" spans="1:35" x14ac:dyDescent="0.3">
      <c r="A1176">
        <v>31</v>
      </c>
      <c r="B1176" t="s">
        <v>40</v>
      </c>
      <c r="C1176" t="s">
        <v>52</v>
      </c>
      <c r="D1176">
        <v>587</v>
      </c>
      <c r="E1176" t="s">
        <v>34</v>
      </c>
      <c r="F1176">
        <v>2</v>
      </c>
      <c r="G1176">
        <v>4</v>
      </c>
      <c r="H1176" t="s">
        <v>35</v>
      </c>
      <c r="I1176">
        <v>1</v>
      </c>
      <c r="J1176">
        <v>1324</v>
      </c>
      <c r="K1176">
        <v>4</v>
      </c>
      <c r="L1176" s="17" t="s">
        <v>36</v>
      </c>
      <c r="M1176">
        <v>57</v>
      </c>
      <c r="N1176">
        <v>3</v>
      </c>
      <c r="O1176">
        <v>3</v>
      </c>
      <c r="P1176" t="s">
        <v>37</v>
      </c>
      <c r="Q1176">
        <v>3</v>
      </c>
      <c r="R1176" t="s">
        <v>49</v>
      </c>
      <c r="S1176" s="6">
        <v>9852</v>
      </c>
      <c r="T1176">
        <v>8935</v>
      </c>
      <c r="U1176">
        <v>1</v>
      </c>
      <c r="V1176" t="s">
        <v>39</v>
      </c>
      <c r="W1176" t="s">
        <v>32</v>
      </c>
      <c r="X1176">
        <v>19</v>
      </c>
      <c r="Y1176">
        <v>3</v>
      </c>
      <c r="Z1176">
        <v>1</v>
      </c>
      <c r="AA1176">
        <v>80</v>
      </c>
      <c r="AB1176">
        <v>1</v>
      </c>
      <c r="AC1176">
        <v>10</v>
      </c>
      <c r="AD1176">
        <v>5</v>
      </c>
      <c r="AE1176">
        <v>2</v>
      </c>
      <c r="AF1176">
        <v>10</v>
      </c>
      <c r="AG1176">
        <v>8</v>
      </c>
      <c r="AH1176">
        <v>9</v>
      </c>
      <c r="AI1176">
        <v>6</v>
      </c>
    </row>
    <row r="1177" spans="1:35" x14ac:dyDescent="0.3">
      <c r="A1177">
        <v>28</v>
      </c>
      <c r="B1177" t="s">
        <v>32</v>
      </c>
      <c r="C1177" t="s">
        <v>33</v>
      </c>
      <c r="D1177">
        <v>1475</v>
      </c>
      <c r="E1177" t="s">
        <v>34</v>
      </c>
      <c r="F1177">
        <v>13</v>
      </c>
      <c r="G1177">
        <v>2</v>
      </c>
      <c r="H1177" t="s">
        <v>56</v>
      </c>
      <c r="I1177">
        <v>1</v>
      </c>
      <c r="J1177">
        <v>1933</v>
      </c>
      <c r="K1177">
        <v>4</v>
      </c>
      <c r="L1177" s="17" t="s">
        <v>36</v>
      </c>
      <c r="M1177">
        <v>84</v>
      </c>
      <c r="N1177">
        <v>3</v>
      </c>
      <c r="O1177">
        <v>2</v>
      </c>
      <c r="P1177" t="s">
        <v>37</v>
      </c>
      <c r="Q1177">
        <v>3</v>
      </c>
      <c r="R1177" t="s">
        <v>38</v>
      </c>
      <c r="S1177" s="6">
        <v>9854</v>
      </c>
      <c r="T1177">
        <v>23352</v>
      </c>
      <c r="U1177">
        <v>3</v>
      </c>
      <c r="V1177" t="s">
        <v>39</v>
      </c>
      <c r="W1177" t="s">
        <v>32</v>
      </c>
      <c r="X1177">
        <v>11</v>
      </c>
      <c r="Y1177">
        <v>3</v>
      </c>
      <c r="Z1177">
        <v>4</v>
      </c>
      <c r="AA1177">
        <v>80</v>
      </c>
      <c r="AB1177">
        <v>0</v>
      </c>
      <c r="AC1177">
        <v>6</v>
      </c>
      <c r="AD1177">
        <v>0</v>
      </c>
      <c r="AE1177">
        <v>3</v>
      </c>
      <c r="AF1177">
        <v>2</v>
      </c>
      <c r="AG1177">
        <v>0</v>
      </c>
      <c r="AH1177">
        <v>2</v>
      </c>
      <c r="AI1177">
        <v>2</v>
      </c>
    </row>
    <row r="1178" spans="1:35" x14ac:dyDescent="0.3">
      <c r="A1178">
        <v>35</v>
      </c>
      <c r="B1178" t="s">
        <v>40</v>
      </c>
      <c r="C1178" t="s">
        <v>52</v>
      </c>
      <c r="D1178">
        <v>1097</v>
      </c>
      <c r="E1178" t="s">
        <v>42</v>
      </c>
      <c r="F1178">
        <v>11</v>
      </c>
      <c r="G1178">
        <v>2</v>
      </c>
      <c r="H1178" t="s">
        <v>48</v>
      </c>
      <c r="I1178">
        <v>1</v>
      </c>
      <c r="J1178">
        <v>70</v>
      </c>
      <c r="K1178">
        <v>3</v>
      </c>
      <c r="L1178" s="17" t="s">
        <v>43</v>
      </c>
      <c r="M1178">
        <v>79</v>
      </c>
      <c r="N1178">
        <v>2</v>
      </c>
      <c r="O1178">
        <v>3</v>
      </c>
      <c r="P1178" t="s">
        <v>51</v>
      </c>
      <c r="Q1178">
        <v>1</v>
      </c>
      <c r="R1178" t="s">
        <v>45</v>
      </c>
      <c r="S1178" s="6">
        <v>9884</v>
      </c>
      <c r="T1178">
        <v>8302</v>
      </c>
      <c r="U1178">
        <v>2</v>
      </c>
      <c r="V1178" t="s">
        <v>39</v>
      </c>
      <c r="W1178" t="s">
        <v>32</v>
      </c>
      <c r="X1178">
        <v>13</v>
      </c>
      <c r="Y1178">
        <v>3</v>
      </c>
      <c r="Z1178">
        <v>3</v>
      </c>
      <c r="AA1178">
        <v>80</v>
      </c>
      <c r="AB1178">
        <v>1</v>
      </c>
      <c r="AC1178">
        <v>10</v>
      </c>
      <c r="AD1178">
        <v>3</v>
      </c>
      <c r="AE1178">
        <v>3</v>
      </c>
      <c r="AF1178">
        <v>4</v>
      </c>
      <c r="AG1178">
        <v>0</v>
      </c>
      <c r="AH1178">
        <v>2</v>
      </c>
      <c r="AI1178">
        <v>3</v>
      </c>
    </row>
    <row r="1179" spans="1:35" x14ac:dyDescent="0.3">
      <c r="A1179">
        <v>34</v>
      </c>
      <c r="B1179" t="s">
        <v>40</v>
      </c>
      <c r="C1179" t="s">
        <v>33</v>
      </c>
      <c r="D1179">
        <v>937</v>
      </c>
      <c r="E1179" t="s">
        <v>34</v>
      </c>
      <c r="F1179">
        <v>1</v>
      </c>
      <c r="G1179">
        <v>3</v>
      </c>
      <c r="H1179" t="s">
        <v>56</v>
      </c>
      <c r="I1179">
        <v>1</v>
      </c>
      <c r="J1179">
        <v>1950</v>
      </c>
      <c r="K1179">
        <v>1</v>
      </c>
      <c r="L1179" s="17" t="s">
        <v>43</v>
      </c>
      <c r="M1179">
        <v>32</v>
      </c>
      <c r="N1179">
        <v>3</v>
      </c>
      <c r="O1179">
        <v>3</v>
      </c>
      <c r="P1179" t="s">
        <v>37</v>
      </c>
      <c r="Q1179">
        <v>4</v>
      </c>
      <c r="R1179" t="s">
        <v>38</v>
      </c>
      <c r="S1179" s="6">
        <v>9888</v>
      </c>
      <c r="T1179">
        <v>6770</v>
      </c>
      <c r="U1179">
        <v>1</v>
      </c>
      <c r="V1179" t="s">
        <v>39</v>
      </c>
      <c r="W1179" t="s">
        <v>40</v>
      </c>
      <c r="X1179">
        <v>21</v>
      </c>
      <c r="Y1179">
        <v>4</v>
      </c>
      <c r="Z1179">
        <v>1</v>
      </c>
      <c r="AA1179">
        <v>80</v>
      </c>
      <c r="AB1179">
        <v>0</v>
      </c>
      <c r="AC1179">
        <v>14</v>
      </c>
      <c r="AD1179">
        <v>3</v>
      </c>
      <c r="AE1179">
        <v>2</v>
      </c>
      <c r="AF1179">
        <v>14</v>
      </c>
      <c r="AG1179">
        <v>8</v>
      </c>
      <c r="AH1179">
        <v>2</v>
      </c>
      <c r="AI1179">
        <v>1</v>
      </c>
    </row>
    <row r="1180" spans="1:35" x14ac:dyDescent="0.3">
      <c r="A1180">
        <v>32</v>
      </c>
      <c r="B1180" t="s">
        <v>32</v>
      </c>
      <c r="C1180" t="s">
        <v>33</v>
      </c>
      <c r="D1180">
        <v>414</v>
      </c>
      <c r="E1180" t="s">
        <v>34</v>
      </c>
      <c r="F1180">
        <v>2</v>
      </c>
      <c r="G1180">
        <v>4</v>
      </c>
      <c r="H1180" t="s">
        <v>56</v>
      </c>
      <c r="I1180">
        <v>1</v>
      </c>
      <c r="J1180">
        <v>1862</v>
      </c>
      <c r="K1180">
        <v>3</v>
      </c>
      <c r="L1180" s="17" t="s">
        <v>43</v>
      </c>
      <c r="M1180">
        <v>82</v>
      </c>
      <c r="N1180">
        <v>2</v>
      </c>
      <c r="O1180">
        <v>2</v>
      </c>
      <c r="P1180" t="s">
        <v>37</v>
      </c>
      <c r="Q1180">
        <v>2</v>
      </c>
      <c r="R1180" t="s">
        <v>38</v>
      </c>
      <c r="S1180" s="6">
        <v>9907</v>
      </c>
      <c r="T1180">
        <v>26186</v>
      </c>
      <c r="U1180">
        <v>7</v>
      </c>
      <c r="V1180" t="s">
        <v>39</v>
      </c>
      <c r="W1180" t="s">
        <v>32</v>
      </c>
      <c r="X1180">
        <v>12</v>
      </c>
      <c r="Y1180">
        <v>3</v>
      </c>
      <c r="Z1180">
        <v>3</v>
      </c>
      <c r="AA1180">
        <v>80</v>
      </c>
      <c r="AB1180">
        <v>0</v>
      </c>
      <c r="AC1180">
        <v>7</v>
      </c>
      <c r="AD1180">
        <v>3</v>
      </c>
      <c r="AE1180">
        <v>2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38</v>
      </c>
      <c r="B1181" t="s">
        <v>40</v>
      </c>
      <c r="C1181" t="s">
        <v>33</v>
      </c>
      <c r="D1181">
        <v>1245</v>
      </c>
      <c r="E1181" t="s">
        <v>34</v>
      </c>
      <c r="F1181">
        <v>14</v>
      </c>
      <c r="G1181">
        <v>3</v>
      </c>
      <c r="H1181" t="s">
        <v>35</v>
      </c>
      <c r="I1181">
        <v>1</v>
      </c>
      <c r="J1181">
        <v>1582</v>
      </c>
      <c r="K1181">
        <v>3</v>
      </c>
      <c r="L1181" s="17" t="s">
        <v>43</v>
      </c>
      <c r="M1181">
        <v>80</v>
      </c>
      <c r="N1181">
        <v>3</v>
      </c>
      <c r="O1181">
        <v>2</v>
      </c>
      <c r="P1181" t="s">
        <v>37</v>
      </c>
      <c r="Q1181">
        <v>2</v>
      </c>
      <c r="R1181" t="s">
        <v>45</v>
      </c>
      <c r="S1181" s="6">
        <v>9924</v>
      </c>
      <c r="T1181">
        <v>12355</v>
      </c>
      <c r="U1181">
        <v>0</v>
      </c>
      <c r="V1181" t="s">
        <v>39</v>
      </c>
      <c r="W1181" t="s">
        <v>40</v>
      </c>
      <c r="X1181">
        <v>11</v>
      </c>
      <c r="Y1181">
        <v>3</v>
      </c>
      <c r="Z1181">
        <v>4</v>
      </c>
      <c r="AA1181">
        <v>80</v>
      </c>
      <c r="AB1181">
        <v>1</v>
      </c>
      <c r="AC1181">
        <v>10</v>
      </c>
      <c r="AD1181">
        <v>3</v>
      </c>
      <c r="AE1181">
        <v>3</v>
      </c>
      <c r="AF1181">
        <v>9</v>
      </c>
      <c r="AG1181">
        <v>8</v>
      </c>
      <c r="AH1181">
        <v>7</v>
      </c>
      <c r="AI1181">
        <v>7</v>
      </c>
    </row>
    <row r="1182" spans="1:35" x14ac:dyDescent="0.3">
      <c r="A1182">
        <v>31</v>
      </c>
      <c r="B1182" t="s">
        <v>40</v>
      </c>
      <c r="C1182" t="s">
        <v>52</v>
      </c>
      <c r="D1182">
        <v>325</v>
      </c>
      <c r="E1182" t="s">
        <v>42</v>
      </c>
      <c r="F1182">
        <v>5</v>
      </c>
      <c r="G1182">
        <v>3</v>
      </c>
      <c r="H1182" t="s">
        <v>48</v>
      </c>
      <c r="I1182">
        <v>1</v>
      </c>
      <c r="J1182">
        <v>2057</v>
      </c>
      <c r="K1182">
        <v>2</v>
      </c>
      <c r="L1182" s="17" t="s">
        <v>43</v>
      </c>
      <c r="M1182">
        <v>74</v>
      </c>
      <c r="N1182">
        <v>3</v>
      </c>
      <c r="O1182">
        <v>2</v>
      </c>
      <c r="P1182" t="s">
        <v>50</v>
      </c>
      <c r="Q1182">
        <v>1</v>
      </c>
      <c r="R1182" t="s">
        <v>38</v>
      </c>
      <c r="S1182" s="6">
        <v>9936</v>
      </c>
      <c r="T1182">
        <v>3787</v>
      </c>
      <c r="U1182">
        <v>0</v>
      </c>
      <c r="V1182" t="s">
        <v>39</v>
      </c>
      <c r="W1182" t="s">
        <v>40</v>
      </c>
      <c r="X1182">
        <v>19</v>
      </c>
      <c r="Y1182">
        <v>3</v>
      </c>
      <c r="Z1182">
        <v>2</v>
      </c>
      <c r="AA1182">
        <v>80</v>
      </c>
      <c r="AB1182">
        <v>0</v>
      </c>
      <c r="AC1182">
        <v>10</v>
      </c>
      <c r="AD1182">
        <v>2</v>
      </c>
      <c r="AE1182">
        <v>3</v>
      </c>
      <c r="AF1182">
        <v>9</v>
      </c>
      <c r="AG1182">
        <v>4</v>
      </c>
      <c r="AH1182">
        <v>1</v>
      </c>
      <c r="AI1182">
        <v>7</v>
      </c>
    </row>
    <row r="1183" spans="1:35" x14ac:dyDescent="0.3">
      <c r="A1183">
        <v>34</v>
      </c>
      <c r="B1183" t="s">
        <v>32</v>
      </c>
      <c r="C1183" t="s">
        <v>41</v>
      </c>
      <c r="D1183">
        <v>988</v>
      </c>
      <c r="E1183" t="s">
        <v>58</v>
      </c>
      <c r="F1183">
        <v>23</v>
      </c>
      <c r="G1183">
        <v>3</v>
      </c>
      <c r="H1183" t="s">
        <v>58</v>
      </c>
      <c r="I1183">
        <v>1</v>
      </c>
      <c r="J1183">
        <v>590</v>
      </c>
      <c r="K1183">
        <v>2</v>
      </c>
      <c r="L1183" s="17" t="s">
        <v>36</v>
      </c>
      <c r="M1183">
        <v>43</v>
      </c>
      <c r="N1183">
        <v>3</v>
      </c>
      <c r="O1183">
        <v>3</v>
      </c>
      <c r="P1183" t="s">
        <v>58</v>
      </c>
      <c r="Q1183">
        <v>1</v>
      </c>
      <c r="R1183" t="s">
        <v>49</v>
      </c>
      <c r="S1183" s="6">
        <v>9950</v>
      </c>
      <c r="T1183">
        <v>11533</v>
      </c>
      <c r="U1183">
        <v>9</v>
      </c>
      <c r="V1183" t="s">
        <v>39</v>
      </c>
      <c r="W1183" t="s">
        <v>32</v>
      </c>
      <c r="X1183">
        <v>15</v>
      </c>
      <c r="Y1183">
        <v>3</v>
      </c>
      <c r="Z1183">
        <v>3</v>
      </c>
      <c r="AA1183">
        <v>80</v>
      </c>
      <c r="AB1183">
        <v>3</v>
      </c>
      <c r="AC1183">
        <v>11</v>
      </c>
      <c r="AD1183">
        <v>2</v>
      </c>
      <c r="AE1183">
        <v>3</v>
      </c>
      <c r="AF1183">
        <v>3</v>
      </c>
      <c r="AG1183">
        <v>2</v>
      </c>
      <c r="AH1183">
        <v>0</v>
      </c>
      <c r="AI1183">
        <v>2</v>
      </c>
    </row>
    <row r="1184" spans="1:35" x14ac:dyDescent="0.3">
      <c r="A1184">
        <v>30</v>
      </c>
      <c r="B1184" t="s">
        <v>40</v>
      </c>
      <c r="C1184" t="s">
        <v>33</v>
      </c>
      <c r="D1184">
        <v>1176</v>
      </c>
      <c r="E1184" t="s">
        <v>42</v>
      </c>
      <c r="F1184">
        <v>20</v>
      </c>
      <c r="G1184">
        <v>3</v>
      </c>
      <c r="H1184" t="s">
        <v>46</v>
      </c>
      <c r="I1184">
        <v>1</v>
      </c>
      <c r="J1184">
        <v>1084</v>
      </c>
      <c r="K1184">
        <v>3</v>
      </c>
      <c r="L1184" s="17" t="s">
        <v>43</v>
      </c>
      <c r="M1184">
        <v>85</v>
      </c>
      <c r="N1184">
        <v>3</v>
      </c>
      <c r="O1184">
        <v>2</v>
      </c>
      <c r="P1184" t="s">
        <v>50</v>
      </c>
      <c r="Q1184">
        <v>1</v>
      </c>
      <c r="R1184" t="s">
        <v>45</v>
      </c>
      <c r="S1184" s="6">
        <v>9957</v>
      </c>
      <c r="T1184">
        <v>9096</v>
      </c>
      <c r="U1184">
        <v>0</v>
      </c>
      <c r="V1184" t="s">
        <v>39</v>
      </c>
      <c r="W1184" t="s">
        <v>40</v>
      </c>
      <c r="X1184">
        <v>15</v>
      </c>
      <c r="Y1184">
        <v>3</v>
      </c>
      <c r="Z1184">
        <v>3</v>
      </c>
      <c r="AA1184">
        <v>80</v>
      </c>
      <c r="AB1184">
        <v>1</v>
      </c>
      <c r="AC1184">
        <v>7</v>
      </c>
      <c r="AD1184">
        <v>1</v>
      </c>
      <c r="AE1184">
        <v>2</v>
      </c>
      <c r="AF1184">
        <v>6</v>
      </c>
      <c r="AG1184">
        <v>2</v>
      </c>
      <c r="AH1184">
        <v>0</v>
      </c>
      <c r="AI1184">
        <v>2</v>
      </c>
    </row>
    <row r="1185" spans="1:35" x14ac:dyDescent="0.3">
      <c r="A1185">
        <v>29</v>
      </c>
      <c r="B1185" t="s">
        <v>40</v>
      </c>
      <c r="C1185" t="s">
        <v>33</v>
      </c>
      <c r="D1185">
        <v>1389</v>
      </c>
      <c r="E1185" t="s">
        <v>42</v>
      </c>
      <c r="F1185">
        <v>21</v>
      </c>
      <c r="G1185">
        <v>4</v>
      </c>
      <c r="H1185" t="s">
        <v>35</v>
      </c>
      <c r="I1185">
        <v>1</v>
      </c>
      <c r="J1185">
        <v>20</v>
      </c>
      <c r="K1185">
        <v>2</v>
      </c>
      <c r="L1185" s="17" t="s">
        <v>36</v>
      </c>
      <c r="M1185">
        <v>51</v>
      </c>
      <c r="N1185">
        <v>4</v>
      </c>
      <c r="O1185">
        <v>3</v>
      </c>
      <c r="P1185" t="s">
        <v>50</v>
      </c>
      <c r="Q1185">
        <v>1</v>
      </c>
      <c r="R1185" t="s">
        <v>49</v>
      </c>
      <c r="S1185" s="6">
        <v>9980</v>
      </c>
      <c r="T1185">
        <v>10195</v>
      </c>
      <c r="U1185">
        <v>1</v>
      </c>
      <c r="V1185" t="s">
        <v>39</v>
      </c>
      <c r="W1185" t="s">
        <v>40</v>
      </c>
      <c r="X1185">
        <v>11</v>
      </c>
      <c r="Y1185">
        <v>3</v>
      </c>
      <c r="Z1185">
        <v>3</v>
      </c>
      <c r="AA1185">
        <v>80</v>
      </c>
      <c r="AB1185">
        <v>1</v>
      </c>
      <c r="AC1185">
        <v>10</v>
      </c>
      <c r="AD1185">
        <v>1</v>
      </c>
      <c r="AE1185">
        <v>3</v>
      </c>
      <c r="AF1185">
        <v>10</v>
      </c>
      <c r="AG1185">
        <v>9</v>
      </c>
      <c r="AH1185">
        <v>8</v>
      </c>
      <c r="AI1185">
        <v>8</v>
      </c>
    </row>
    <row r="1186" spans="1:35" x14ac:dyDescent="0.3">
      <c r="A1186">
        <v>36</v>
      </c>
      <c r="B1186" t="s">
        <v>40</v>
      </c>
      <c r="C1186" t="s">
        <v>52</v>
      </c>
      <c r="D1186">
        <v>635</v>
      </c>
      <c r="E1186" t="s">
        <v>34</v>
      </c>
      <c r="F1186">
        <v>10</v>
      </c>
      <c r="G1186">
        <v>4</v>
      </c>
      <c r="H1186" t="s">
        <v>48</v>
      </c>
      <c r="I1186">
        <v>1</v>
      </c>
      <c r="J1186">
        <v>592</v>
      </c>
      <c r="K1186">
        <v>2</v>
      </c>
      <c r="L1186" s="17" t="s">
        <v>43</v>
      </c>
      <c r="M1186">
        <v>32</v>
      </c>
      <c r="N1186">
        <v>3</v>
      </c>
      <c r="O1186">
        <v>3</v>
      </c>
      <c r="P1186" t="s">
        <v>37</v>
      </c>
      <c r="Q1186">
        <v>4</v>
      </c>
      <c r="R1186" t="s">
        <v>38</v>
      </c>
      <c r="S1186" s="6">
        <v>9980</v>
      </c>
      <c r="T1186">
        <v>15318</v>
      </c>
      <c r="U1186">
        <v>1</v>
      </c>
      <c r="V1186" t="s">
        <v>39</v>
      </c>
      <c r="W1186" t="s">
        <v>40</v>
      </c>
      <c r="X1186">
        <v>14</v>
      </c>
      <c r="Y1186">
        <v>3</v>
      </c>
      <c r="Z1186">
        <v>4</v>
      </c>
      <c r="AA1186">
        <v>80</v>
      </c>
      <c r="AB1186">
        <v>0</v>
      </c>
      <c r="AC1186">
        <v>10</v>
      </c>
      <c r="AD1186">
        <v>3</v>
      </c>
      <c r="AE1186">
        <v>2</v>
      </c>
      <c r="AF1186">
        <v>10</v>
      </c>
      <c r="AG1186">
        <v>3</v>
      </c>
      <c r="AH1186">
        <v>9</v>
      </c>
      <c r="AI1186">
        <v>7</v>
      </c>
    </row>
    <row r="1187" spans="1:35" x14ac:dyDescent="0.3">
      <c r="A1187">
        <v>27</v>
      </c>
      <c r="B1187" t="s">
        <v>40</v>
      </c>
      <c r="C1187" t="s">
        <v>41</v>
      </c>
      <c r="D1187">
        <v>1242</v>
      </c>
      <c r="E1187" t="s">
        <v>34</v>
      </c>
      <c r="F1187">
        <v>20</v>
      </c>
      <c r="G1187">
        <v>3</v>
      </c>
      <c r="H1187" t="s">
        <v>35</v>
      </c>
      <c r="I1187">
        <v>1</v>
      </c>
      <c r="J1187">
        <v>293</v>
      </c>
      <c r="K1187">
        <v>4</v>
      </c>
      <c r="L1187" s="17" t="s">
        <v>36</v>
      </c>
      <c r="M1187">
        <v>90</v>
      </c>
      <c r="N1187">
        <v>3</v>
      </c>
      <c r="O1187">
        <v>2</v>
      </c>
      <c r="P1187" t="s">
        <v>37</v>
      </c>
      <c r="Q1187">
        <v>3</v>
      </c>
      <c r="R1187" t="s">
        <v>38</v>
      </c>
      <c r="S1187" s="6">
        <v>9981</v>
      </c>
      <c r="T1187">
        <v>12916</v>
      </c>
      <c r="U1187">
        <v>1</v>
      </c>
      <c r="V1187" t="s">
        <v>39</v>
      </c>
      <c r="W1187" t="s">
        <v>40</v>
      </c>
      <c r="X1187">
        <v>14</v>
      </c>
      <c r="Y1187">
        <v>3</v>
      </c>
      <c r="Z1187">
        <v>4</v>
      </c>
      <c r="AA1187">
        <v>80</v>
      </c>
      <c r="AB1187">
        <v>0</v>
      </c>
      <c r="AC1187">
        <v>7</v>
      </c>
      <c r="AD1187">
        <v>2</v>
      </c>
      <c r="AE1187">
        <v>3</v>
      </c>
      <c r="AF1187">
        <v>7</v>
      </c>
      <c r="AG1187">
        <v>7</v>
      </c>
      <c r="AH1187">
        <v>0</v>
      </c>
      <c r="AI1187">
        <v>7</v>
      </c>
    </row>
    <row r="1188" spans="1:35" x14ac:dyDescent="0.3">
      <c r="A1188">
        <v>43</v>
      </c>
      <c r="B1188" t="s">
        <v>40</v>
      </c>
      <c r="C1188" t="s">
        <v>33</v>
      </c>
      <c r="D1188">
        <v>1001</v>
      </c>
      <c r="E1188" t="s">
        <v>42</v>
      </c>
      <c r="F1188">
        <v>7</v>
      </c>
      <c r="G1188">
        <v>3</v>
      </c>
      <c r="H1188" t="s">
        <v>35</v>
      </c>
      <c r="I1188">
        <v>1</v>
      </c>
      <c r="J1188">
        <v>451</v>
      </c>
      <c r="K1188">
        <v>3</v>
      </c>
      <c r="L1188" s="17" t="s">
        <v>36</v>
      </c>
      <c r="M1188">
        <v>43</v>
      </c>
      <c r="N1188">
        <v>3</v>
      </c>
      <c r="O1188">
        <v>3</v>
      </c>
      <c r="P1188" t="s">
        <v>51</v>
      </c>
      <c r="Q1188">
        <v>1</v>
      </c>
      <c r="R1188" t="s">
        <v>45</v>
      </c>
      <c r="S1188" s="6">
        <v>9985</v>
      </c>
      <c r="T1188">
        <v>9262</v>
      </c>
      <c r="U1188">
        <v>8</v>
      </c>
      <c r="V1188" t="s">
        <v>39</v>
      </c>
      <c r="W1188" t="s">
        <v>40</v>
      </c>
      <c r="X1188">
        <v>16</v>
      </c>
      <c r="Y1188">
        <v>3</v>
      </c>
      <c r="Z1188">
        <v>1</v>
      </c>
      <c r="AA1188">
        <v>80</v>
      </c>
      <c r="AB1188">
        <v>1</v>
      </c>
      <c r="AC1188">
        <v>10</v>
      </c>
      <c r="AD1188">
        <v>1</v>
      </c>
      <c r="AE1188">
        <v>2</v>
      </c>
      <c r="AF1188">
        <v>1</v>
      </c>
      <c r="AG1188">
        <v>0</v>
      </c>
      <c r="AH1188">
        <v>0</v>
      </c>
      <c r="AI1188">
        <v>0</v>
      </c>
    </row>
    <row r="1189" spans="1:35" x14ac:dyDescent="0.3">
      <c r="A1189">
        <v>39</v>
      </c>
      <c r="B1189" t="s">
        <v>40</v>
      </c>
      <c r="C1189" t="s">
        <v>33</v>
      </c>
      <c r="D1189">
        <v>613</v>
      </c>
      <c r="E1189" t="s">
        <v>42</v>
      </c>
      <c r="F1189">
        <v>6</v>
      </c>
      <c r="G1189">
        <v>1</v>
      </c>
      <c r="H1189" t="s">
        <v>48</v>
      </c>
      <c r="I1189">
        <v>1</v>
      </c>
      <c r="J1189">
        <v>2062</v>
      </c>
      <c r="K1189">
        <v>4</v>
      </c>
      <c r="L1189" s="17" t="s">
        <v>43</v>
      </c>
      <c r="M1189">
        <v>42</v>
      </c>
      <c r="N1189">
        <v>2</v>
      </c>
      <c r="O1189">
        <v>3</v>
      </c>
      <c r="P1189" t="s">
        <v>51</v>
      </c>
      <c r="Q1189">
        <v>1</v>
      </c>
      <c r="R1189" t="s">
        <v>45</v>
      </c>
      <c r="S1189" s="6">
        <v>9991</v>
      </c>
      <c r="T1189">
        <v>21457</v>
      </c>
      <c r="U1189">
        <v>4</v>
      </c>
      <c r="V1189" t="s">
        <v>39</v>
      </c>
      <c r="W1189" t="s">
        <v>40</v>
      </c>
      <c r="X1189">
        <v>15</v>
      </c>
      <c r="Y1189">
        <v>3</v>
      </c>
      <c r="Z1189">
        <v>1</v>
      </c>
      <c r="AA1189">
        <v>80</v>
      </c>
      <c r="AB1189">
        <v>1</v>
      </c>
      <c r="AC1189">
        <v>9</v>
      </c>
      <c r="AD1189">
        <v>5</v>
      </c>
      <c r="AE1189">
        <v>3</v>
      </c>
      <c r="AF1189">
        <v>7</v>
      </c>
      <c r="AG1189">
        <v>7</v>
      </c>
      <c r="AH1189">
        <v>1</v>
      </c>
      <c r="AI1189">
        <v>7</v>
      </c>
    </row>
    <row r="1190" spans="1:35" x14ac:dyDescent="0.3">
      <c r="A1190">
        <v>33</v>
      </c>
      <c r="B1190" t="s">
        <v>40</v>
      </c>
      <c r="C1190" t="s">
        <v>41</v>
      </c>
      <c r="D1190">
        <v>1111</v>
      </c>
      <c r="E1190" t="s">
        <v>34</v>
      </c>
      <c r="F1190">
        <v>5</v>
      </c>
      <c r="G1190">
        <v>1</v>
      </c>
      <c r="H1190" t="s">
        <v>35</v>
      </c>
      <c r="I1190">
        <v>1</v>
      </c>
      <c r="J1190">
        <v>1395</v>
      </c>
      <c r="K1190">
        <v>2</v>
      </c>
      <c r="L1190" s="17" t="s">
        <v>43</v>
      </c>
      <c r="M1190">
        <v>61</v>
      </c>
      <c r="N1190">
        <v>3</v>
      </c>
      <c r="O1190">
        <v>2</v>
      </c>
      <c r="P1190" t="s">
        <v>37</v>
      </c>
      <c r="Q1190">
        <v>4</v>
      </c>
      <c r="R1190" t="s">
        <v>45</v>
      </c>
      <c r="S1190" s="6">
        <v>9998</v>
      </c>
      <c r="T1190">
        <v>19293</v>
      </c>
      <c r="U1190">
        <v>6</v>
      </c>
      <c r="V1190" t="s">
        <v>39</v>
      </c>
      <c r="W1190" t="s">
        <v>40</v>
      </c>
      <c r="X1190">
        <v>13</v>
      </c>
      <c r="Y1190">
        <v>3</v>
      </c>
      <c r="Z1190">
        <v>1</v>
      </c>
      <c r="AA1190">
        <v>80</v>
      </c>
      <c r="AB1190">
        <v>0</v>
      </c>
      <c r="AC1190">
        <v>8</v>
      </c>
      <c r="AD1190">
        <v>2</v>
      </c>
      <c r="AE1190">
        <v>4</v>
      </c>
      <c r="AF1190">
        <v>5</v>
      </c>
      <c r="AG1190">
        <v>4</v>
      </c>
      <c r="AH1190">
        <v>1</v>
      </c>
      <c r="AI1190">
        <v>2</v>
      </c>
    </row>
    <row r="1191" spans="1:35" x14ac:dyDescent="0.3">
      <c r="A1191">
        <v>58</v>
      </c>
      <c r="B1191" t="s">
        <v>32</v>
      </c>
      <c r="C1191" t="s">
        <v>33</v>
      </c>
      <c r="D1191">
        <v>601</v>
      </c>
      <c r="E1191" t="s">
        <v>42</v>
      </c>
      <c r="F1191">
        <v>7</v>
      </c>
      <c r="G1191">
        <v>4</v>
      </c>
      <c r="H1191" t="s">
        <v>48</v>
      </c>
      <c r="I1191">
        <v>1</v>
      </c>
      <c r="J1191">
        <v>1360</v>
      </c>
      <c r="K1191">
        <v>3</v>
      </c>
      <c r="L1191" s="17" t="s">
        <v>36</v>
      </c>
      <c r="M1191">
        <v>53</v>
      </c>
      <c r="N1191">
        <v>2</v>
      </c>
      <c r="O1191">
        <v>3</v>
      </c>
      <c r="P1191" t="s">
        <v>50</v>
      </c>
      <c r="Q1191">
        <v>1</v>
      </c>
      <c r="R1191" t="s">
        <v>45</v>
      </c>
      <c r="S1191" s="6">
        <v>10008</v>
      </c>
      <c r="T1191">
        <v>12023</v>
      </c>
      <c r="U1191">
        <v>7</v>
      </c>
      <c r="V1191" t="s">
        <v>39</v>
      </c>
      <c r="W1191" t="s">
        <v>32</v>
      </c>
      <c r="X1191">
        <v>14</v>
      </c>
      <c r="Y1191">
        <v>3</v>
      </c>
      <c r="Z1191">
        <v>4</v>
      </c>
      <c r="AA1191">
        <v>80</v>
      </c>
      <c r="AB1191">
        <v>0</v>
      </c>
      <c r="AC1191">
        <v>31</v>
      </c>
      <c r="AD1191">
        <v>0</v>
      </c>
      <c r="AE1191">
        <v>2</v>
      </c>
      <c r="AF1191">
        <v>10</v>
      </c>
      <c r="AG1191">
        <v>9</v>
      </c>
      <c r="AH1191">
        <v>5</v>
      </c>
      <c r="AI1191">
        <v>9</v>
      </c>
    </row>
    <row r="1192" spans="1:35" x14ac:dyDescent="0.3">
      <c r="A1192">
        <v>37</v>
      </c>
      <c r="B1192" t="s">
        <v>32</v>
      </c>
      <c r="C1192" t="s">
        <v>41</v>
      </c>
      <c r="D1192">
        <v>504</v>
      </c>
      <c r="E1192" t="s">
        <v>42</v>
      </c>
      <c r="F1192">
        <v>10</v>
      </c>
      <c r="G1192">
        <v>3</v>
      </c>
      <c r="H1192" t="s">
        <v>48</v>
      </c>
      <c r="I1192">
        <v>1</v>
      </c>
      <c r="J1192">
        <v>342</v>
      </c>
      <c r="K1192">
        <v>1</v>
      </c>
      <c r="L1192" s="17" t="s">
        <v>43</v>
      </c>
      <c r="M1192">
        <v>61</v>
      </c>
      <c r="N1192">
        <v>3</v>
      </c>
      <c r="O1192">
        <v>3</v>
      </c>
      <c r="P1192" t="s">
        <v>50</v>
      </c>
      <c r="Q1192">
        <v>3</v>
      </c>
      <c r="R1192" t="s">
        <v>49</v>
      </c>
      <c r="S1192" s="6">
        <v>10048</v>
      </c>
      <c r="T1192">
        <v>22573</v>
      </c>
      <c r="U1192">
        <v>6</v>
      </c>
      <c r="V1192" t="s">
        <v>39</v>
      </c>
      <c r="W1192" t="s">
        <v>40</v>
      </c>
      <c r="X1192">
        <v>11</v>
      </c>
      <c r="Y1192">
        <v>3</v>
      </c>
      <c r="Z1192">
        <v>2</v>
      </c>
      <c r="AA1192">
        <v>80</v>
      </c>
      <c r="AB1192">
        <v>2</v>
      </c>
      <c r="AC1192">
        <v>17</v>
      </c>
      <c r="AD1192">
        <v>5</v>
      </c>
      <c r="AE1192">
        <v>3</v>
      </c>
      <c r="AF1192">
        <v>1</v>
      </c>
      <c r="AG1192">
        <v>0</v>
      </c>
      <c r="AH1192">
        <v>0</v>
      </c>
      <c r="AI1192">
        <v>0</v>
      </c>
    </row>
    <row r="1193" spans="1:35" x14ac:dyDescent="0.3">
      <c r="A1193">
        <v>36</v>
      </c>
      <c r="B1193" t="s">
        <v>40</v>
      </c>
      <c r="C1193" t="s">
        <v>33</v>
      </c>
      <c r="D1193">
        <v>1223</v>
      </c>
      <c r="E1193" t="s">
        <v>42</v>
      </c>
      <c r="F1193">
        <v>8</v>
      </c>
      <c r="G1193">
        <v>3</v>
      </c>
      <c r="H1193" t="s">
        <v>57</v>
      </c>
      <c r="I1193">
        <v>1</v>
      </c>
      <c r="J1193">
        <v>83</v>
      </c>
      <c r="K1193">
        <v>3</v>
      </c>
      <c r="L1193" s="17" t="s">
        <v>36</v>
      </c>
      <c r="M1193">
        <v>59</v>
      </c>
      <c r="N1193">
        <v>3</v>
      </c>
      <c r="O1193">
        <v>3</v>
      </c>
      <c r="P1193" t="s">
        <v>51</v>
      </c>
      <c r="Q1193">
        <v>3</v>
      </c>
      <c r="R1193" t="s">
        <v>49</v>
      </c>
      <c r="S1193" s="6">
        <v>10096</v>
      </c>
      <c r="T1193">
        <v>8202</v>
      </c>
      <c r="U1193">
        <v>1</v>
      </c>
      <c r="V1193" t="s">
        <v>39</v>
      </c>
      <c r="W1193" t="s">
        <v>40</v>
      </c>
      <c r="X1193">
        <v>13</v>
      </c>
      <c r="Y1193">
        <v>3</v>
      </c>
      <c r="Z1193">
        <v>2</v>
      </c>
      <c r="AA1193">
        <v>80</v>
      </c>
      <c r="AB1193">
        <v>3</v>
      </c>
      <c r="AC1193">
        <v>17</v>
      </c>
      <c r="AD1193">
        <v>2</v>
      </c>
      <c r="AE1193">
        <v>3</v>
      </c>
      <c r="AF1193">
        <v>17</v>
      </c>
      <c r="AG1193">
        <v>14</v>
      </c>
      <c r="AH1193">
        <v>12</v>
      </c>
      <c r="AI1193">
        <v>8</v>
      </c>
    </row>
    <row r="1194" spans="1:35" x14ac:dyDescent="0.3">
      <c r="A1194">
        <v>46</v>
      </c>
      <c r="B1194" t="s">
        <v>32</v>
      </c>
      <c r="C1194" t="s">
        <v>33</v>
      </c>
      <c r="D1194">
        <v>377</v>
      </c>
      <c r="E1194" t="s">
        <v>34</v>
      </c>
      <c r="F1194">
        <v>9</v>
      </c>
      <c r="G1194">
        <v>3</v>
      </c>
      <c r="H1194" t="s">
        <v>56</v>
      </c>
      <c r="I1194">
        <v>1</v>
      </c>
      <c r="J1194">
        <v>1457</v>
      </c>
      <c r="K1194">
        <v>1</v>
      </c>
      <c r="L1194" s="17" t="s">
        <v>43</v>
      </c>
      <c r="M1194">
        <v>52</v>
      </c>
      <c r="N1194">
        <v>3</v>
      </c>
      <c r="O1194">
        <v>3</v>
      </c>
      <c r="P1194" t="s">
        <v>37</v>
      </c>
      <c r="Q1194">
        <v>4</v>
      </c>
      <c r="R1194" t="s">
        <v>49</v>
      </c>
      <c r="S1194" s="6">
        <v>10096</v>
      </c>
      <c r="T1194">
        <v>15986</v>
      </c>
      <c r="U1194">
        <v>4</v>
      </c>
      <c r="V1194" t="s">
        <v>39</v>
      </c>
      <c r="W1194" t="s">
        <v>40</v>
      </c>
      <c r="X1194">
        <v>11</v>
      </c>
      <c r="Y1194">
        <v>3</v>
      </c>
      <c r="Z1194">
        <v>1</v>
      </c>
      <c r="AA1194">
        <v>80</v>
      </c>
      <c r="AB1194">
        <v>1</v>
      </c>
      <c r="AC1194">
        <v>28</v>
      </c>
      <c r="AD1194">
        <v>1</v>
      </c>
      <c r="AE1194">
        <v>4</v>
      </c>
      <c r="AF1194">
        <v>7</v>
      </c>
      <c r="AG1194">
        <v>7</v>
      </c>
      <c r="AH1194">
        <v>4</v>
      </c>
      <c r="AI1194">
        <v>3</v>
      </c>
    </row>
    <row r="1195" spans="1:35" x14ac:dyDescent="0.3">
      <c r="A1195">
        <v>42</v>
      </c>
      <c r="B1195" t="s">
        <v>40</v>
      </c>
      <c r="C1195" t="s">
        <v>41</v>
      </c>
      <c r="D1195">
        <v>288</v>
      </c>
      <c r="E1195" t="s">
        <v>42</v>
      </c>
      <c r="F1195">
        <v>2</v>
      </c>
      <c r="G1195">
        <v>3</v>
      </c>
      <c r="H1195" t="s">
        <v>35</v>
      </c>
      <c r="I1195">
        <v>1</v>
      </c>
      <c r="J1195">
        <v>1547</v>
      </c>
      <c r="K1195">
        <v>4</v>
      </c>
      <c r="L1195" s="17" t="s">
        <v>43</v>
      </c>
      <c r="M1195">
        <v>40</v>
      </c>
      <c r="N1195">
        <v>3</v>
      </c>
      <c r="O1195">
        <v>3</v>
      </c>
      <c r="P1195" t="s">
        <v>51</v>
      </c>
      <c r="Q1195">
        <v>4</v>
      </c>
      <c r="R1195" t="s">
        <v>45</v>
      </c>
      <c r="S1195" s="6">
        <v>10124</v>
      </c>
      <c r="T1195">
        <v>18611</v>
      </c>
      <c r="U1195">
        <v>2</v>
      </c>
      <c r="V1195" t="s">
        <v>39</v>
      </c>
      <c r="W1195" t="s">
        <v>32</v>
      </c>
      <c r="X1195">
        <v>14</v>
      </c>
      <c r="Y1195">
        <v>3</v>
      </c>
      <c r="Z1195">
        <v>3</v>
      </c>
      <c r="AA1195">
        <v>80</v>
      </c>
      <c r="AB1195">
        <v>1</v>
      </c>
      <c r="AC1195">
        <v>24</v>
      </c>
      <c r="AD1195">
        <v>3</v>
      </c>
      <c r="AE1195">
        <v>1</v>
      </c>
      <c r="AF1195">
        <v>20</v>
      </c>
      <c r="AG1195">
        <v>8</v>
      </c>
      <c r="AH1195">
        <v>13</v>
      </c>
      <c r="AI1195">
        <v>9</v>
      </c>
    </row>
    <row r="1196" spans="1:35" x14ac:dyDescent="0.3">
      <c r="A1196">
        <v>53</v>
      </c>
      <c r="B1196" t="s">
        <v>32</v>
      </c>
      <c r="C1196" t="s">
        <v>33</v>
      </c>
      <c r="D1196">
        <v>607</v>
      </c>
      <c r="E1196" t="s">
        <v>42</v>
      </c>
      <c r="F1196">
        <v>2</v>
      </c>
      <c r="G1196">
        <v>5</v>
      </c>
      <c r="H1196" t="s">
        <v>57</v>
      </c>
      <c r="I1196">
        <v>1</v>
      </c>
      <c r="J1196">
        <v>1572</v>
      </c>
      <c r="K1196">
        <v>3</v>
      </c>
      <c r="L1196" s="17" t="s">
        <v>36</v>
      </c>
      <c r="M1196">
        <v>78</v>
      </c>
      <c r="N1196">
        <v>2</v>
      </c>
      <c r="O1196">
        <v>3</v>
      </c>
      <c r="P1196" t="s">
        <v>50</v>
      </c>
      <c r="Q1196">
        <v>4</v>
      </c>
      <c r="R1196" t="s">
        <v>45</v>
      </c>
      <c r="S1196" s="6">
        <v>10169</v>
      </c>
      <c r="T1196">
        <v>14618</v>
      </c>
      <c r="U1196">
        <v>0</v>
      </c>
      <c r="V1196" t="s">
        <v>39</v>
      </c>
      <c r="W1196" t="s">
        <v>40</v>
      </c>
      <c r="X1196">
        <v>16</v>
      </c>
      <c r="Y1196">
        <v>3</v>
      </c>
      <c r="Z1196">
        <v>2</v>
      </c>
      <c r="AA1196">
        <v>80</v>
      </c>
      <c r="AB1196">
        <v>1</v>
      </c>
      <c r="AC1196">
        <v>34</v>
      </c>
      <c r="AD1196">
        <v>4</v>
      </c>
      <c r="AE1196">
        <v>3</v>
      </c>
      <c r="AF1196">
        <v>33</v>
      </c>
      <c r="AG1196">
        <v>7</v>
      </c>
      <c r="AH1196">
        <v>1</v>
      </c>
      <c r="AI1196">
        <v>9</v>
      </c>
    </row>
    <row r="1197" spans="1:35" x14ac:dyDescent="0.3">
      <c r="A1197">
        <v>44</v>
      </c>
      <c r="B1197" t="s">
        <v>40</v>
      </c>
      <c r="C1197" t="s">
        <v>41</v>
      </c>
      <c r="D1197">
        <v>1193</v>
      </c>
      <c r="E1197" t="s">
        <v>42</v>
      </c>
      <c r="F1197">
        <v>2</v>
      </c>
      <c r="G1197">
        <v>1</v>
      </c>
      <c r="H1197" t="s">
        <v>48</v>
      </c>
      <c r="I1197">
        <v>1</v>
      </c>
      <c r="J1197">
        <v>1496</v>
      </c>
      <c r="K1197">
        <v>2</v>
      </c>
      <c r="L1197" s="17" t="s">
        <v>43</v>
      </c>
      <c r="M1197">
        <v>86</v>
      </c>
      <c r="N1197">
        <v>3</v>
      </c>
      <c r="O1197">
        <v>3</v>
      </c>
      <c r="P1197" t="s">
        <v>50</v>
      </c>
      <c r="Q1197">
        <v>3</v>
      </c>
      <c r="R1197" t="s">
        <v>38</v>
      </c>
      <c r="S1197" s="6">
        <v>10209</v>
      </c>
      <c r="T1197">
        <v>19719</v>
      </c>
      <c r="U1197">
        <v>5</v>
      </c>
      <c r="V1197" t="s">
        <v>39</v>
      </c>
      <c r="W1197" t="s">
        <v>32</v>
      </c>
      <c r="X1197">
        <v>18</v>
      </c>
      <c r="Y1197">
        <v>3</v>
      </c>
      <c r="Z1197">
        <v>2</v>
      </c>
      <c r="AA1197">
        <v>80</v>
      </c>
      <c r="AB1197">
        <v>0</v>
      </c>
      <c r="AC1197">
        <v>16</v>
      </c>
      <c r="AD1197">
        <v>2</v>
      </c>
      <c r="AE1197">
        <v>2</v>
      </c>
      <c r="AF1197">
        <v>2</v>
      </c>
      <c r="AG1197">
        <v>2</v>
      </c>
      <c r="AH1197">
        <v>2</v>
      </c>
      <c r="AI1197">
        <v>2</v>
      </c>
    </row>
    <row r="1198" spans="1:35" x14ac:dyDescent="0.3">
      <c r="A1198">
        <v>35</v>
      </c>
      <c r="B1198" t="s">
        <v>40</v>
      </c>
      <c r="C1198" t="s">
        <v>33</v>
      </c>
      <c r="D1198">
        <v>950</v>
      </c>
      <c r="E1198" t="s">
        <v>42</v>
      </c>
      <c r="F1198">
        <v>7</v>
      </c>
      <c r="G1198">
        <v>3</v>
      </c>
      <c r="H1198" t="s">
        <v>46</v>
      </c>
      <c r="I1198">
        <v>1</v>
      </c>
      <c r="J1198">
        <v>845</v>
      </c>
      <c r="K1198">
        <v>3</v>
      </c>
      <c r="L1198" s="17" t="s">
        <v>43</v>
      </c>
      <c r="M1198">
        <v>59</v>
      </c>
      <c r="N1198">
        <v>3</v>
      </c>
      <c r="O1198">
        <v>3</v>
      </c>
      <c r="P1198" t="s">
        <v>50</v>
      </c>
      <c r="Q1198">
        <v>3</v>
      </c>
      <c r="R1198" t="s">
        <v>38</v>
      </c>
      <c r="S1198" s="6">
        <v>10221</v>
      </c>
      <c r="T1198">
        <v>18869</v>
      </c>
      <c r="U1198">
        <v>3</v>
      </c>
      <c r="V1198" t="s">
        <v>39</v>
      </c>
      <c r="W1198" t="s">
        <v>40</v>
      </c>
      <c r="X1198">
        <v>21</v>
      </c>
      <c r="Y1198">
        <v>4</v>
      </c>
      <c r="Z1198">
        <v>2</v>
      </c>
      <c r="AA1198">
        <v>80</v>
      </c>
      <c r="AB1198">
        <v>0</v>
      </c>
      <c r="AC1198">
        <v>17</v>
      </c>
      <c r="AD1198">
        <v>3</v>
      </c>
      <c r="AE1198">
        <v>4</v>
      </c>
      <c r="AF1198">
        <v>8</v>
      </c>
      <c r="AG1198">
        <v>5</v>
      </c>
      <c r="AH1198">
        <v>1</v>
      </c>
      <c r="AI1198">
        <v>6</v>
      </c>
    </row>
    <row r="1199" spans="1:35" x14ac:dyDescent="0.3">
      <c r="A1199">
        <v>43</v>
      </c>
      <c r="B1199" t="s">
        <v>40</v>
      </c>
      <c r="C1199" t="s">
        <v>33</v>
      </c>
      <c r="D1199">
        <v>531</v>
      </c>
      <c r="E1199" t="s">
        <v>34</v>
      </c>
      <c r="F1199">
        <v>4</v>
      </c>
      <c r="G1199">
        <v>4</v>
      </c>
      <c r="H1199" t="s">
        <v>56</v>
      </c>
      <c r="I1199">
        <v>1</v>
      </c>
      <c r="J1199">
        <v>1293</v>
      </c>
      <c r="K1199">
        <v>4</v>
      </c>
      <c r="L1199" s="17" t="s">
        <v>36</v>
      </c>
      <c r="M1199">
        <v>56</v>
      </c>
      <c r="N1199">
        <v>2</v>
      </c>
      <c r="O1199">
        <v>3</v>
      </c>
      <c r="P1199" t="s">
        <v>37</v>
      </c>
      <c r="Q1199">
        <v>4</v>
      </c>
      <c r="R1199" t="s">
        <v>38</v>
      </c>
      <c r="S1199" s="6">
        <v>10231</v>
      </c>
      <c r="T1199">
        <v>20364</v>
      </c>
      <c r="U1199">
        <v>3</v>
      </c>
      <c r="V1199" t="s">
        <v>39</v>
      </c>
      <c r="W1199" t="s">
        <v>40</v>
      </c>
      <c r="X1199">
        <v>14</v>
      </c>
      <c r="Y1199">
        <v>3</v>
      </c>
      <c r="Z1199">
        <v>4</v>
      </c>
      <c r="AA1199">
        <v>80</v>
      </c>
      <c r="AB1199">
        <v>0</v>
      </c>
      <c r="AC1199">
        <v>23</v>
      </c>
      <c r="AD1199">
        <v>3</v>
      </c>
      <c r="AE1199">
        <v>4</v>
      </c>
      <c r="AF1199">
        <v>21</v>
      </c>
      <c r="AG1199">
        <v>7</v>
      </c>
      <c r="AH1199">
        <v>15</v>
      </c>
      <c r="AI1199">
        <v>17</v>
      </c>
    </row>
    <row r="1200" spans="1:35" x14ac:dyDescent="0.3">
      <c r="A1200">
        <v>55</v>
      </c>
      <c r="B1200" t="s">
        <v>40</v>
      </c>
      <c r="C1200" t="s">
        <v>33</v>
      </c>
      <c r="D1200">
        <v>111</v>
      </c>
      <c r="E1200" t="s">
        <v>34</v>
      </c>
      <c r="F1200">
        <v>1</v>
      </c>
      <c r="G1200">
        <v>2</v>
      </c>
      <c r="H1200" t="s">
        <v>35</v>
      </c>
      <c r="I1200">
        <v>1</v>
      </c>
      <c r="J1200">
        <v>106</v>
      </c>
      <c r="K1200">
        <v>1</v>
      </c>
      <c r="L1200" s="17" t="s">
        <v>43</v>
      </c>
      <c r="M1200">
        <v>70</v>
      </c>
      <c r="N1200">
        <v>3</v>
      </c>
      <c r="O1200">
        <v>3</v>
      </c>
      <c r="P1200" t="s">
        <v>37</v>
      </c>
      <c r="Q1200">
        <v>4</v>
      </c>
      <c r="R1200" t="s">
        <v>45</v>
      </c>
      <c r="S1200" s="6">
        <v>10239</v>
      </c>
      <c r="T1200">
        <v>18092</v>
      </c>
      <c r="U1200">
        <v>3</v>
      </c>
      <c r="V1200" t="s">
        <v>39</v>
      </c>
      <c r="W1200" t="s">
        <v>40</v>
      </c>
      <c r="X1200">
        <v>14</v>
      </c>
      <c r="Y1200">
        <v>3</v>
      </c>
      <c r="Z1200">
        <v>4</v>
      </c>
      <c r="AA1200">
        <v>80</v>
      </c>
      <c r="AB1200">
        <v>1</v>
      </c>
      <c r="AC1200">
        <v>24</v>
      </c>
      <c r="AD1200">
        <v>4</v>
      </c>
      <c r="AE1200">
        <v>3</v>
      </c>
      <c r="AF1200">
        <v>1</v>
      </c>
      <c r="AG1200">
        <v>0</v>
      </c>
      <c r="AH1200">
        <v>1</v>
      </c>
      <c r="AI1200">
        <v>0</v>
      </c>
    </row>
    <row r="1201" spans="1:35" x14ac:dyDescent="0.3">
      <c r="A1201">
        <v>44</v>
      </c>
      <c r="B1201" t="s">
        <v>40</v>
      </c>
      <c r="C1201" t="s">
        <v>33</v>
      </c>
      <c r="D1201">
        <v>477</v>
      </c>
      <c r="E1201" t="s">
        <v>42</v>
      </c>
      <c r="F1201">
        <v>7</v>
      </c>
      <c r="G1201">
        <v>4</v>
      </c>
      <c r="H1201" t="s">
        <v>48</v>
      </c>
      <c r="I1201">
        <v>1</v>
      </c>
      <c r="J1201">
        <v>36</v>
      </c>
      <c r="K1201">
        <v>1</v>
      </c>
      <c r="L1201" s="17" t="s">
        <v>36</v>
      </c>
      <c r="M1201">
        <v>42</v>
      </c>
      <c r="N1201">
        <v>2</v>
      </c>
      <c r="O1201">
        <v>3</v>
      </c>
      <c r="P1201" t="s">
        <v>51</v>
      </c>
      <c r="Q1201">
        <v>4</v>
      </c>
      <c r="R1201" t="s">
        <v>45</v>
      </c>
      <c r="S1201" s="6">
        <v>10248</v>
      </c>
      <c r="T1201">
        <v>2094</v>
      </c>
      <c r="U1201">
        <v>3</v>
      </c>
      <c r="V1201" t="s">
        <v>39</v>
      </c>
      <c r="W1201" t="s">
        <v>40</v>
      </c>
      <c r="X1201">
        <v>14</v>
      </c>
      <c r="Y1201">
        <v>3</v>
      </c>
      <c r="Z1201">
        <v>4</v>
      </c>
      <c r="AA1201">
        <v>80</v>
      </c>
      <c r="AB1201">
        <v>1</v>
      </c>
      <c r="AC1201">
        <v>24</v>
      </c>
      <c r="AD1201">
        <v>4</v>
      </c>
      <c r="AE1201">
        <v>3</v>
      </c>
      <c r="AF1201">
        <v>22</v>
      </c>
      <c r="AG1201">
        <v>6</v>
      </c>
      <c r="AH1201">
        <v>5</v>
      </c>
      <c r="AI1201">
        <v>17</v>
      </c>
    </row>
    <row r="1202" spans="1:35" x14ac:dyDescent="0.3">
      <c r="A1202">
        <v>36</v>
      </c>
      <c r="B1202" t="s">
        <v>40</v>
      </c>
      <c r="C1202" t="s">
        <v>33</v>
      </c>
      <c r="D1202">
        <v>363</v>
      </c>
      <c r="E1202" t="s">
        <v>42</v>
      </c>
      <c r="F1202">
        <v>1</v>
      </c>
      <c r="G1202">
        <v>3</v>
      </c>
      <c r="H1202" t="s">
        <v>57</v>
      </c>
      <c r="I1202">
        <v>1</v>
      </c>
      <c r="J1202">
        <v>1237</v>
      </c>
      <c r="K1202">
        <v>3</v>
      </c>
      <c r="L1202" s="17" t="s">
        <v>36</v>
      </c>
      <c r="M1202">
        <v>77</v>
      </c>
      <c r="N1202">
        <v>1</v>
      </c>
      <c r="O1202">
        <v>3</v>
      </c>
      <c r="P1202" t="s">
        <v>50</v>
      </c>
      <c r="Q1202">
        <v>1</v>
      </c>
      <c r="R1202" t="s">
        <v>49</v>
      </c>
      <c r="S1202" s="6">
        <v>10252</v>
      </c>
      <c r="T1202">
        <v>4235</v>
      </c>
      <c r="U1202">
        <v>2</v>
      </c>
      <c r="V1202" t="s">
        <v>39</v>
      </c>
      <c r="W1202" t="s">
        <v>32</v>
      </c>
      <c r="X1202">
        <v>21</v>
      </c>
      <c r="Y1202">
        <v>4</v>
      </c>
      <c r="Z1202">
        <v>3</v>
      </c>
      <c r="AA1202">
        <v>80</v>
      </c>
      <c r="AB1202">
        <v>1</v>
      </c>
      <c r="AC1202">
        <v>17</v>
      </c>
      <c r="AD1202">
        <v>2</v>
      </c>
      <c r="AE1202">
        <v>3</v>
      </c>
      <c r="AF1202">
        <v>7</v>
      </c>
      <c r="AG1202">
        <v>7</v>
      </c>
      <c r="AH1202">
        <v>7</v>
      </c>
      <c r="AI1202">
        <v>7</v>
      </c>
    </row>
    <row r="1203" spans="1:35" x14ac:dyDescent="0.3">
      <c r="A1203">
        <v>60</v>
      </c>
      <c r="B1203" t="s">
        <v>40</v>
      </c>
      <c r="C1203" t="s">
        <v>41</v>
      </c>
      <c r="D1203">
        <v>1499</v>
      </c>
      <c r="E1203" t="s">
        <v>34</v>
      </c>
      <c r="F1203">
        <v>28</v>
      </c>
      <c r="G1203">
        <v>3</v>
      </c>
      <c r="H1203" t="s">
        <v>56</v>
      </c>
      <c r="I1203">
        <v>1</v>
      </c>
      <c r="J1203">
        <v>573</v>
      </c>
      <c r="K1203">
        <v>3</v>
      </c>
      <c r="L1203" s="17" t="s">
        <v>36</v>
      </c>
      <c r="M1203">
        <v>80</v>
      </c>
      <c r="N1203">
        <v>2</v>
      </c>
      <c r="O1203">
        <v>3</v>
      </c>
      <c r="P1203" t="s">
        <v>37</v>
      </c>
      <c r="Q1203">
        <v>1</v>
      </c>
      <c r="R1203" t="s">
        <v>45</v>
      </c>
      <c r="S1203" s="6">
        <v>10266</v>
      </c>
      <c r="T1203">
        <v>2845</v>
      </c>
      <c r="U1203">
        <v>4</v>
      </c>
      <c r="V1203" t="s">
        <v>39</v>
      </c>
      <c r="W1203" t="s">
        <v>40</v>
      </c>
      <c r="X1203">
        <v>19</v>
      </c>
      <c r="Y1203">
        <v>3</v>
      </c>
      <c r="Z1203">
        <v>4</v>
      </c>
      <c r="AA1203">
        <v>80</v>
      </c>
      <c r="AB1203">
        <v>0</v>
      </c>
      <c r="AC1203">
        <v>22</v>
      </c>
      <c r="AD1203">
        <v>5</v>
      </c>
      <c r="AE1203">
        <v>4</v>
      </c>
      <c r="AF1203">
        <v>18</v>
      </c>
      <c r="AG1203">
        <v>13</v>
      </c>
      <c r="AH1203">
        <v>13</v>
      </c>
      <c r="AI1203">
        <v>11</v>
      </c>
    </row>
    <row r="1204" spans="1:35" x14ac:dyDescent="0.3">
      <c r="A1204">
        <v>35</v>
      </c>
      <c r="B1204" t="s">
        <v>40</v>
      </c>
      <c r="C1204" t="s">
        <v>33</v>
      </c>
      <c r="D1204">
        <v>819</v>
      </c>
      <c r="E1204" t="s">
        <v>42</v>
      </c>
      <c r="F1204">
        <v>2</v>
      </c>
      <c r="G1204">
        <v>3</v>
      </c>
      <c r="H1204" t="s">
        <v>35</v>
      </c>
      <c r="I1204">
        <v>1</v>
      </c>
      <c r="J1204">
        <v>1182</v>
      </c>
      <c r="K1204">
        <v>3</v>
      </c>
      <c r="L1204" s="17" t="s">
        <v>43</v>
      </c>
      <c r="M1204">
        <v>44</v>
      </c>
      <c r="N1204">
        <v>2</v>
      </c>
      <c r="O1204">
        <v>3</v>
      </c>
      <c r="P1204" t="s">
        <v>50</v>
      </c>
      <c r="Q1204">
        <v>2</v>
      </c>
      <c r="R1204" t="s">
        <v>49</v>
      </c>
      <c r="S1204" s="6">
        <v>10274</v>
      </c>
      <c r="T1204">
        <v>19588</v>
      </c>
      <c r="U1204">
        <v>2</v>
      </c>
      <c r="V1204" t="s">
        <v>39</v>
      </c>
      <c r="W1204" t="s">
        <v>40</v>
      </c>
      <c r="X1204">
        <v>18</v>
      </c>
      <c r="Y1204">
        <v>3</v>
      </c>
      <c r="Z1204">
        <v>2</v>
      </c>
      <c r="AA1204">
        <v>80</v>
      </c>
      <c r="AB1204">
        <v>1</v>
      </c>
      <c r="AC1204">
        <v>15</v>
      </c>
      <c r="AD1204">
        <v>2</v>
      </c>
      <c r="AE1204">
        <v>4</v>
      </c>
      <c r="AF1204">
        <v>7</v>
      </c>
      <c r="AG1204">
        <v>7</v>
      </c>
      <c r="AH1204">
        <v>6</v>
      </c>
      <c r="AI1204">
        <v>4</v>
      </c>
    </row>
    <row r="1205" spans="1:35" x14ac:dyDescent="0.3">
      <c r="A1205">
        <v>35</v>
      </c>
      <c r="B1205" t="s">
        <v>32</v>
      </c>
      <c r="C1205" t="s">
        <v>33</v>
      </c>
      <c r="D1205">
        <v>737</v>
      </c>
      <c r="E1205" t="s">
        <v>34</v>
      </c>
      <c r="F1205">
        <v>10</v>
      </c>
      <c r="G1205">
        <v>3</v>
      </c>
      <c r="H1205" t="s">
        <v>48</v>
      </c>
      <c r="I1205">
        <v>1</v>
      </c>
      <c r="J1205">
        <v>1639</v>
      </c>
      <c r="K1205">
        <v>4</v>
      </c>
      <c r="L1205" s="17" t="s">
        <v>43</v>
      </c>
      <c r="M1205">
        <v>55</v>
      </c>
      <c r="N1205">
        <v>2</v>
      </c>
      <c r="O1205">
        <v>3</v>
      </c>
      <c r="P1205" t="s">
        <v>37</v>
      </c>
      <c r="Q1205">
        <v>1</v>
      </c>
      <c r="R1205" t="s">
        <v>45</v>
      </c>
      <c r="S1205" s="6">
        <v>10306</v>
      </c>
      <c r="T1205">
        <v>21530</v>
      </c>
      <c r="U1205">
        <v>9</v>
      </c>
      <c r="V1205" t="s">
        <v>39</v>
      </c>
      <c r="W1205" t="s">
        <v>40</v>
      </c>
      <c r="X1205">
        <v>17</v>
      </c>
      <c r="Y1205">
        <v>3</v>
      </c>
      <c r="Z1205">
        <v>3</v>
      </c>
      <c r="AA1205">
        <v>80</v>
      </c>
      <c r="AB1205">
        <v>0</v>
      </c>
      <c r="AC1205">
        <v>15</v>
      </c>
      <c r="AD1205">
        <v>3</v>
      </c>
      <c r="AE1205">
        <v>3</v>
      </c>
      <c r="AF1205">
        <v>13</v>
      </c>
      <c r="AG1205">
        <v>12</v>
      </c>
      <c r="AH1205">
        <v>6</v>
      </c>
      <c r="AI1205">
        <v>0</v>
      </c>
    </row>
    <row r="1206" spans="1:35" x14ac:dyDescent="0.3">
      <c r="A1206">
        <v>58</v>
      </c>
      <c r="B1206" t="s">
        <v>32</v>
      </c>
      <c r="C1206" t="s">
        <v>33</v>
      </c>
      <c r="D1206">
        <v>147</v>
      </c>
      <c r="E1206" t="s">
        <v>42</v>
      </c>
      <c r="F1206">
        <v>23</v>
      </c>
      <c r="G1206">
        <v>4</v>
      </c>
      <c r="H1206" t="s">
        <v>48</v>
      </c>
      <c r="I1206">
        <v>1</v>
      </c>
      <c r="J1206">
        <v>165</v>
      </c>
      <c r="K1206">
        <v>4</v>
      </c>
      <c r="L1206" s="17" t="s">
        <v>36</v>
      </c>
      <c r="M1206">
        <v>94</v>
      </c>
      <c r="N1206">
        <v>3</v>
      </c>
      <c r="O1206">
        <v>3</v>
      </c>
      <c r="P1206" t="s">
        <v>51</v>
      </c>
      <c r="Q1206">
        <v>4</v>
      </c>
      <c r="R1206" t="s">
        <v>45</v>
      </c>
      <c r="S1206" s="6">
        <v>10312</v>
      </c>
      <c r="T1206">
        <v>3465</v>
      </c>
      <c r="U1206">
        <v>1</v>
      </c>
      <c r="V1206" t="s">
        <v>39</v>
      </c>
      <c r="W1206" t="s">
        <v>40</v>
      </c>
      <c r="X1206">
        <v>12</v>
      </c>
      <c r="Y1206">
        <v>3</v>
      </c>
      <c r="Z1206">
        <v>4</v>
      </c>
      <c r="AA1206">
        <v>80</v>
      </c>
      <c r="AB1206">
        <v>1</v>
      </c>
      <c r="AC1206">
        <v>40</v>
      </c>
      <c r="AD1206">
        <v>3</v>
      </c>
      <c r="AE1206">
        <v>2</v>
      </c>
      <c r="AF1206">
        <v>40</v>
      </c>
      <c r="AG1206">
        <v>10</v>
      </c>
      <c r="AH1206">
        <v>15</v>
      </c>
      <c r="AI1206">
        <v>6</v>
      </c>
    </row>
    <row r="1207" spans="1:35" x14ac:dyDescent="0.3">
      <c r="A1207">
        <v>40</v>
      </c>
      <c r="B1207" t="s">
        <v>40</v>
      </c>
      <c r="C1207" t="s">
        <v>33</v>
      </c>
      <c r="D1207">
        <v>1492</v>
      </c>
      <c r="E1207" t="s">
        <v>42</v>
      </c>
      <c r="F1207">
        <v>20</v>
      </c>
      <c r="G1207">
        <v>4</v>
      </c>
      <c r="H1207" t="s">
        <v>57</v>
      </c>
      <c r="I1207">
        <v>1</v>
      </c>
      <c r="J1207">
        <v>1092</v>
      </c>
      <c r="K1207">
        <v>1</v>
      </c>
      <c r="L1207" s="17" t="s">
        <v>43</v>
      </c>
      <c r="M1207">
        <v>61</v>
      </c>
      <c r="N1207">
        <v>3</v>
      </c>
      <c r="O1207">
        <v>3</v>
      </c>
      <c r="P1207" t="s">
        <v>51</v>
      </c>
      <c r="Q1207">
        <v>4</v>
      </c>
      <c r="R1207" t="s">
        <v>45</v>
      </c>
      <c r="S1207" s="6">
        <v>10322</v>
      </c>
      <c r="T1207">
        <v>26542</v>
      </c>
      <c r="U1207">
        <v>4</v>
      </c>
      <c r="V1207" t="s">
        <v>39</v>
      </c>
      <c r="W1207" t="s">
        <v>40</v>
      </c>
      <c r="X1207">
        <v>20</v>
      </c>
      <c r="Y1207">
        <v>4</v>
      </c>
      <c r="Z1207">
        <v>4</v>
      </c>
      <c r="AA1207">
        <v>80</v>
      </c>
      <c r="AB1207">
        <v>1</v>
      </c>
      <c r="AC1207">
        <v>14</v>
      </c>
      <c r="AD1207">
        <v>6</v>
      </c>
      <c r="AE1207">
        <v>3</v>
      </c>
      <c r="AF1207">
        <v>11</v>
      </c>
      <c r="AG1207">
        <v>10</v>
      </c>
      <c r="AH1207">
        <v>11</v>
      </c>
      <c r="AI1207">
        <v>1</v>
      </c>
    </row>
    <row r="1208" spans="1:35" x14ac:dyDescent="0.3">
      <c r="A1208">
        <v>36</v>
      </c>
      <c r="B1208" t="s">
        <v>32</v>
      </c>
      <c r="C1208" t="s">
        <v>33</v>
      </c>
      <c r="D1208">
        <v>530</v>
      </c>
      <c r="E1208" t="s">
        <v>34</v>
      </c>
      <c r="F1208">
        <v>3</v>
      </c>
      <c r="G1208">
        <v>1</v>
      </c>
      <c r="H1208" t="s">
        <v>35</v>
      </c>
      <c r="I1208">
        <v>1</v>
      </c>
      <c r="J1208">
        <v>967</v>
      </c>
      <c r="K1208">
        <v>3</v>
      </c>
      <c r="L1208" s="17" t="s">
        <v>43</v>
      </c>
      <c r="M1208">
        <v>51</v>
      </c>
      <c r="N1208">
        <v>2</v>
      </c>
      <c r="O1208">
        <v>3</v>
      </c>
      <c r="P1208" t="s">
        <v>37</v>
      </c>
      <c r="Q1208">
        <v>4</v>
      </c>
      <c r="R1208" t="s">
        <v>45</v>
      </c>
      <c r="S1208" s="6">
        <v>10325</v>
      </c>
      <c r="T1208">
        <v>5518</v>
      </c>
      <c r="U1208">
        <v>1</v>
      </c>
      <c r="V1208" t="s">
        <v>39</v>
      </c>
      <c r="W1208" t="s">
        <v>32</v>
      </c>
      <c r="X1208">
        <v>11</v>
      </c>
      <c r="Y1208">
        <v>3</v>
      </c>
      <c r="Z1208">
        <v>1</v>
      </c>
      <c r="AA1208">
        <v>80</v>
      </c>
      <c r="AB1208">
        <v>1</v>
      </c>
      <c r="AC1208">
        <v>16</v>
      </c>
      <c r="AD1208">
        <v>6</v>
      </c>
      <c r="AE1208">
        <v>3</v>
      </c>
      <c r="AF1208">
        <v>16</v>
      </c>
      <c r="AG1208">
        <v>7</v>
      </c>
      <c r="AH1208">
        <v>3</v>
      </c>
      <c r="AI1208">
        <v>7</v>
      </c>
    </row>
    <row r="1209" spans="1:35" x14ac:dyDescent="0.3">
      <c r="A1209">
        <v>47</v>
      </c>
      <c r="B1209" t="s">
        <v>40</v>
      </c>
      <c r="C1209" t="s">
        <v>33</v>
      </c>
      <c r="D1209">
        <v>1001</v>
      </c>
      <c r="E1209" t="s">
        <v>42</v>
      </c>
      <c r="F1209">
        <v>4</v>
      </c>
      <c r="G1209">
        <v>3</v>
      </c>
      <c r="H1209" t="s">
        <v>35</v>
      </c>
      <c r="I1209">
        <v>1</v>
      </c>
      <c r="J1209">
        <v>1827</v>
      </c>
      <c r="K1209">
        <v>3</v>
      </c>
      <c r="L1209" s="17" t="s">
        <v>36</v>
      </c>
      <c r="M1209">
        <v>92</v>
      </c>
      <c r="N1209">
        <v>2</v>
      </c>
      <c r="O1209">
        <v>3</v>
      </c>
      <c r="P1209" t="s">
        <v>50</v>
      </c>
      <c r="Q1209">
        <v>2</v>
      </c>
      <c r="R1209" t="s">
        <v>49</v>
      </c>
      <c r="S1209" s="6">
        <v>10333</v>
      </c>
      <c r="T1209">
        <v>19271</v>
      </c>
      <c r="U1209">
        <v>8</v>
      </c>
      <c r="V1209" t="s">
        <v>39</v>
      </c>
      <c r="W1209" t="s">
        <v>32</v>
      </c>
      <c r="X1209">
        <v>12</v>
      </c>
      <c r="Y1209">
        <v>3</v>
      </c>
      <c r="Z1209">
        <v>3</v>
      </c>
      <c r="AA1209">
        <v>80</v>
      </c>
      <c r="AB1209">
        <v>1</v>
      </c>
      <c r="AC1209">
        <v>28</v>
      </c>
      <c r="AD1209">
        <v>4</v>
      </c>
      <c r="AE1209">
        <v>3</v>
      </c>
      <c r="AF1209">
        <v>22</v>
      </c>
      <c r="AG1209">
        <v>11</v>
      </c>
      <c r="AH1209">
        <v>14</v>
      </c>
      <c r="AI1209">
        <v>10</v>
      </c>
    </row>
    <row r="1210" spans="1:35" x14ac:dyDescent="0.3">
      <c r="A1210">
        <v>46</v>
      </c>
      <c r="B1210" t="s">
        <v>40</v>
      </c>
      <c r="C1210" t="s">
        <v>33</v>
      </c>
      <c r="D1210">
        <v>1277</v>
      </c>
      <c r="E1210" t="s">
        <v>34</v>
      </c>
      <c r="F1210">
        <v>2</v>
      </c>
      <c r="G1210">
        <v>3</v>
      </c>
      <c r="H1210" t="s">
        <v>35</v>
      </c>
      <c r="I1210">
        <v>1</v>
      </c>
      <c r="J1210">
        <v>1732</v>
      </c>
      <c r="K1210">
        <v>3</v>
      </c>
      <c r="L1210" s="17" t="s">
        <v>43</v>
      </c>
      <c r="M1210">
        <v>74</v>
      </c>
      <c r="N1210">
        <v>3</v>
      </c>
      <c r="O1210">
        <v>3</v>
      </c>
      <c r="P1210" t="s">
        <v>37</v>
      </c>
      <c r="Q1210">
        <v>4</v>
      </c>
      <c r="R1210" t="s">
        <v>49</v>
      </c>
      <c r="S1210" s="6">
        <v>10368</v>
      </c>
      <c r="T1210">
        <v>5596</v>
      </c>
      <c r="U1210">
        <v>4</v>
      </c>
      <c r="V1210" t="s">
        <v>39</v>
      </c>
      <c r="W1210" t="s">
        <v>32</v>
      </c>
      <c r="X1210">
        <v>12</v>
      </c>
      <c r="Y1210">
        <v>3</v>
      </c>
      <c r="Z1210">
        <v>2</v>
      </c>
      <c r="AA1210">
        <v>80</v>
      </c>
      <c r="AB1210">
        <v>1</v>
      </c>
      <c r="AC1210">
        <v>13</v>
      </c>
      <c r="AD1210">
        <v>5</v>
      </c>
      <c r="AE1210">
        <v>2</v>
      </c>
      <c r="AF1210">
        <v>10</v>
      </c>
      <c r="AG1210">
        <v>6</v>
      </c>
      <c r="AH1210">
        <v>0</v>
      </c>
      <c r="AI1210">
        <v>3</v>
      </c>
    </row>
    <row r="1211" spans="1:35" x14ac:dyDescent="0.3">
      <c r="A1211">
        <v>35</v>
      </c>
      <c r="B1211" t="s">
        <v>40</v>
      </c>
      <c r="C1211" t="s">
        <v>52</v>
      </c>
      <c r="D1211">
        <v>1212</v>
      </c>
      <c r="E1211" t="s">
        <v>34</v>
      </c>
      <c r="F1211">
        <v>8</v>
      </c>
      <c r="G1211">
        <v>2</v>
      </c>
      <c r="H1211" t="s">
        <v>56</v>
      </c>
      <c r="I1211">
        <v>1</v>
      </c>
      <c r="J1211">
        <v>1243</v>
      </c>
      <c r="K1211">
        <v>3</v>
      </c>
      <c r="L1211" s="17" t="s">
        <v>36</v>
      </c>
      <c r="M1211">
        <v>78</v>
      </c>
      <c r="N1211">
        <v>2</v>
      </c>
      <c r="O1211">
        <v>3</v>
      </c>
      <c r="P1211" t="s">
        <v>37</v>
      </c>
      <c r="Q1211">
        <v>4</v>
      </c>
      <c r="R1211" t="s">
        <v>45</v>
      </c>
      <c r="S1211" s="6">
        <v>10377</v>
      </c>
      <c r="T1211">
        <v>13755</v>
      </c>
      <c r="U1211">
        <v>4</v>
      </c>
      <c r="V1211" t="s">
        <v>39</v>
      </c>
      <c r="W1211" t="s">
        <v>32</v>
      </c>
      <c r="X1211">
        <v>11</v>
      </c>
      <c r="Y1211">
        <v>3</v>
      </c>
      <c r="Z1211">
        <v>2</v>
      </c>
      <c r="AA1211">
        <v>80</v>
      </c>
      <c r="AB1211">
        <v>1</v>
      </c>
      <c r="AC1211">
        <v>16</v>
      </c>
      <c r="AD1211">
        <v>6</v>
      </c>
      <c r="AE1211">
        <v>2</v>
      </c>
      <c r="AF1211">
        <v>13</v>
      </c>
      <c r="AG1211">
        <v>2</v>
      </c>
      <c r="AH1211">
        <v>4</v>
      </c>
      <c r="AI1211">
        <v>12</v>
      </c>
    </row>
    <row r="1212" spans="1:35" x14ac:dyDescent="0.3">
      <c r="A1212">
        <v>35</v>
      </c>
      <c r="B1212" t="s">
        <v>40</v>
      </c>
      <c r="C1212" t="s">
        <v>33</v>
      </c>
      <c r="D1212">
        <v>583</v>
      </c>
      <c r="E1212" t="s">
        <v>42</v>
      </c>
      <c r="F1212">
        <v>25</v>
      </c>
      <c r="G1212">
        <v>4</v>
      </c>
      <c r="H1212" t="s">
        <v>48</v>
      </c>
      <c r="I1212">
        <v>1</v>
      </c>
      <c r="J1212">
        <v>1014</v>
      </c>
      <c r="K1212">
        <v>3</v>
      </c>
      <c r="L1212" s="17" t="s">
        <v>36</v>
      </c>
      <c r="M1212">
        <v>57</v>
      </c>
      <c r="N1212">
        <v>3</v>
      </c>
      <c r="O1212">
        <v>3</v>
      </c>
      <c r="P1212" t="s">
        <v>51</v>
      </c>
      <c r="Q1212">
        <v>3</v>
      </c>
      <c r="R1212" t="s">
        <v>49</v>
      </c>
      <c r="S1212" s="6">
        <v>10388</v>
      </c>
      <c r="T1212">
        <v>6975</v>
      </c>
      <c r="U1212">
        <v>1</v>
      </c>
      <c r="V1212" t="s">
        <v>39</v>
      </c>
      <c r="W1212" t="s">
        <v>32</v>
      </c>
      <c r="X1212">
        <v>11</v>
      </c>
      <c r="Y1212">
        <v>3</v>
      </c>
      <c r="Z1212">
        <v>3</v>
      </c>
      <c r="AA1212">
        <v>80</v>
      </c>
      <c r="AB1212">
        <v>1</v>
      </c>
      <c r="AC1212">
        <v>16</v>
      </c>
      <c r="AD1212">
        <v>3</v>
      </c>
      <c r="AE1212">
        <v>2</v>
      </c>
      <c r="AF1212">
        <v>16</v>
      </c>
      <c r="AG1212">
        <v>10</v>
      </c>
      <c r="AH1212">
        <v>10</v>
      </c>
      <c r="AI1212">
        <v>1</v>
      </c>
    </row>
    <row r="1213" spans="1:35" x14ac:dyDescent="0.3">
      <c r="A1213">
        <v>32</v>
      </c>
      <c r="B1213" t="s">
        <v>32</v>
      </c>
      <c r="C1213" t="s">
        <v>33</v>
      </c>
      <c r="D1213">
        <v>1045</v>
      </c>
      <c r="E1213" t="s">
        <v>34</v>
      </c>
      <c r="F1213">
        <v>4</v>
      </c>
      <c r="G1213">
        <v>4</v>
      </c>
      <c r="H1213" t="s">
        <v>48</v>
      </c>
      <c r="I1213">
        <v>1</v>
      </c>
      <c r="J1213">
        <v>291</v>
      </c>
      <c r="K1213">
        <v>4</v>
      </c>
      <c r="L1213" s="17" t="s">
        <v>43</v>
      </c>
      <c r="M1213">
        <v>32</v>
      </c>
      <c r="N1213">
        <v>1</v>
      </c>
      <c r="O1213">
        <v>3</v>
      </c>
      <c r="P1213" t="s">
        <v>37</v>
      </c>
      <c r="Q1213">
        <v>4</v>
      </c>
      <c r="R1213" t="s">
        <v>45</v>
      </c>
      <c r="S1213" s="6">
        <v>10400</v>
      </c>
      <c r="T1213">
        <v>25812</v>
      </c>
      <c r="U1213">
        <v>1</v>
      </c>
      <c r="V1213" t="s">
        <v>39</v>
      </c>
      <c r="W1213" t="s">
        <v>40</v>
      </c>
      <c r="X1213">
        <v>11</v>
      </c>
      <c r="Y1213">
        <v>3</v>
      </c>
      <c r="Z1213">
        <v>3</v>
      </c>
      <c r="AA1213">
        <v>80</v>
      </c>
      <c r="AB1213">
        <v>0</v>
      </c>
      <c r="AC1213">
        <v>14</v>
      </c>
      <c r="AD1213">
        <v>2</v>
      </c>
      <c r="AE1213">
        <v>2</v>
      </c>
      <c r="AF1213">
        <v>14</v>
      </c>
      <c r="AG1213">
        <v>8</v>
      </c>
      <c r="AH1213">
        <v>9</v>
      </c>
      <c r="AI1213">
        <v>8</v>
      </c>
    </row>
    <row r="1214" spans="1:35" x14ac:dyDescent="0.3">
      <c r="A1214">
        <v>32</v>
      </c>
      <c r="B1214" t="s">
        <v>40</v>
      </c>
      <c r="C1214" t="s">
        <v>33</v>
      </c>
      <c r="D1214">
        <v>801</v>
      </c>
      <c r="E1214" t="s">
        <v>34</v>
      </c>
      <c r="F1214">
        <v>1</v>
      </c>
      <c r="G1214">
        <v>4</v>
      </c>
      <c r="H1214" t="s">
        <v>56</v>
      </c>
      <c r="I1214">
        <v>1</v>
      </c>
      <c r="J1214">
        <v>2016</v>
      </c>
      <c r="K1214">
        <v>3</v>
      </c>
      <c r="L1214" s="17" t="s">
        <v>36</v>
      </c>
      <c r="M1214">
        <v>48</v>
      </c>
      <c r="N1214">
        <v>3</v>
      </c>
      <c r="O1214">
        <v>3</v>
      </c>
      <c r="P1214" t="s">
        <v>37</v>
      </c>
      <c r="Q1214">
        <v>4</v>
      </c>
      <c r="R1214" t="s">
        <v>45</v>
      </c>
      <c r="S1214" s="6">
        <v>10422</v>
      </c>
      <c r="T1214">
        <v>24032</v>
      </c>
      <c r="U1214">
        <v>1</v>
      </c>
      <c r="V1214" t="s">
        <v>39</v>
      </c>
      <c r="W1214" t="s">
        <v>40</v>
      </c>
      <c r="X1214">
        <v>19</v>
      </c>
      <c r="Y1214">
        <v>3</v>
      </c>
      <c r="Z1214">
        <v>3</v>
      </c>
      <c r="AA1214">
        <v>80</v>
      </c>
      <c r="AB1214">
        <v>2</v>
      </c>
      <c r="AC1214">
        <v>14</v>
      </c>
      <c r="AD1214">
        <v>3</v>
      </c>
      <c r="AE1214">
        <v>3</v>
      </c>
      <c r="AF1214">
        <v>14</v>
      </c>
      <c r="AG1214">
        <v>10</v>
      </c>
      <c r="AH1214">
        <v>5</v>
      </c>
      <c r="AI1214">
        <v>7</v>
      </c>
    </row>
    <row r="1215" spans="1:35" x14ac:dyDescent="0.3">
      <c r="A1215">
        <v>40</v>
      </c>
      <c r="B1215" t="s">
        <v>40</v>
      </c>
      <c r="C1215" t="s">
        <v>33</v>
      </c>
      <c r="D1215">
        <v>884</v>
      </c>
      <c r="E1215" t="s">
        <v>42</v>
      </c>
      <c r="F1215">
        <v>15</v>
      </c>
      <c r="G1215">
        <v>3</v>
      </c>
      <c r="H1215" t="s">
        <v>35</v>
      </c>
      <c r="I1215">
        <v>1</v>
      </c>
      <c r="J1215">
        <v>1628</v>
      </c>
      <c r="K1215">
        <v>1</v>
      </c>
      <c r="L1215" s="17" t="s">
        <v>36</v>
      </c>
      <c r="M1215">
        <v>80</v>
      </c>
      <c r="N1215">
        <v>2</v>
      </c>
      <c r="O1215">
        <v>3</v>
      </c>
      <c r="P1215" t="s">
        <v>50</v>
      </c>
      <c r="Q1215">
        <v>3</v>
      </c>
      <c r="R1215" t="s">
        <v>45</v>
      </c>
      <c r="S1215" s="6">
        <v>10435</v>
      </c>
      <c r="T1215">
        <v>25800</v>
      </c>
      <c r="U1215">
        <v>1</v>
      </c>
      <c r="V1215" t="s">
        <v>39</v>
      </c>
      <c r="W1215" t="s">
        <v>40</v>
      </c>
      <c r="X1215">
        <v>13</v>
      </c>
      <c r="Y1215">
        <v>3</v>
      </c>
      <c r="Z1215">
        <v>4</v>
      </c>
      <c r="AA1215">
        <v>80</v>
      </c>
      <c r="AB1215">
        <v>2</v>
      </c>
      <c r="AC1215">
        <v>18</v>
      </c>
      <c r="AD1215">
        <v>2</v>
      </c>
      <c r="AE1215">
        <v>3</v>
      </c>
      <c r="AF1215">
        <v>18</v>
      </c>
      <c r="AG1215">
        <v>15</v>
      </c>
      <c r="AH1215">
        <v>14</v>
      </c>
      <c r="AI1215">
        <v>12</v>
      </c>
    </row>
    <row r="1216" spans="1:35" x14ac:dyDescent="0.3">
      <c r="A1216">
        <v>52</v>
      </c>
      <c r="B1216" t="s">
        <v>40</v>
      </c>
      <c r="C1216" t="s">
        <v>33</v>
      </c>
      <c r="D1216">
        <v>994</v>
      </c>
      <c r="E1216" t="s">
        <v>42</v>
      </c>
      <c r="F1216">
        <v>7</v>
      </c>
      <c r="G1216">
        <v>4</v>
      </c>
      <c r="H1216" t="s">
        <v>35</v>
      </c>
      <c r="I1216">
        <v>1</v>
      </c>
      <c r="J1216">
        <v>1118</v>
      </c>
      <c r="K1216">
        <v>2</v>
      </c>
      <c r="L1216" s="17" t="s">
        <v>43</v>
      </c>
      <c r="M1216">
        <v>87</v>
      </c>
      <c r="N1216">
        <v>3</v>
      </c>
      <c r="O1216">
        <v>3</v>
      </c>
      <c r="P1216" t="s">
        <v>51</v>
      </c>
      <c r="Q1216">
        <v>2</v>
      </c>
      <c r="R1216" t="s">
        <v>38</v>
      </c>
      <c r="S1216" s="6">
        <v>10445</v>
      </c>
      <c r="T1216">
        <v>15322</v>
      </c>
      <c r="U1216">
        <v>7</v>
      </c>
      <c r="V1216" t="s">
        <v>39</v>
      </c>
      <c r="W1216" t="s">
        <v>40</v>
      </c>
      <c r="X1216">
        <v>19</v>
      </c>
      <c r="Y1216">
        <v>3</v>
      </c>
      <c r="Z1216">
        <v>4</v>
      </c>
      <c r="AA1216">
        <v>80</v>
      </c>
      <c r="AB1216">
        <v>0</v>
      </c>
      <c r="AC1216">
        <v>18</v>
      </c>
      <c r="AD1216">
        <v>4</v>
      </c>
      <c r="AE1216">
        <v>3</v>
      </c>
      <c r="AF1216">
        <v>8</v>
      </c>
      <c r="AG1216">
        <v>6</v>
      </c>
      <c r="AH1216">
        <v>4</v>
      </c>
      <c r="AI1216">
        <v>0</v>
      </c>
    </row>
    <row r="1217" spans="1:35" x14ac:dyDescent="0.3">
      <c r="A1217">
        <v>41</v>
      </c>
      <c r="B1217" t="s">
        <v>40</v>
      </c>
      <c r="C1217" t="s">
        <v>33</v>
      </c>
      <c r="D1217">
        <v>796</v>
      </c>
      <c r="E1217" t="s">
        <v>34</v>
      </c>
      <c r="F1217">
        <v>4</v>
      </c>
      <c r="G1217">
        <v>1</v>
      </c>
      <c r="H1217" t="s">
        <v>56</v>
      </c>
      <c r="I1217">
        <v>1</v>
      </c>
      <c r="J1217">
        <v>1815</v>
      </c>
      <c r="K1217">
        <v>3</v>
      </c>
      <c r="L1217" s="17" t="s">
        <v>36</v>
      </c>
      <c r="M1217">
        <v>81</v>
      </c>
      <c r="N1217">
        <v>3</v>
      </c>
      <c r="O1217">
        <v>3</v>
      </c>
      <c r="P1217" t="s">
        <v>37</v>
      </c>
      <c r="Q1217">
        <v>3</v>
      </c>
      <c r="R1217" t="s">
        <v>49</v>
      </c>
      <c r="S1217" s="6">
        <v>10447</v>
      </c>
      <c r="T1217">
        <v>26458</v>
      </c>
      <c r="U1217">
        <v>0</v>
      </c>
      <c r="V1217" t="s">
        <v>39</v>
      </c>
      <c r="W1217" t="s">
        <v>32</v>
      </c>
      <c r="X1217">
        <v>13</v>
      </c>
      <c r="Y1217">
        <v>3</v>
      </c>
      <c r="Z1217">
        <v>4</v>
      </c>
      <c r="AA1217">
        <v>80</v>
      </c>
      <c r="AB1217">
        <v>1</v>
      </c>
      <c r="AC1217">
        <v>23</v>
      </c>
      <c r="AD1217">
        <v>3</v>
      </c>
      <c r="AE1217">
        <v>4</v>
      </c>
      <c r="AF1217">
        <v>22</v>
      </c>
      <c r="AG1217">
        <v>14</v>
      </c>
      <c r="AH1217">
        <v>13</v>
      </c>
      <c r="AI1217">
        <v>5</v>
      </c>
    </row>
    <row r="1218" spans="1:35" x14ac:dyDescent="0.3">
      <c r="A1218">
        <v>53</v>
      </c>
      <c r="B1218" t="s">
        <v>32</v>
      </c>
      <c r="C1218" t="s">
        <v>33</v>
      </c>
      <c r="D1218">
        <v>1168</v>
      </c>
      <c r="E1218" t="s">
        <v>34</v>
      </c>
      <c r="F1218">
        <v>24</v>
      </c>
      <c r="G1218">
        <v>4</v>
      </c>
      <c r="H1218" t="s">
        <v>35</v>
      </c>
      <c r="I1218">
        <v>1</v>
      </c>
      <c r="J1218">
        <v>1968</v>
      </c>
      <c r="K1218">
        <v>1</v>
      </c>
      <c r="L1218" s="17" t="s">
        <v>43</v>
      </c>
      <c r="M1218">
        <v>66</v>
      </c>
      <c r="N1218">
        <v>3</v>
      </c>
      <c r="O1218">
        <v>3</v>
      </c>
      <c r="P1218" t="s">
        <v>37</v>
      </c>
      <c r="Q1218">
        <v>1</v>
      </c>
      <c r="R1218" t="s">
        <v>38</v>
      </c>
      <c r="S1218" s="6">
        <v>10448</v>
      </c>
      <c r="T1218">
        <v>5843</v>
      </c>
      <c r="U1218">
        <v>6</v>
      </c>
      <c r="V1218" t="s">
        <v>39</v>
      </c>
      <c r="W1218" t="s">
        <v>32</v>
      </c>
      <c r="X1218">
        <v>13</v>
      </c>
      <c r="Y1218">
        <v>3</v>
      </c>
      <c r="Z1218">
        <v>2</v>
      </c>
      <c r="AA1218">
        <v>80</v>
      </c>
      <c r="AB1218">
        <v>0</v>
      </c>
      <c r="AC1218">
        <v>15</v>
      </c>
      <c r="AD1218">
        <v>2</v>
      </c>
      <c r="AE1218">
        <v>2</v>
      </c>
      <c r="AF1218">
        <v>2</v>
      </c>
      <c r="AG1218">
        <v>2</v>
      </c>
      <c r="AH1218">
        <v>2</v>
      </c>
      <c r="AI1218">
        <v>2</v>
      </c>
    </row>
    <row r="1219" spans="1:35" x14ac:dyDescent="0.3">
      <c r="A1219">
        <v>46</v>
      </c>
      <c r="B1219" t="s">
        <v>40</v>
      </c>
      <c r="C1219" t="s">
        <v>33</v>
      </c>
      <c r="D1219">
        <v>526</v>
      </c>
      <c r="E1219" t="s">
        <v>34</v>
      </c>
      <c r="F1219">
        <v>1</v>
      </c>
      <c r="G1219">
        <v>2</v>
      </c>
      <c r="H1219" t="s">
        <v>56</v>
      </c>
      <c r="I1219">
        <v>1</v>
      </c>
      <c r="J1219">
        <v>244</v>
      </c>
      <c r="K1219">
        <v>2</v>
      </c>
      <c r="L1219" s="17" t="s">
        <v>36</v>
      </c>
      <c r="M1219">
        <v>92</v>
      </c>
      <c r="N1219">
        <v>3</v>
      </c>
      <c r="O1219">
        <v>3</v>
      </c>
      <c r="P1219" t="s">
        <v>37</v>
      </c>
      <c r="Q1219">
        <v>1</v>
      </c>
      <c r="R1219" t="s">
        <v>49</v>
      </c>
      <c r="S1219" s="6">
        <v>10453</v>
      </c>
      <c r="T1219">
        <v>2137</v>
      </c>
      <c r="U1219">
        <v>1</v>
      </c>
      <c r="V1219" t="s">
        <v>39</v>
      </c>
      <c r="W1219" t="s">
        <v>40</v>
      </c>
      <c r="X1219">
        <v>25</v>
      </c>
      <c r="Y1219">
        <v>4</v>
      </c>
      <c r="Z1219">
        <v>3</v>
      </c>
      <c r="AA1219">
        <v>80</v>
      </c>
      <c r="AB1219">
        <v>3</v>
      </c>
      <c r="AC1219">
        <v>24</v>
      </c>
      <c r="AD1219">
        <v>2</v>
      </c>
      <c r="AE1219">
        <v>3</v>
      </c>
      <c r="AF1219">
        <v>24</v>
      </c>
      <c r="AG1219">
        <v>13</v>
      </c>
      <c r="AH1219">
        <v>15</v>
      </c>
      <c r="AI1219">
        <v>7</v>
      </c>
    </row>
    <row r="1220" spans="1:35" x14ac:dyDescent="0.3">
      <c r="A1220">
        <v>49</v>
      </c>
      <c r="B1220" t="s">
        <v>40</v>
      </c>
      <c r="C1220" t="s">
        <v>33</v>
      </c>
      <c r="D1220">
        <v>1490</v>
      </c>
      <c r="E1220" t="s">
        <v>42</v>
      </c>
      <c r="F1220">
        <v>7</v>
      </c>
      <c r="G1220">
        <v>4</v>
      </c>
      <c r="H1220" t="s">
        <v>35</v>
      </c>
      <c r="I1220">
        <v>1</v>
      </c>
      <c r="J1220">
        <v>1484</v>
      </c>
      <c r="K1220">
        <v>3</v>
      </c>
      <c r="L1220" s="17" t="s">
        <v>43</v>
      </c>
      <c r="M1220">
        <v>35</v>
      </c>
      <c r="N1220">
        <v>3</v>
      </c>
      <c r="O1220">
        <v>3</v>
      </c>
      <c r="P1220" t="s">
        <v>51</v>
      </c>
      <c r="Q1220">
        <v>2</v>
      </c>
      <c r="R1220" t="s">
        <v>49</v>
      </c>
      <c r="S1220" s="6">
        <v>10466</v>
      </c>
      <c r="T1220">
        <v>20948</v>
      </c>
      <c r="U1220">
        <v>3</v>
      </c>
      <c r="V1220" t="s">
        <v>39</v>
      </c>
      <c r="W1220" t="s">
        <v>40</v>
      </c>
      <c r="X1220">
        <v>14</v>
      </c>
      <c r="Y1220">
        <v>3</v>
      </c>
      <c r="Z1220">
        <v>2</v>
      </c>
      <c r="AA1220">
        <v>80</v>
      </c>
      <c r="AB1220">
        <v>2</v>
      </c>
      <c r="AC1220">
        <v>29</v>
      </c>
      <c r="AD1220">
        <v>3</v>
      </c>
      <c r="AE1220">
        <v>3</v>
      </c>
      <c r="AF1220">
        <v>8</v>
      </c>
      <c r="AG1220">
        <v>7</v>
      </c>
      <c r="AH1220">
        <v>0</v>
      </c>
      <c r="AI1220">
        <v>7</v>
      </c>
    </row>
    <row r="1221" spans="1:35" x14ac:dyDescent="0.3">
      <c r="A1221">
        <v>40</v>
      </c>
      <c r="B1221" t="s">
        <v>40</v>
      </c>
      <c r="C1221" t="s">
        <v>41</v>
      </c>
      <c r="D1221">
        <v>580</v>
      </c>
      <c r="E1221" t="s">
        <v>34</v>
      </c>
      <c r="F1221">
        <v>5</v>
      </c>
      <c r="G1221">
        <v>4</v>
      </c>
      <c r="H1221" t="s">
        <v>35</v>
      </c>
      <c r="I1221">
        <v>1</v>
      </c>
      <c r="J1221">
        <v>729</v>
      </c>
      <c r="K1221">
        <v>4</v>
      </c>
      <c r="L1221" s="17" t="s">
        <v>43</v>
      </c>
      <c r="M1221">
        <v>48</v>
      </c>
      <c r="N1221">
        <v>2</v>
      </c>
      <c r="O1221">
        <v>3</v>
      </c>
      <c r="P1221" t="s">
        <v>37</v>
      </c>
      <c r="Q1221">
        <v>1</v>
      </c>
      <c r="R1221" t="s">
        <v>45</v>
      </c>
      <c r="S1221" s="6">
        <v>10475</v>
      </c>
      <c r="T1221">
        <v>23772</v>
      </c>
      <c r="U1221">
        <v>5</v>
      </c>
      <c r="V1221" t="s">
        <v>39</v>
      </c>
      <c r="W1221" t="s">
        <v>32</v>
      </c>
      <c r="X1221">
        <v>21</v>
      </c>
      <c r="Y1221">
        <v>4</v>
      </c>
      <c r="Z1221">
        <v>3</v>
      </c>
      <c r="AA1221">
        <v>80</v>
      </c>
      <c r="AB1221">
        <v>1</v>
      </c>
      <c r="AC1221">
        <v>20</v>
      </c>
      <c r="AD1221">
        <v>2</v>
      </c>
      <c r="AE1221">
        <v>3</v>
      </c>
      <c r="AF1221">
        <v>18</v>
      </c>
      <c r="AG1221">
        <v>13</v>
      </c>
      <c r="AH1221">
        <v>1</v>
      </c>
      <c r="AI1221">
        <v>12</v>
      </c>
    </row>
    <row r="1222" spans="1:35" x14ac:dyDescent="0.3">
      <c r="A1222">
        <v>44</v>
      </c>
      <c r="B1222" t="s">
        <v>32</v>
      </c>
      <c r="C1222" t="s">
        <v>33</v>
      </c>
      <c r="D1222">
        <v>1376</v>
      </c>
      <c r="E1222" t="s">
        <v>58</v>
      </c>
      <c r="F1222">
        <v>1</v>
      </c>
      <c r="G1222">
        <v>2</v>
      </c>
      <c r="H1222" t="s">
        <v>48</v>
      </c>
      <c r="I1222">
        <v>1</v>
      </c>
      <c r="J1222">
        <v>1098</v>
      </c>
      <c r="K1222">
        <v>2</v>
      </c>
      <c r="L1222" s="17" t="s">
        <v>43</v>
      </c>
      <c r="M1222">
        <v>91</v>
      </c>
      <c r="N1222">
        <v>2</v>
      </c>
      <c r="O1222">
        <v>3</v>
      </c>
      <c r="P1222" t="s">
        <v>58</v>
      </c>
      <c r="Q1222">
        <v>1</v>
      </c>
      <c r="R1222" t="s">
        <v>45</v>
      </c>
      <c r="S1222" s="6">
        <v>10482</v>
      </c>
      <c r="T1222">
        <v>2326</v>
      </c>
      <c r="U1222">
        <v>9</v>
      </c>
      <c r="V1222" t="s">
        <v>39</v>
      </c>
      <c r="W1222" t="s">
        <v>40</v>
      </c>
      <c r="X1222">
        <v>14</v>
      </c>
      <c r="Y1222">
        <v>3</v>
      </c>
      <c r="Z1222">
        <v>4</v>
      </c>
      <c r="AA1222">
        <v>80</v>
      </c>
      <c r="AB1222">
        <v>1</v>
      </c>
      <c r="AC1222">
        <v>24</v>
      </c>
      <c r="AD1222">
        <v>1</v>
      </c>
      <c r="AE1222">
        <v>3</v>
      </c>
      <c r="AF1222">
        <v>20</v>
      </c>
      <c r="AG1222">
        <v>6</v>
      </c>
      <c r="AH1222">
        <v>3</v>
      </c>
      <c r="AI1222">
        <v>6</v>
      </c>
    </row>
    <row r="1223" spans="1:35" x14ac:dyDescent="0.3">
      <c r="A1223">
        <v>50</v>
      </c>
      <c r="B1223" t="s">
        <v>40</v>
      </c>
      <c r="C1223" t="s">
        <v>33</v>
      </c>
      <c r="D1223">
        <v>1046</v>
      </c>
      <c r="E1223" t="s">
        <v>42</v>
      </c>
      <c r="F1223">
        <v>10</v>
      </c>
      <c r="G1223">
        <v>3</v>
      </c>
      <c r="H1223" t="s">
        <v>57</v>
      </c>
      <c r="I1223">
        <v>1</v>
      </c>
      <c r="J1223">
        <v>491</v>
      </c>
      <c r="K1223">
        <v>4</v>
      </c>
      <c r="L1223" s="17" t="s">
        <v>43</v>
      </c>
      <c r="M1223">
        <v>100</v>
      </c>
      <c r="N1223">
        <v>2</v>
      </c>
      <c r="O1223">
        <v>3</v>
      </c>
      <c r="P1223" t="s">
        <v>51</v>
      </c>
      <c r="Q1223">
        <v>4</v>
      </c>
      <c r="R1223" t="s">
        <v>38</v>
      </c>
      <c r="S1223" s="6">
        <v>10496</v>
      </c>
      <c r="T1223">
        <v>2755</v>
      </c>
      <c r="U1223">
        <v>6</v>
      </c>
      <c r="V1223" t="s">
        <v>39</v>
      </c>
      <c r="W1223" t="s">
        <v>40</v>
      </c>
      <c r="X1223">
        <v>15</v>
      </c>
      <c r="Y1223">
        <v>3</v>
      </c>
      <c r="Z1223">
        <v>4</v>
      </c>
      <c r="AA1223">
        <v>80</v>
      </c>
      <c r="AB1223">
        <v>0</v>
      </c>
      <c r="AC1223">
        <v>20</v>
      </c>
      <c r="AD1223">
        <v>2</v>
      </c>
      <c r="AE1223">
        <v>3</v>
      </c>
      <c r="AF1223">
        <v>4</v>
      </c>
      <c r="AG1223">
        <v>3</v>
      </c>
      <c r="AH1223">
        <v>1</v>
      </c>
      <c r="AI1223">
        <v>3</v>
      </c>
    </row>
    <row r="1224" spans="1:35" x14ac:dyDescent="0.3">
      <c r="A1224">
        <v>54</v>
      </c>
      <c r="B1224" t="s">
        <v>40</v>
      </c>
      <c r="C1224" t="s">
        <v>41</v>
      </c>
      <c r="D1224">
        <v>966</v>
      </c>
      <c r="E1224" t="s">
        <v>42</v>
      </c>
      <c r="F1224">
        <v>1</v>
      </c>
      <c r="G1224">
        <v>4</v>
      </c>
      <c r="H1224" t="s">
        <v>35</v>
      </c>
      <c r="I1224">
        <v>1</v>
      </c>
      <c r="J1224">
        <v>1245</v>
      </c>
      <c r="K1224">
        <v>4</v>
      </c>
      <c r="L1224" s="17" t="s">
        <v>36</v>
      </c>
      <c r="M1224">
        <v>53</v>
      </c>
      <c r="N1224">
        <v>3</v>
      </c>
      <c r="O1224">
        <v>3</v>
      </c>
      <c r="P1224" t="s">
        <v>50</v>
      </c>
      <c r="Q1224">
        <v>3</v>
      </c>
      <c r="R1224" t="s">
        <v>49</v>
      </c>
      <c r="S1224" s="6">
        <v>10502</v>
      </c>
      <c r="T1224">
        <v>9659</v>
      </c>
      <c r="U1224">
        <v>7</v>
      </c>
      <c r="V1224" t="s">
        <v>39</v>
      </c>
      <c r="W1224" t="s">
        <v>40</v>
      </c>
      <c r="X1224">
        <v>17</v>
      </c>
      <c r="Y1224">
        <v>3</v>
      </c>
      <c r="Z1224">
        <v>1</v>
      </c>
      <c r="AA1224">
        <v>80</v>
      </c>
      <c r="AB1224">
        <v>1</v>
      </c>
      <c r="AC1224">
        <v>33</v>
      </c>
      <c r="AD1224">
        <v>2</v>
      </c>
      <c r="AE1224">
        <v>1</v>
      </c>
      <c r="AF1224">
        <v>5</v>
      </c>
      <c r="AG1224">
        <v>4</v>
      </c>
      <c r="AH1224">
        <v>1</v>
      </c>
      <c r="AI1224">
        <v>4</v>
      </c>
    </row>
    <row r="1225" spans="1:35" x14ac:dyDescent="0.3">
      <c r="A1225">
        <v>59</v>
      </c>
      <c r="B1225" t="s">
        <v>40</v>
      </c>
      <c r="C1225" t="s">
        <v>33</v>
      </c>
      <c r="D1225">
        <v>1429</v>
      </c>
      <c r="E1225" t="s">
        <v>42</v>
      </c>
      <c r="F1225">
        <v>18</v>
      </c>
      <c r="G1225">
        <v>4</v>
      </c>
      <c r="H1225" t="s">
        <v>48</v>
      </c>
      <c r="I1225">
        <v>1</v>
      </c>
      <c r="J1225">
        <v>1283</v>
      </c>
      <c r="K1225">
        <v>4</v>
      </c>
      <c r="L1225" s="17" t="s">
        <v>43</v>
      </c>
      <c r="M1225">
        <v>67</v>
      </c>
      <c r="N1225">
        <v>3</v>
      </c>
      <c r="O1225">
        <v>3</v>
      </c>
      <c r="P1225" t="s">
        <v>50</v>
      </c>
      <c r="Q1225">
        <v>4</v>
      </c>
      <c r="R1225" t="s">
        <v>38</v>
      </c>
      <c r="S1225" s="6">
        <v>10512</v>
      </c>
      <c r="T1225">
        <v>20002</v>
      </c>
      <c r="U1225">
        <v>6</v>
      </c>
      <c r="V1225" t="s">
        <v>39</v>
      </c>
      <c r="W1225" t="s">
        <v>40</v>
      </c>
      <c r="X1225">
        <v>12</v>
      </c>
      <c r="Y1225">
        <v>3</v>
      </c>
      <c r="Z1225">
        <v>4</v>
      </c>
      <c r="AA1225">
        <v>80</v>
      </c>
      <c r="AB1225">
        <v>0</v>
      </c>
      <c r="AC1225">
        <v>25</v>
      </c>
      <c r="AD1225">
        <v>6</v>
      </c>
      <c r="AE1225">
        <v>2</v>
      </c>
      <c r="AF1225">
        <v>9</v>
      </c>
      <c r="AG1225">
        <v>7</v>
      </c>
      <c r="AH1225">
        <v>5</v>
      </c>
      <c r="AI1225">
        <v>4</v>
      </c>
    </row>
    <row r="1226" spans="1:35" x14ac:dyDescent="0.3">
      <c r="A1226">
        <v>46</v>
      </c>
      <c r="B1226" t="s">
        <v>40</v>
      </c>
      <c r="C1226" t="s">
        <v>41</v>
      </c>
      <c r="D1226">
        <v>1034</v>
      </c>
      <c r="E1226" t="s">
        <v>42</v>
      </c>
      <c r="F1226">
        <v>18</v>
      </c>
      <c r="G1226">
        <v>1</v>
      </c>
      <c r="H1226" t="s">
        <v>48</v>
      </c>
      <c r="I1226">
        <v>1</v>
      </c>
      <c r="J1226">
        <v>624</v>
      </c>
      <c r="K1226">
        <v>1</v>
      </c>
      <c r="L1226" s="17" t="s">
        <v>36</v>
      </c>
      <c r="M1226">
        <v>86</v>
      </c>
      <c r="N1226">
        <v>3</v>
      </c>
      <c r="O1226">
        <v>3</v>
      </c>
      <c r="P1226" t="s">
        <v>51</v>
      </c>
      <c r="Q1226">
        <v>3</v>
      </c>
      <c r="R1226" t="s">
        <v>45</v>
      </c>
      <c r="S1226" s="6">
        <v>10527</v>
      </c>
      <c r="T1226">
        <v>8984</v>
      </c>
      <c r="U1226">
        <v>5</v>
      </c>
      <c r="V1226" t="s">
        <v>39</v>
      </c>
      <c r="W1226" t="s">
        <v>40</v>
      </c>
      <c r="X1226">
        <v>11</v>
      </c>
      <c r="Y1226">
        <v>3</v>
      </c>
      <c r="Z1226">
        <v>4</v>
      </c>
      <c r="AA1226">
        <v>80</v>
      </c>
      <c r="AB1226">
        <v>0</v>
      </c>
      <c r="AC1226">
        <v>28</v>
      </c>
      <c r="AD1226">
        <v>3</v>
      </c>
      <c r="AE1226">
        <v>2</v>
      </c>
      <c r="AF1226">
        <v>2</v>
      </c>
      <c r="AG1226">
        <v>2</v>
      </c>
      <c r="AH1226">
        <v>1</v>
      </c>
      <c r="AI1226">
        <v>2</v>
      </c>
    </row>
    <row r="1227" spans="1:35" x14ac:dyDescent="0.3">
      <c r="A1227">
        <v>58</v>
      </c>
      <c r="B1227" t="s">
        <v>40</v>
      </c>
      <c r="C1227" t="s">
        <v>33</v>
      </c>
      <c r="D1227">
        <v>1272</v>
      </c>
      <c r="E1227" t="s">
        <v>42</v>
      </c>
      <c r="F1227">
        <v>5</v>
      </c>
      <c r="G1227">
        <v>3</v>
      </c>
      <c r="H1227" t="s">
        <v>57</v>
      </c>
      <c r="I1227">
        <v>1</v>
      </c>
      <c r="J1227">
        <v>940</v>
      </c>
      <c r="K1227">
        <v>3</v>
      </c>
      <c r="L1227" s="17" t="s">
        <v>36</v>
      </c>
      <c r="M1227">
        <v>37</v>
      </c>
      <c r="N1227">
        <v>2</v>
      </c>
      <c r="O1227">
        <v>3</v>
      </c>
      <c r="P1227" t="s">
        <v>51</v>
      </c>
      <c r="Q1227">
        <v>2</v>
      </c>
      <c r="R1227" t="s">
        <v>49</v>
      </c>
      <c r="S1227" s="6">
        <v>10552</v>
      </c>
      <c r="T1227">
        <v>9255</v>
      </c>
      <c r="U1227">
        <v>2</v>
      </c>
      <c r="V1227" t="s">
        <v>39</v>
      </c>
      <c r="W1227" t="s">
        <v>32</v>
      </c>
      <c r="X1227">
        <v>13</v>
      </c>
      <c r="Y1227">
        <v>3</v>
      </c>
      <c r="Z1227">
        <v>4</v>
      </c>
      <c r="AA1227">
        <v>80</v>
      </c>
      <c r="AB1227">
        <v>1</v>
      </c>
      <c r="AC1227">
        <v>24</v>
      </c>
      <c r="AD1227">
        <v>3</v>
      </c>
      <c r="AE1227">
        <v>3</v>
      </c>
      <c r="AF1227">
        <v>6</v>
      </c>
      <c r="AG1227">
        <v>0</v>
      </c>
      <c r="AH1227">
        <v>0</v>
      </c>
      <c r="AI1227">
        <v>4</v>
      </c>
    </row>
    <row r="1228" spans="1:35" x14ac:dyDescent="0.3">
      <c r="A1228">
        <v>51</v>
      </c>
      <c r="B1228" t="s">
        <v>40</v>
      </c>
      <c r="C1228" t="s">
        <v>41</v>
      </c>
      <c r="D1228">
        <v>541</v>
      </c>
      <c r="E1228" t="s">
        <v>34</v>
      </c>
      <c r="F1228">
        <v>2</v>
      </c>
      <c r="G1228">
        <v>3</v>
      </c>
      <c r="H1228" t="s">
        <v>56</v>
      </c>
      <c r="I1228">
        <v>1</v>
      </c>
      <c r="J1228">
        <v>1391</v>
      </c>
      <c r="K1228">
        <v>2</v>
      </c>
      <c r="L1228" s="17" t="s">
        <v>43</v>
      </c>
      <c r="M1228">
        <v>52</v>
      </c>
      <c r="N1228">
        <v>3</v>
      </c>
      <c r="O1228">
        <v>3</v>
      </c>
      <c r="P1228" t="s">
        <v>37</v>
      </c>
      <c r="Q1228">
        <v>2</v>
      </c>
      <c r="R1228" t="s">
        <v>45</v>
      </c>
      <c r="S1228" s="6">
        <v>10596</v>
      </c>
      <c r="T1228">
        <v>15395</v>
      </c>
      <c r="U1228">
        <v>2</v>
      </c>
      <c r="V1228" t="s">
        <v>39</v>
      </c>
      <c r="W1228" t="s">
        <v>40</v>
      </c>
      <c r="X1228">
        <v>11</v>
      </c>
      <c r="Y1228">
        <v>3</v>
      </c>
      <c r="Z1228">
        <v>2</v>
      </c>
      <c r="AA1228">
        <v>80</v>
      </c>
      <c r="AB1228">
        <v>0</v>
      </c>
      <c r="AC1228">
        <v>14</v>
      </c>
      <c r="AD1228">
        <v>5</v>
      </c>
      <c r="AE1228">
        <v>3</v>
      </c>
      <c r="AF1228">
        <v>4</v>
      </c>
      <c r="AG1228">
        <v>2</v>
      </c>
      <c r="AH1228">
        <v>3</v>
      </c>
      <c r="AI1228">
        <v>2</v>
      </c>
    </row>
    <row r="1229" spans="1:35" x14ac:dyDescent="0.3">
      <c r="A1229">
        <v>38</v>
      </c>
      <c r="B1229" t="s">
        <v>40</v>
      </c>
      <c r="C1229" t="s">
        <v>33</v>
      </c>
      <c r="D1229">
        <v>119</v>
      </c>
      <c r="E1229" t="s">
        <v>34</v>
      </c>
      <c r="F1229">
        <v>3</v>
      </c>
      <c r="G1229">
        <v>3</v>
      </c>
      <c r="H1229" t="s">
        <v>35</v>
      </c>
      <c r="I1229">
        <v>1</v>
      </c>
      <c r="J1229">
        <v>307</v>
      </c>
      <c r="K1229">
        <v>1</v>
      </c>
      <c r="L1229" s="17" t="s">
        <v>43</v>
      </c>
      <c r="M1229">
        <v>76</v>
      </c>
      <c r="N1229">
        <v>3</v>
      </c>
      <c r="O1229">
        <v>3</v>
      </c>
      <c r="P1229" t="s">
        <v>37</v>
      </c>
      <c r="Q1229">
        <v>3</v>
      </c>
      <c r="R1229" t="s">
        <v>49</v>
      </c>
      <c r="S1229" s="6">
        <v>10609</v>
      </c>
      <c r="T1229">
        <v>9647</v>
      </c>
      <c r="U1229">
        <v>0</v>
      </c>
      <c r="V1229" t="s">
        <v>39</v>
      </c>
      <c r="W1229" t="s">
        <v>40</v>
      </c>
      <c r="X1229">
        <v>12</v>
      </c>
      <c r="Y1229">
        <v>3</v>
      </c>
      <c r="Z1229">
        <v>3</v>
      </c>
      <c r="AA1229">
        <v>80</v>
      </c>
      <c r="AB1229">
        <v>2</v>
      </c>
      <c r="AC1229">
        <v>17</v>
      </c>
      <c r="AD1229">
        <v>6</v>
      </c>
      <c r="AE1229">
        <v>2</v>
      </c>
      <c r="AF1229">
        <v>16</v>
      </c>
      <c r="AG1229">
        <v>10</v>
      </c>
      <c r="AH1229">
        <v>5</v>
      </c>
      <c r="AI1229">
        <v>13</v>
      </c>
    </row>
    <row r="1230" spans="1:35" x14ac:dyDescent="0.3">
      <c r="A1230">
        <v>37</v>
      </c>
      <c r="B1230" t="s">
        <v>32</v>
      </c>
      <c r="C1230" t="s">
        <v>33</v>
      </c>
      <c r="D1230">
        <v>625</v>
      </c>
      <c r="E1230" t="s">
        <v>34</v>
      </c>
      <c r="F1230">
        <v>1</v>
      </c>
      <c r="G1230">
        <v>4</v>
      </c>
      <c r="H1230" t="s">
        <v>35</v>
      </c>
      <c r="I1230">
        <v>1</v>
      </c>
      <c r="J1230">
        <v>970</v>
      </c>
      <c r="K1230">
        <v>1</v>
      </c>
      <c r="L1230" s="17" t="s">
        <v>43</v>
      </c>
      <c r="M1230">
        <v>46</v>
      </c>
      <c r="N1230">
        <v>2</v>
      </c>
      <c r="O1230">
        <v>3</v>
      </c>
      <c r="P1230" t="s">
        <v>37</v>
      </c>
      <c r="Q1230">
        <v>3</v>
      </c>
      <c r="R1230" t="s">
        <v>45</v>
      </c>
      <c r="S1230" s="6">
        <v>10609</v>
      </c>
      <c r="T1230">
        <v>14922</v>
      </c>
      <c r="U1230">
        <v>5</v>
      </c>
      <c r="V1230" t="s">
        <v>39</v>
      </c>
      <c r="W1230" t="s">
        <v>40</v>
      </c>
      <c r="X1230">
        <v>11</v>
      </c>
      <c r="Y1230">
        <v>3</v>
      </c>
      <c r="Z1230">
        <v>3</v>
      </c>
      <c r="AA1230">
        <v>80</v>
      </c>
      <c r="AB1230">
        <v>0</v>
      </c>
      <c r="AC1230">
        <v>17</v>
      </c>
      <c r="AD1230">
        <v>2</v>
      </c>
      <c r="AE1230">
        <v>1</v>
      </c>
      <c r="AF1230">
        <v>14</v>
      </c>
      <c r="AG1230">
        <v>1</v>
      </c>
      <c r="AH1230">
        <v>11</v>
      </c>
      <c r="AI1230">
        <v>7</v>
      </c>
    </row>
    <row r="1231" spans="1:35" x14ac:dyDescent="0.3">
      <c r="A1231">
        <v>31</v>
      </c>
      <c r="B1231" t="s">
        <v>40</v>
      </c>
      <c r="C1231" t="s">
        <v>33</v>
      </c>
      <c r="D1231">
        <v>1274</v>
      </c>
      <c r="E1231" t="s">
        <v>42</v>
      </c>
      <c r="F1231">
        <v>9</v>
      </c>
      <c r="G1231">
        <v>1</v>
      </c>
      <c r="H1231" t="s">
        <v>35</v>
      </c>
      <c r="I1231">
        <v>1</v>
      </c>
      <c r="J1231">
        <v>581</v>
      </c>
      <c r="K1231">
        <v>3</v>
      </c>
      <c r="L1231" s="17" t="s">
        <v>43</v>
      </c>
      <c r="M1231">
        <v>33</v>
      </c>
      <c r="N1231">
        <v>3</v>
      </c>
      <c r="O1231">
        <v>3</v>
      </c>
      <c r="P1231" t="s">
        <v>50</v>
      </c>
      <c r="Q1231">
        <v>2</v>
      </c>
      <c r="R1231" t="s">
        <v>49</v>
      </c>
      <c r="S1231" s="6">
        <v>10648</v>
      </c>
      <c r="T1231">
        <v>14394</v>
      </c>
      <c r="U1231">
        <v>1</v>
      </c>
      <c r="V1231" t="s">
        <v>39</v>
      </c>
      <c r="W1231" t="s">
        <v>40</v>
      </c>
      <c r="X1231">
        <v>25</v>
      </c>
      <c r="Y1231">
        <v>4</v>
      </c>
      <c r="Z1231">
        <v>4</v>
      </c>
      <c r="AA1231">
        <v>80</v>
      </c>
      <c r="AB1231">
        <v>1</v>
      </c>
      <c r="AC1231">
        <v>13</v>
      </c>
      <c r="AD1231">
        <v>6</v>
      </c>
      <c r="AE1231">
        <v>4</v>
      </c>
      <c r="AF1231">
        <v>13</v>
      </c>
      <c r="AG1231">
        <v>8</v>
      </c>
      <c r="AH1231">
        <v>0</v>
      </c>
      <c r="AI1231">
        <v>8</v>
      </c>
    </row>
    <row r="1232" spans="1:35" x14ac:dyDescent="0.3">
      <c r="A1232">
        <v>51</v>
      </c>
      <c r="B1232" t="s">
        <v>32</v>
      </c>
      <c r="C1232" t="s">
        <v>41</v>
      </c>
      <c r="D1232">
        <v>1150</v>
      </c>
      <c r="E1232" t="s">
        <v>42</v>
      </c>
      <c r="F1232">
        <v>8</v>
      </c>
      <c r="G1232">
        <v>4</v>
      </c>
      <c r="H1232" t="s">
        <v>35</v>
      </c>
      <c r="I1232">
        <v>1</v>
      </c>
      <c r="J1232">
        <v>179</v>
      </c>
      <c r="K1232">
        <v>1</v>
      </c>
      <c r="L1232" s="17" t="s">
        <v>43</v>
      </c>
      <c r="M1232">
        <v>53</v>
      </c>
      <c r="N1232">
        <v>1</v>
      </c>
      <c r="O1232">
        <v>3</v>
      </c>
      <c r="P1232" t="s">
        <v>50</v>
      </c>
      <c r="Q1232">
        <v>4</v>
      </c>
      <c r="R1232" t="s">
        <v>38</v>
      </c>
      <c r="S1232" s="6">
        <v>10650</v>
      </c>
      <c r="T1232">
        <v>25150</v>
      </c>
      <c r="U1232">
        <v>2</v>
      </c>
      <c r="V1232" t="s">
        <v>39</v>
      </c>
      <c r="W1232" t="s">
        <v>40</v>
      </c>
      <c r="X1232">
        <v>15</v>
      </c>
      <c r="Y1232">
        <v>3</v>
      </c>
      <c r="Z1232">
        <v>4</v>
      </c>
      <c r="AA1232">
        <v>80</v>
      </c>
      <c r="AB1232">
        <v>0</v>
      </c>
      <c r="AC1232">
        <v>18</v>
      </c>
      <c r="AD1232">
        <v>2</v>
      </c>
      <c r="AE1232">
        <v>3</v>
      </c>
      <c r="AF1232">
        <v>4</v>
      </c>
      <c r="AG1232">
        <v>2</v>
      </c>
      <c r="AH1232">
        <v>0</v>
      </c>
      <c r="AI1232">
        <v>3</v>
      </c>
    </row>
    <row r="1233" spans="1:35" x14ac:dyDescent="0.3">
      <c r="A1233">
        <v>46</v>
      </c>
      <c r="B1233" t="s">
        <v>40</v>
      </c>
      <c r="C1233" t="s">
        <v>41</v>
      </c>
      <c r="D1233">
        <v>638</v>
      </c>
      <c r="E1233" t="s">
        <v>42</v>
      </c>
      <c r="F1233">
        <v>1</v>
      </c>
      <c r="G1233">
        <v>3</v>
      </c>
      <c r="H1233" t="s">
        <v>48</v>
      </c>
      <c r="I1233">
        <v>1</v>
      </c>
      <c r="J1233">
        <v>124</v>
      </c>
      <c r="K1233">
        <v>3</v>
      </c>
      <c r="L1233" s="17" t="s">
        <v>43</v>
      </c>
      <c r="M1233">
        <v>40</v>
      </c>
      <c r="N1233">
        <v>2</v>
      </c>
      <c r="O1233">
        <v>3</v>
      </c>
      <c r="P1233" t="s">
        <v>51</v>
      </c>
      <c r="Q1233">
        <v>1</v>
      </c>
      <c r="R1233" t="s">
        <v>45</v>
      </c>
      <c r="S1233" s="6">
        <v>10673</v>
      </c>
      <c r="T1233">
        <v>3142</v>
      </c>
      <c r="U1233">
        <v>2</v>
      </c>
      <c r="V1233" t="s">
        <v>39</v>
      </c>
      <c r="W1233" t="s">
        <v>32</v>
      </c>
      <c r="X1233">
        <v>13</v>
      </c>
      <c r="Y1233">
        <v>3</v>
      </c>
      <c r="Z1233">
        <v>3</v>
      </c>
      <c r="AA1233">
        <v>80</v>
      </c>
      <c r="AB1233">
        <v>1</v>
      </c>
      <c r="AC1233">
        <v>21</v>
      </c>
      <c r="AD1233">
        <v>5</v>
      </c>
      <c r="AE1233">
        <v>2</v>
      </c>
      <c r="AF1233">
        <v>10</v>
      </c>
      <c r="AG1233">
        <v>9</v>
      </c>
      <c r="AH1233">
        <v>9</v>
      </c>
      <c r="AI1233">
        <v>5</v>
      </c>
    </row>
    <row r="1234" spans="1:35" x14ac:dyDescent="0.3">
      <c r="A1234">
        <v>35</v>
      </c>
      <c r="B1234" t="s">
        <v>40</v>
      </c>
      <c r="C1234" t="s">
        <v>33</v>
      </c>
      <c r="D1234">
        <v>607</v>
      </c>
      <c r="E1234" t="s">
        <v>42</v>
      </c>
      <c r="F1234">
        <v>9</v>
      </c>
      <c r="G1234">
        <v>3</v>
      </c>
      <c r="H1234" t="s">
        <v>35</v>
      </c>
      <c r="I1234">
        <v>1</v>
      </c>
      <c r="J1234">
        <v>880</v>
      </c>
      <c r="K1234">
        <v>4</v>
      </c>
      <c r="L1234" s="17" t="s">
        <v>36</v>
      </c>
      <c r="M1234">
        <v>66</v>
      </c>
      <c r="N1234">
        <v>2</v>
      </c>
      <c r="O1234">
        <v>3</v>
      </c>
      <c r="P1234" t="s">
        <v>50</v>
      </c>
      <c r="Q1234">
        <v>3</v>
      </c>
      <c r="R1234" t="s">
        <v>45</v>
      </c>
      <c r="S1234" s="6">
        <v>10685</v>
      </c>
      <c r="T1234">
        <v>23457</v>
      </c>
      <c r="U1234">
        <v>1</v>
      </c>
      <c r="V1234" t="s">
        <v>39</v>
      </c>
      <c r="W1234" t="s">
        <v>32</v>
      </c>
      <c r="X1234">
        <v>20</v>
      </c>
      <c r="Y1234">
        <v>4</v>
      </c>
      <c r="Z1234">
        <v>2</v>
      </c>
      <c r="AA1234">
        <v>80</v>
      </c>
      <c r="AB1234">
        <v>1</v>
      </c>
      <c r="AC1234">
        <v>17</v>
      </c>
      <c r="AD1234">
        <v>2</v>
      </c>
      <c r="AE1234">
        <v>3</v>
      </c>
      <c r="AF1234">
        <v>17</v>
      </c>
      <c r="AG1234">
        <v>14</v>
      </c>
      <c r="AH1234">
        <v>5</v>
      </c>
      <c r="AI1234">
        <v>15</v>
      </c>
    </row>
    <row r="1235" spans="1:35" x14ac:dyDescent="0.3">
      <c r="A1235">
        <v>54</v>
      </c>
      <c r="B1235" t="s">
        <v>40</v>
      </c>
      <c r="C1235" t="s">
        <v>33</v>
      </c>
      <c r="D1235">
        <v>1082</v>
      </c>
      <c r="E1235" t="s">
        <v>34</v>
      </c>
      <c r="F1235">
        <v>2</v>
      </c>
      <c r="G1235">
        <v>4</v>
      </c>
      <c r="H1235" t="s">
        <v>35</v>
      </c>
      <c r="I1235">
        <v>1</v>
      </c>
      <c r="J1235">
        <v>1070</v>
      </c>
      <c r="K1235">
        <v>3</v>
      </c>
      <c r="L1235" s="17" t="s">
        <v>36</v>
      </c>
      <c r="M1235">
        <v>41</v>
      </c>
      <c r="N1235">
        <v>2</v>
      </c>
      <c r="O1235">
        <v>3</v>
      </c>
      <c r="P1235" t="s">
        <v>37</v>
      </c>
      <c r="Q1235">
        <v>3</v>
      </c>
      <c r="R1235" t="s">
        <v>45</v>
      </c>
      <c r="S1235" s="6">
        <v>10686</v>
      </c>
      <c r="T1235">
        <v>8392</v>
      </c>
      <c r="U1235">
        <v>6</v>
      </c>
      <c r="V1235" t="s">
        <v>39</v>
      </c>
      <c r="W1235" t="s">
        <v>40</v>
      </c>
      <c r="X1235">
        <v>11</v>
      </c>
      <c r="Y1235">
        <v>3</v>
      </c>
      <c r="Z1235">
        <v>2</v>
      </c>
      <c r="AA1235">
        <v>80</v>
      </c>
      <c r="AB1235">
        <v>1</v>
      </c>
      <c r="AC1235">
        <v>13</v>
      </c>
      <c r="AD1235">
        <v>4</v>
      </c>
      <c r="AE1235">
        <v>3</v>
      </c>
      <c r="AF1235">
        <v>9</v>
      </c>
      <c r="AG1235">
        <v>4</v>
      </c>
      <c r="AH1235">
        <v>7</v>
      </c>
      <c r="AI1235">
        <v>0</v>
      </c>
    </row>
    <row r="1236" spans="1:35" x14ac:dyDescent="0.3">
      <c r="A1236">
        <v>54</v>
      </c>
      <c r="B1236" t="s">
        <v>40</v>
      </c>
      <c r="C1236" t="s">
        <v>33</v>
      </c>
      <c r="D1236">
        <v>397</v>
      </c>
      <c r="E1236" t="s">
        <v>58</v>
      </c>
      <c r="F1236">
        <v>19</v>
      </c>
      <c r="G1236">
        <v>4</v>
      </c>
      <c r="H1236" t="s">
        <v>48</v>
      </c>
      <c r="I1236">
        <v>1</v>
      </c>
      <c r="J1236">
        <v>698</v>
      </c>
      <c r="K1236">
        <v>3</v>
      </c>
      <c r="L1236" s="17" t="s">
        <v>43</v>
      </c>
      <c r="M1236">
        <v>88</v>
      </c>
      <c r="N1236">
        <v>3</v>
      </c>
      <c r="O1236">
        <v>3</v>
      </c>
      <c r="P1236" t="s">
        <v>58</v>
      </c>
      <c r="Q1236">
        <v>2</v>
      </c>
      <c r="R1236" t="s">
        <v>45</v>
      </c>
      <c r="S1236" s="6">
        <v>10725</v>
      </c>
      <c r="T1236">
        <v>6729</v>
      </c>
      <c r="U1236">
        <v>2</v>
      </c>
      <c r="V1236" t="s">
        <v>39</v>
      </c>
      <c r="W1236" t="s">
        <v>40</v>
      </c>
      <c r="X1236">
        <v>15</v>
      </c>
      <c r="Y1236">
        <v>3</v>
      </c>
      <c r="Z1236">
        <v>3</v>
      </c>
      <c r="AA1236">
        <v>80</v>
      </c>
      <c r="AB1236">
        <v>1</v>
      </c>
      <c r="AC1236">
        <v>16</v>
      </c>
      <c r="AD1236">
        <v>1</v>
      </c>
      <c r="AE1236">
        <v>4</v>
      </c>
      <c r="AF1236">
        <v>9</v>
      </c>
      <c r="AG1236">
        <v>7</v>
      </c>
      <c r="AH1236">
        <v>7</v>
      </c>
      <c r="AI1236">
        <v>1</v>
      </c>
    </row>
    <row r="1237" spans="1:35" x14ac:dyDescent="0.3">
      <c r="A1237">
        <v>54</v>
      </c>
      <c r="B1237" t="s">
        <v>40</v>
      </c>
      <c r="C1237" t="s">
        <v>33</v>
      </c>
      <c r="D1237">
        <v>1441</v>
      </c>
      <c r="E1237" t="s">
        <v>42</v>
      </c>
      <c r="F1237">
        <v>17</v>
      </c>
      <c r="G1237">
        <v>3</v>
      </c>
      <c r="H1237" t="s">
        <v>57</v>
      </c>
      <c r="I1237">
        <v>1</v>
      </c>
      <c r="J1237">
        <v>1013</v>
      </c>
      <c r="K1237">
        <v>3</v>
      </c>
      <c r="L1237" s="17" t="s">
        <v>36</v>
      </c>
      <c r="M1237">
        <v>56</v>
      </c>
      <c r="N1237">
        <v>3</v>
      </c>
      <c r="O1237">
        <v>3</v>
      </c>
      <c r="P1237" t="s">
        <v>50</v>
      </c>
      <c r="Q1237">
        <v>3</v>
      </c>
      <c r="R1237" t="s">
        <v>45</v>
      </c>
      <c r="S1237" s="6">
        <v>10739</v>
      </c>
      <c r="T1237">
        <v>13943</v>
      </c>
      <c r="U1237">
        <v>8</v>
      </c>
      <c r="V1237" t="s">
        <v>39</v>
      </c>
      <c r="W1237" t="s">
        <v>40</v>
      </c>
      <c r="X1237">
        <v>11</v>
      </c>
      <c r="Y1237">
        <v>3</v>
      </c>
      <c r="Z1237">
        <v>3</v>
      </c>
      <c r="AA1237">
        <v>80</v>
      </c>
      <c r="AB1237">
        <v>1</v>
      </c>
      <c r="AC1237">
        <v>22</v>
      </c>
      <c r="AD1237">
        <v>2</v>
      </c>
      <c r="AE1237">
        <v>3</v>
      </c>
      <c r="AF1237">
        <v>10</v>
      </c>
      <c r="AG1237">
        <v>7</v>
      </c>
      <c r="AH1237">
        <v>0</v>
      </c>
      <c r="AI1237">
        <v>8</v>
      </c>
    </row>
    <row r="1238" spans="1:35" x14ac:dyDescent="0.3">
      <c r="A1238">
        <v>45</v>
      </c>
      <c r="B1238" t="s">
        <v>40</v>
      </c>
      <c r="C1238" t="s">
        <v>52</v>
      </c>
      <c r="D1238">
        <v>1238</v>
      </c>
      <c r="E1238" t="s">
        <v>42</v>
      </c>
      <c r="F1238">
        <v>1</v>
      </c>
      <c r="G1238">
        <v>1</v>
      </c>
      <c r="H1238" t="s">
        <v>35</v>
      </c>
      <c r="I1238">
        <v>1</v>
      </c>
      <c r="J1238">
        <v>1712</v>
      </c>
      <c r="K1238">
        <v>3</v>
      </c>
      <c r="L1238" s="17" t="s">
        <v>43</v>
      </c>
      <c r="M1238">
        <v>74</v>
      </c>
      <c r="N1238">
        <v>2</v>
      </c>
      <c r="O1238">
        <v>3</v>
      </c>
      <c r="P1238" t="s">
        <v>51</v>
      </c>
      <c r="Q1238">
        <v>3</v>
      </c>
      <c r="R1238" t="s">
        <v>45</v>
      </c>
      <c r="S1238" s="6">
        <v>10748</v>
      </c>
      <c r="T1238">
        <v>3395</v>
      </c>
      <c r="U1238">
        <v>3</v>
      </c>
      <c r="V1238" t="s">
        <v>39</v>
      </c>
      <c r="W1238" t="s">
        <v>40</v>
      </c>
      <c r="X1238">
        <v>23</v>
      </c>
      <c r="Y1238">
        <v>4</v>
      </c>
      <c r="Z1238">
        <v>4</v>
      </c>
      <c r="AA1238">
        <v>80</v>
      </c>
      <c r="AB1238">
        <v>1</v>
      </c>
      <c r="AC1238">
        <v>25</v>
      </c>
      <c r="AD1238">
        <v>3</v>
      </c>
      <c r="AE1238">
        <v>2</v>
      </c>
      <c r="AF1238">
        <v>23</v>
      </c>
      <c r="AG1238">
        <v>15</v>
      </c>
      <c r="AH1238">
        <v>14</v>
      </c>
      <c r="AI1238">
        <v>4</v>
      </c>
    </row>
    <row r="1239" spans="1:35" x14ac:dyDescent="0.3">
      <c r="A1239">
        <v>45</v>
      </c>
      <c r="B1239" t="s">
        <v>40</v>
      </c>
      <c r="C1239" t="s">
        <v>33</v>
      </c>
      <c r="D1239">
        <v>930</v>
      </c>
      <c r="E1239" t="s">
        <v>34</v>
      </c>
      <c r="F1239">
        <v>9</v>
      </c>
      <c r="G1239">
        <v>3</v>
      </c>
      <c r="H1239" t="s">
        <v>56</v>
      </c>
      <c r="I1239">
        <v>1</v>
      </c>
      <c r="J1239">
        <v>864</v>
      </c>
      <c r="K1239">
        <v>4</v>
      </c>
      <c r="L1239" s="17" t="s">
        <v>43</v>
      </c>
      <c r="M1239">
        <v>74</v>
      </c>
      <c r="N1239">
        <v>3</v>
      </c>
      <c r="O1239">
        <v>3</v>
      </c>
      <c r="P1239" t="s">
        <v>37</v>
      </c>
      <c r="Q1239">
        <v>1</v>
      </c>
      <c r="R1239" t="s">
        <v>49</v>
      </c>
      <c r="S1239" s="6">
        <v>10761</v>
      </c>
      <c r="T1239">
        <v>19239</v>
      </c>
      <c r="U1239">
        <v>4</v>
      </c>
      <c r="V1239" t="s">
        <v>39</v>
      </c>
      <c r="W1239" t="s">
        <v>32</v>
      </c>
      <c r="X1239">
        <v>12</v>
      </c>
      <c r="Y1239">
        <v>3</v>
      </c>
      <c r="Z1239">
        <v>3</v>
      </c>
      <c r="AA1239">
        <v>80</v>
      </c>
      <c r="AB1239">
        <v>1</v>
      </c>
      <c r="AC1239">
        <v>18</v>
      </c>
      <c r="AD1239">
        <v>2</v>
      </c>
      <c r="AE1239">
        <v>3</v>
      </c>
      <c r="AF1239">
        <v>5</v>
      </c>
      <c r="AG1239">
        <v>4</v>
      </c>
      <c r="AH1239">
        <v>0</v>
      </c>
      <c r="AI1239">
        <v>2</v>
      </c>
    </row>
    <row r="1240" spans="1:35" x14ac:dyDescent="0.3">
      <c r="A1240">
        <v>31</v>
      </c>
      <c r="B1240" t="s">
        <v>40</v>
      </c>
      <c r="C1240" t="s">
        <v>33</v>
      </c>
      <c r="D1240">
        <v>326</v>
      </c>
      <c r="E1240" t="s">
        <v>34</v>
      </c>
      <c r="F1240">
        <v>8</v>
      </c>
      <c r="G1240">
        <v>2</v>
      </c>
      <c r="H1240" t="s">
        <v>35</v>
      </c>
      <c r="I1240">
        <v>1</v>
      </c>
      <c r="J1240">
        <v>1453</v>
      </c>
      <c r="K1240">
        <v>1</v>
      </c>
      <c r="L1240" s="17" t="s">
        <v>43</v>
      </c>
      <c r="M1240">
        <v>31</v>
      </c>
      <c r="N1240">
        <v>3</v>
      </c>
      <c r="O1240">
        <v>3</v>
      </c>
      <c r="P1240" t="s">
        <v>37</v>
      </c>
      <c r="Q1240">
        <v>4</v>
      </c>
      <c r="R1240" t="s">
        <v>49</v>
      </c>
      <c r="S1240" s="6">
        <v>10793</v>
      </c>
      <c r="T1240">
        <v>8386</v>
      </c>
      <c r="U1240">
        <v>1</v>
      </c>
      <c r="V1240" t="s">
        <v>39</v>
      </c>
      <c r="W1240" t="s">
        <v>40</v>
      </c>
      <c r="X1240">
        <v>18</v>
      </c>
      <c r="Y1240">
        <v>3</v>
      </c>
      <c r="Z1240">
        <v>1</v>
      </c>
      <c r="AA1240">
        <v>80</v>
      </c>
      <c r="AB1240">
        <v>1</v>
      </c>
      <c r="AC1240">
        <v>13</v>
      </c>
      <c r="AD1240">
        <v>5</v>
      </c>
      <c r="AE1240">
        <v>3</v>
      </c>
      <c r="AF1240">
        <v>13</v>
      </c>
      <c r="AG1240">
        <v>7</v>
      </c>
      <c r="AH1240">
        <v>9</v>
      </c>
      <c r="AI1240">
        <v>9</v>
      </c>
    </row>
    <row r="1241" spans="1:35" x14ac:dyDescent="0.3">
      <c r="A1241">
        <v>43</v>
      </c>
      <c r="B1241" t="s">
        <v>40</v>
      </c>
      <c r="C1241" t="s">
        <v>33</v>
      </c>
      <c r="D1241">
        <v>415</v>
      </c>
      <c r="E1241" t="s">
        <v>34</v>
      </c>
      <c r="F1241">
        <v>25</v>
      </c>
      <c r="G1241">
        <v>3</v>
      </c>
      <c r="H1241" t="s">
        <v>48</v>
      </c>
      <c r="I1241">
        <v>1</v>
      </c>
      <c r="J1241">
        <v>1076</v>
      </c>
      <c r="K1241">
        <v>3</v>
      </c>
      <c r="L1241" s="17" t="s">
        <v>43</v>
      </c>
      <c r="M1241">
        <v>79</v>
      </c>
      <c r="N1241">
        <v>2</v>
      </c>
      <c r="O1241">
        <v>3</v>
      </c>
      <c r="P1241" t="s">
        <v>37</v>
      </c>
      <c r="Q1241">
        <v>4</v>
      </c>
      <c r="R1241" t="s">
        <v>49</v>
      </c>
      <c r="S1241" s="6">
        <v>10798</v>
      </c>
      <c r="T1241">
        <v>5268</v>
      </c>
      <c r="U1241">
        <v>5</v>
      </c>
      <c r="V1241" t="s">
        <v>39</v>
      </c>
      <c r="W1241" t="s">
        <v>40</v>
      </c>
      <c r="X1241">
        <v>13</v>
      </c>
      <c r="Y1241">
        <v>3</v>
      </c>
      <c r="Z1241">
        <v>3</v>
      </c>
      <c r="AA1241">
        <v>80</v>
      </c>
      <c r="AB1241">
        <v>1</v>
      </c>
      <c r="AC1241">
        <v>18</v>
      </c>
      <c r="AD1241">
        <v>5</v>
      </c>
      <c r="AE1241">
        <v>3</v>
      </c>
      <c r="AF1241">
        <v>1</v>
      </c>
      <c r="AG1241">
        <v>0</v>
      </c>
      <c r="AH1241">
        <v>0</v>
      </c>
      <c r="AI1241">
        <v>0</v>
      </c>
    </row>
    <row r="1242" spans="1:35" x14ac:dyDescent="0.3">
      <c r="A1242">
        <v>43</v>
      </c>
      <c r="B1242" t="s">
        <v>40</v>
      </c>
      <c r="C1242" t="s">
        <v>41</v>
      </c>
      <c r="D1242">
        <v>1082</v>
      </c>
      <c r="E1242" t="s">
        <v>42</v>
      </c>
      <c r="F1242">
        <v>27</v>
      </c>
      <c r="G1242">
        <v>3</v>
      </c>
      <c r="H1242" t="s">
        <v>35</v>
      </c>
      <c r="I1242">
        <v>1</v>
      </c>
      <c r="J1242">
        <v>1126</v>
      </c>
      <c r="K1242">
        <v>3</v>
      </c>
      <c r="L1242" s="17" t="s">
        <v>36</v>
      </c>
      <c r="M1242">
        <v>83</v>
      </c>
      <c r="N1242">
        <v>3</v>
      </c>
      <c r="O1242">
        <v>3</v>
      </c>
      <c r="P1242" t="s">
        <v>50</v>
      </c>
      <c r="Q1242">
        <v>1</v>
      </c>
      <c r="R1242" t="s">
        <v>45</v>
      </c>
      <c r="S1242" s="6">
        <v>10820</v>
      </c>
      <c r="T1242">
        <v>11535</v>
      </c>
      <c r="U1242">
        <v>8</v>
      </c>
      <c r="V1242" t="s">
        <v>39</v>
      </c>
      <c r="W1242" t="s">
        <v>40</v>
      </c>
      <c r="X1242">
        <v>11</v>
      </c>
      <c r="Y1242">
        <v>3</v>
      </c>
      <c r="Z1242">
        <v>3</v>
      </c>
      <c r="AA1242">
        <v>80</v>
      </c>
      <c r="AB1242">
        <v>1</v>
      </c>
      <c r="AC1242">
        <v>18</v>
      </c>
      <c r="AD1242">
        <v>1</v>
      </c>
      <c r="AE1242">
        <v>3</v>
      </c>
      <c r="AF1242">
        <v>8</v>
      </c>
      <c r="AG1242">
        <v>7</v>
      </c>
      <c r="AH1242">
        <v>0</v>
      </c>
      <c r="AI1242">
        <v>1</v>
      </c>
    </row>
    <row r="1243" spans="1:35" x14ac:dyDescent="0.3">
      <c r="A1243">
        <v>46</v>
      </c>
      <c r="B1243" t="s">
        <v>40</v>
      </c>
      <c r="C1243" t="s">
        <v>33</v>
      </c>
      <c r="D1243">
        <v>566</v>
      </c>
      <c r="E1243" t="s">
        <v>42</v>
      </c>
      <c r="F1243">
        <v>7</v>
      </c>
      <c r="G1243">
        <v>2</v>
      </c>
      <c r="H1243" t="s">
        <v>48</v>
      </c>
      <c r="I1243">
        <v>1</v>
      </c>
      <c r="J1243">
        <v>1007</v>
      </c>
      <c r="K1243">
        <v>4</v>
      </c>
      <c r="L1243" s="17" t="s">
        <v>43</v>
      </c>
      <c r="M1243">
        <v>75</v>
      </c>
      <c r="N1243">
        <v>3</v>
      </c>
      <c r="O1243">
        <v>3</v>
      </c>
      <c r="P1243" t="s">
        <v>50</v>
      </c>
      <c r="Q1243">
        <v>3</v>
      </c>
      <c r="R1243" t="s">
        <v>49</v>
      </c>
      <c r="S1243" s="6">
        <v>10845</v>
      </c>
      <c r="T1243">
        <v>24208</v>
      </c>
      <c r="U1243">
        <v>6</v>
      </c>
      <c r="V1243" t="s">
        <v>39</v>
      </c>
      <c r="W1243" t="s">
        <v>40</v>
      </c>
      <c r="X1243">
        <v>13</v>
      </c>
      <c r="Y1243">
        <v>3</v>
      </c>
      <c r="Z1243">
        <v>2</v>
      </c>
      <c r="AA1243">
        <v>80</v>
      </c>
      <c r="AB1243">
        <v>1</v>
      </c>
      <c r="AC1243">
        <v>13</v>
      </c>
      <c r="AD1243">
        <v>3</v>
      </c>
      <c r="AE1243">
        <v>3</v>
      </c>
      <c r="AF1243">
        <v>8</v>
      </c>
      <c r="AG1243">
        <v>7</v>
      </c>
      <c r="AH1243">
        <v>0</v>
      </c>
      <c r="AI1243">
        <v>7</v>
      </c>
    </row>
    <row r="1244" spans="1:35" x14ac:dyDescent="0.3">
      <c r="A1244">
        <v>45</v>
      </c>
      <c r="B1244" t="s">
        <v>40</v>
      </c>
      <c r="C1244" t="s">
        <v>33</v>
      </c>
      <c r="D1244">
        <v>1038</v>
      </c>
      <c r="E1244" t="s">
        <v>42</v>
      </c>
      <c r="F1244">
        <v>20</v>
      </c>
      <c r="G1244">
        <v>3</v>
      </c>
      <c r="H1244" t="s">
        <v>48</v>
      </c>
      <c r="I1244">
        <v>1</v>
      </c>
      <c r="J1244">
        <v>1460</v>
      </c>
      <c r="K1244">
        <v>2</v>
      </c>
      <c r="L1244" s="17" t="s">
        <v>43</v>
      </c>
      <c r="M1244">
        <v>95</v>
      </c>
      <c r="N1244">
        <v>1</v>
      </c>
      <c r="O1244">
        <v>3</v>
      </c>
      <c r="P1244" t="s">
        <v>51</v>
      </c>
      <c r="Q1244">
        <v>1</v>
      </c>
      <c r="R1244" t="s">
        <v>49</v>
      </c>
      <c r="S1244" s="6">
        <v>10851</v>
      </c>
      <c r="T1244">
        <v>19863</v>
      </c>
      <c r="U1244">
        <v>2</v>
      </c>
      <c r="V1244" t="s">
        <v>39</v>
      </c>
      <c r="W1244" t="s">
        <v>32</v>
      </c>
      <c r="X1244">
        <v>18</v>
      </c>
      <c r="Y1244">
        <v>3</v>
      </c>
      <c r="Z1244">
        <v>2</v>
      </c>
      <c r="AA1244">
        <v>80</v>
      </c>
      <c r="AB1244">
        <v>1</v>
      </c>
      <c r="AC1244">
        <v>24</v>
      </c>
      <c r="AD1244">
        <v>2</v>
      </c>
      <c r="AE1244">
        <v>3</v>
      </c>
      <c r="AF1244">
        <v>7</v>
      </c>
      <c r="AG1244">
        <v>7</v>
      </c>
      <c r="AH1244">
        <v>0</v>
      </c>
      <c r="AI1244">
        <v>7</v>
      </c>
    </row>
    <row r="1245" spans="1:35" x14ac:dyDescent="0.3">
      <c r="A1245">
        <v>50</v>
      </c>
      <c r="B1245" t="s">
        <v>32</v>
      </c>
      <c r="C1245" t="s">
        <v>33</v>
      </c>
      <c r="D1245">
        <v>410</v>
      </c>
      <c r="E1245" t="s">
        <v>34</v>
      </c>
      <c r="F1245">
        <v>28</v>
      </c>
      <c r="G1245">
        <v>3</v>
      </c>
      <c r="H1245" t="s">
        <v>56</v>
      </c>
      <c r="I1245">
        <v>1</v>
      </c>
      <c r="J1245">
        <v>2055</v>
      </c>
      <c r="K1245">
        <v>4</v>
      </c>
      <c r="L1245" s="17" t="s">
        <v>43</v>
      </c>
      <c r="M1245">
        <v>39</v>
      </c>
      <c r="N1245">
        <v>2</v>
      </c>
      <c r="O1245">
        <v>3</v>
      </c>
      <c r="P1245" t="s">
        <v>37</v>
      </c>
      <c r="Q1245">
        <v>1</v>
      </c>
      <c r="R1245" t="s">
        <v>49</v>
      </c>
      <c r="S1245" s="6">
        <v>10854</v>
      </c>
      <c r="T1245">
        <v>16586</v>
      </c>
      <c r="U1245">
        <v>4</v>
      </c>
      <c r="V1245" t="s">
        <v>39</v>
      </c>
      <c r="W1245" t="s">
        <v>32</v>
      </c>
      <c r="X1245">
        <v>13</v>
      </c>
      <c r="Y1245">
        <v>3</v>
      </c>
      <c r="Z1245">
        <v>2</v>
      </c>
      <c r="AA1245">
        <v>80</v>
      </c>
      <c r="AB1245">
        <v>1</v>
      </c>
      <c r="AC1245">
        <v>20</v>
      </c>
      <c r="AD1245">
        <v>3</v>
      </c>
      <c r="AE1245">
        <v>3</v>
      </c>
      <c r="AF1245">
        <v>3</v>
      </c>
      <c r="AG1245">
        <v>2</v>
      </c>
      <c r="AH1245">
        <v>2</v>
      </c>
      <c r="AI1245">
        <v>0</v>
      </c>
    </row>
    <row r="1246" spans="1:35" x14ac:dyDescent="0.3">
      <c r="A1246">
        <v>40</v>
      </c>
      <c r="B1246" t="s">
        <v>40</v>
      </c>
      <c r="C1246" t="s">
        <v>33</v>
      </c>
      <c r="D1246">
        <v>630</v>
      </c>
      <c r="E1246" t="s">
        <v>34</v>
      </c>
      <c r="F1246">
        <v>4</v>
      </c>
      <c r="G1246">
        <v>4</v>
      </c>
      <c r="H1246" t="s">
        <v>56</v>
      </c>
      <c r="I1246">
        <v>1</v>
      </c>
      <c r="J1246">
        <v>215</v>
      </c>
      <c r="K1246">
        <v>3</v>
      </c>
      <c r="L1246" s="17" t="s">
        <v>43</v>
      </c>
      <c r="M1246">
        <v>67</v>
      </c>
      <c r="N1246">
        <v>2</v>
      </c>
      <c r="O1246">
        <v>3</v>
      </c>
      <c r="P1246" t="s">
        <v>37</v>
      </c>
      <c r="Q1246">
        <v>4</v>
      </c>
      <c r="R1246" t="s">
        <v>45</v>
      </c>
      <c r="S1246" s="6">
        <v>10855</v>
      </c>
      <c r="T1246">
        <v>8552</v>
      </c>
      <c r="U1246">
        <v>7</v>
      </c>
      <c r="V1246" t="s">
        <v>39</v>
      </c>
      <c r="W1246" t="s">
        <v>40</v>
      </c>
      <c r="X1246">
        <v>11</v>
      </c>
      <c r="Y1246">
        <v>3</v>
      </c>
      <c r="Z1246">
        <v>1</v>
      </c>
      <c r="AA1246">
        <v>80</v>
      </c>
      <c r="AB1246">
        <v>1</v>
      </c>
      <c r="AC1246">
        <v>15</v>
      </c>
      <c r="AD1246">
        <v>2</v>
      </c>
      <c r="AE1246">
        <v>2</v>
      </c>
      <c r="AF1246">
        <v>12</v>
      </c>
      <c r="AG1246">
        <v>11</v>
      </c>
      <c r="AH1246">
        <v>2</v>
      </c>
      <c r="AI1246">
        <v>11</v>
      </c>
    </row>
    <row r="1247" spans="1:35" x14ac:dyDescent="0.3">
      <c r="A1247">
        <v>39</v>
      </c>
      <c r="B1247" t="s">
        <v>40</v>
      </c>
      <c r="C1247" t="s">
        <v>41</v>
      </c>
      <c r="D1247">
        <v>945</v>
      </c>
      <c r="E1247" t="s">
        <v>42</v>
      </c>
      <c r="F1247">
        <v>22</v>
      </c>
      <c r="G1247">
        <v>3</v>
      </c>
      <c r="H1247" t="s">
        <v>48</v>
      </c>
      <c r="I1247">
        <v>1</v>
      </c>
      <c r="J1247">
        <v>1043</v>
      </c>
      <c r="K1247">
        <v>4</v>
      </c>
      <c r="L1247" s="17" t="s">
        <v>36</v>
      </c>
      <c r="M1247">
        <v>82</v>
      </c>
      <c r="N1247">
        <v>3</v>
      </c>
      <c r="O1247">
        <v>3</v>
      </c>
      <c r="P1247" t="s">
        <v>50</v>
      </c>
      <c r="Q1247">
        <v>1</v>
      </c>
      <c r="R1247" t="s">
        <v>38</v>
      </c>
      <c r="S1247" s="6">
        <v>10880</v>
      </c>
      <c r="T1247">
        <v>5083</v>
      </c>
      <c r="U1247">
        <v>1</v>
      </c>
      <c r="V1247" t="s">
        <v>39</v>
      </c>
      <c r="W1247" t="s">
        <v>32</v>
      </c>
      <c r="X1247">
        <v>13</v>
      </c>
      <c r="Y1247">
        <v>3</v>
      </c>
      <c r="Z1247">
        <v>3</v>
      </c>
      <c r="AA1247">
        <v>80</v>
      </c>
      <c r="AB1247">
        <v>0</v>
      </c>
      <c r="AC1247">
        <v>21</v>
      </c>
      <c r="AD1247">
        <v>2</v>
      </c>
      <c r="AE1247">
        <v>3</v>
      </c>
      <c r="AF1247">
        <v>21</v>
      </c>
      <c r="AG1247">
        <v>6</v>
      </c>
      <c r="AH1247">
        <v>2</v>
      </c>
      <c r="AI1247">
        <v>8</v>
      </c>
    </row>
    <row r="1248" spans="1:35" x14ac:dyDescent="0.3">
      <c r="A1248">
        <v>60</v>
      </c>
      <c r="B1248" t="s">
        <v>40</v>
      </c>
      <c r="C1248" t="s">
        <v>33</v>
      </c>
      <c r="D1248">
        <v>370</v>
      </c>
      <c r="E1248" t="s">
        <v>42</v>
      </c>
      <c r="F1248">
        <v>1</v>
      </c>
      <c r="G1248">
        <v>4</v>
      </c>
      <c r="H1248" t="s">
        <v>48</v>
      </c>
      <c r="I1248">
        <v>1</v>
      </c>
      <c r="J1248">
        <v>1697</v>
      </c>
      <c r="K1248">
        <v>3</v>
      </c>
      <c r="L1248" s="17" t="s">
        <v>43</v>
      </c>
      <c r="M1248">
        <v>92</v>
      </c>
      <c r="N1248">
        <v>1</v>
      </c>
      <c r="O1248">
        <v>3</v>
      </c>
      <c r="P1248" t="s">
        <v>51</v>
      </c>
      <c r="Q1248">
        <v>4</v>
      </c>
      <c r="R1248" t="s">
        <v>49</v>
      </c>
      <c r="S1248" s="6">
        <v>10883</v>
      </c>
      <c r="T1248">
        <v>20467</v>
      </c>
      <c r="U1248">
        <v>3</v>
      </c>
      <c r="V1248" t="s">
        <v>39</v>
      </c>
      <c r="W1248" t="s">
        <v>40</v>
      </c>
      <c r="X1248">
        <v>20</v>
      </c>
      <c r="Y1248">
        <v>4</v>
      </c>
      <c r="Z1248">
        <v>3</v>
      </c>
      <c r="AA1248">
        <v>80</v>
      </c>
      <c r="AB1248">
        <v>1</v>
      </c>
      <c r="AC1248">
        <v>19</v>
      </c>
      <c r="AD1248">
        <v>2</v>
      </c>
      <c r="AE1248">
        <v>4</v>
      </c>
      <c r="AF1248">
        <v>1</v>
      </c>
      <c r="AG1248">
        <v>0</v>
      </c>
      <c r="AH1248">
        <v>0</v>
      </c>
      <c r="AI1248">
        <v>0</v>
      </c>
    </row>
    <row r="1249" spans="1:35" x14ac:dyDescent="0.3">
      <c r="A1249">
        <v>35</v>
      </c>
      <c r="B1249" t="s">
        <v>40</v>
      </c>
      <c r="C1249" t="s">
        <v>33</v>
      </c>
      <c r="D1249">
        <v>672</v>
      </c>
      <c r="E1249" t="s">
        <v>42</v>
      </c>
      <c r="F1249">
        <v>25</v>
      </c>
      <c r="G1249">
        <v>3</v>
      </c>
      <c r="H1249" t="s">
        <v>57</v>
      </c>
      <c r="I1249">
        <v>1</v>
      </c>
      <c r="J1249">
        <v>899</v>
      </c>
      <c r="K1249">
        <v>4</v>
      </c>
      <c r="L1249" s="17" t="s">
        <v>43</v>
      </c>
      <c r="M1249">
        <v>78</v>
      </c>
      <c r="N1249">
        <v>2</v>
      </c>
      <c r="O1249">
        <v>3</v>
      </c>
      <c r="P1249" t="s">
        <v>50</v>
      </c>
      <c r="Q1249">
        <v>2</v>
      </c>
      <c r="R1249" t="s">
        <v>45</v>
      </c>
      <c r="S1249" s="6">
        <v>10903</v>
      </c>
      <c r="T1249">
        <v>9129</v>
      </c>
      <c r="U1249">
        <v>3</v>
      </c>
      <c r="V1249" t="s">
        <v>39</v>
      </c>
      <c r="W1249" t="s">
        <v>40</v>
      </c>
      <c r="X1249">
        <v>16</v>
      </c>
      <c r="Y1249">
        <v>3</v>
      </c>
      <c r="Z1249">
        <v>1</v>
      </c>
      <c r="AA1249">
        <v>80</v>
      </c>
      <c r="AB1249">
        <v>0</v>
      </c>
      <c r="AC1249">
        <v>16</v>
      </c>
      <c r="AD1249">
        <v>2</v>
      </c>
      <c r="AE1249">
        <v>3</v>
      </c>
      <c r="AF1249">
        <v>13</v>
      </c>
      <c r="AG1249">
        <v>10</v>
      </c>
      <c r="AH1249">
        <v>4</v>
      </c>
      <c r="AI1249">
        <v>8</v>
      </c>
    </row>
    <row r="1250" spans="1:35" x14ac:dyDescent="0.3">
      <c r="A1250">
        <v>39</v>
      </c>
      <c r="B1250" t="s">
        <v>40</v>
      </c>
      <c r="C1250" t="s">
        <v>52</v>
      </c>
      <c r="D1250">
        <v>1485</v>
      </c>
      <c r="E1250" t="s">
        <v>42</v>
      </c>
      <c r="F1250">
        <v>25</v>
      </c>
      <c r="G1250">
        <v>2</v>
      </c>
      <c r="H1250" t="s">
        <v>35</v>
      </c>
      <c r="I1250">
        <v>1</v>
      </c>
      <c r="J1250">
        <v>1397</v>
      </c>
      <c r="K1250">
        <v>3</v>
      </c>
      <c r="L1250" s="17" t="s">
        <v>43</v>
      </c>
      <c r="M1250">
        <v>71</v>
      </c>
      <c r="N1250">
        <v>3</v>
      </c>
      <c r="O1250">
        <v>3</v>
      </c>
      <c r="P1250" t="s">
        <v>51</v>
      </c>
      <c r="Q1250">
        <v>3</v>
      </c>
      <c r="R1250" t="s">
        <v>45</v>
      </c>
      <c r="S1250" s="6">
        <v>10920</v>
      </c>
      <c r="T1250">
        <v>3449</v>
      </c>
      <c r="U1250">
        <v>3</v>
      </c>
      <c r="V1250" t="s">
        <v>39</v>
      </c>
      <c r="W1250" t="s">
        <v>40</v>
      </c>
      <c r="X1250">
        <v>21</v>
      </c>
      <c r="Y1250">
        <v>4</v>
      </c>
      <c r="Z1250">
        <v>2</v>
      </c>
      <c r="AA1250">
        <v>80</v>
      </c>
      <c r="AB1250">
        <v>1</v>
      </c>
      <c r="AC1250">
        <v>13</v>
      </c>
      <c r="AD1250">
        <v>2</v>
      </c>
      <c r="AE1250">
        <v>3</v>
      </c>
      <c r="AF1250">
        <v>6</v>
      </c>
      <c r="AG1250">
        <v>4</v>
      </c>
      <c r="AH1250">
        <v>0</v>
      </c>
      <c r="AI1250">
        <v>5</v>
      </c>
    </row>
    <row r="1251" spans="1:35" x14ac:dyDescent="0.3">
      <c r="A1251">
        <v>40</v>
      </c>
      <c r="B1251" t="s">
        <v>40</v>
      </c>
      <c r="C1251" t="s">
        <v>52</v>
      </c>
      <c r="D1251">
        <v>1094</v>
      </c>
      <c r="E1251" t="s">
        <v>34</v>
      </c>
      <c r="F1251">
        <v>28</v>
      </c>
      <c r="G1251">
        <v>3</v>
      </c>
      <c r="H1251" t="s">
        <v>46</v>
      </c>
      <c r="I1251">
        <v>1</v>
      </c>
      <c r="J1251">
        <v>615</v>
      </c>
      <c r="K1251">
        <v>3</v>
      </c>
      <c r="L1251" s="17" t="s">
        <v>43</v>
      </c>
      <c r="M1251">
        <v>58</v>
      </c>
      <c r="N1251">
        <v>1</v>
      </c>
      <c r="O1251">
        <v>3</v>
      </c>
      <c r="P1251" t="s">
        <v>37</v>
      </c>
      <c r="Q1251">
        <v>1</v>
      </c>
      <c r="R1251" t="s">
        <v>49</v>
      </c>
      <c r="S1251" s="6">
        <v>10932</v>
      </c>
      <c r="T1251">
        <v>11373</v>
      </c>
      <c r="U1251">
        <v>3</v>
      </c>
      <c r="V1251" t="s">
        <v>39</v>
      </c>
      <c r="W1251" t="s">
        <v>40</v>
      </c>
      <c r="X1251">
        <v>15</v>
      </c>
      <c r="Y1251">
        <v>3</v>
      </c>
      <c r="Z1251">
        <v>3</v>
      </c>
      <c r="AA1251">
        <v>80</v>
      </c>
      <c r="AB1251">
        <v>1</v>
      </c>
      <c r="AC1251">
        <v>20</v>
      </c>
      <c r="AD1251">
        <v>2</v>
      </c>
      <c r="AE1251">
        <v>3</v>
      </c>
      <c r="AF1251">
        <v>1</v>
      </c>
      <c r="AG1251">
        <v>0</v>
      </c>
      <c r="AH1251">
        <v>0</v>
      </c>
      <c r="AI1251">
        <v>1</v>
      </c>
    </row>
    <row r="1252" spans="1:35" x14ac:dyDescent="0.3">
      <c r="A1252">
        <v>53</v>
      </c>
      <c r="B1252" t="s">
        <v>40</v>
      </c>
      <c r="C1252" t="s">
        <v>33</v>
      </c>
      <c r="D1252">
        <v>661</v>
      </c>
      <c r="E1252" t="s">
        <v>34</v>
      </c>
      <c r="F1252">
        <v>7</v>
      </c>
      <c r="G1252">
        <v>2</v>
      </c>
      <c r="H1252" t="s">
        <v>56</v>
      </c>
      <c r="I1252">
        <v>1</v>
      </c>
      <c r="J1252">
        <v>862</v>
      </c>
      <c r="K1252">
        <v>1</v>
      </c>
      <c r="L1252" s="17" t="s">
        <v>36</v>
      </c>
      <c r="M1252">
        <v>78</v>
      </c>
      <c r="N1252">
        <v>2</v>
      </c>
      <c r="O1252">
        <v>3</v>
      </c>
      <c r="P1252" t="s">
        <v>37</v>
      </c>
      <c r="Q1252">
        <v>4</v>
      </c>
      <c r="R1252" t="s">
        <v>45</v>
      </c>
      <c r="S1252" s="6">
        <v>10934</v>
      </c>
      <c r="T1252">
        <v>20715</v>
      </c>
      <c r="U1252">
        <v>7</v>
      </c>
      <c r="V1252" t="s">
        <v>39</v>
      </c>
      <c r="W1252" t="s">
        <v>32</v>
      </c>
      <c r="X1252">
        <v>18</v>
      </c>
      <c r="Y1252">
        <v>3</v>
      </c>
      <c r="Z1252">
        <v>4</v>
      </c>
      <c r="AA1252">
        <v>80</v>
      </c>
      <c r="AB1252">
        <v>1</v>
      </c>
      <c r="AC1252">
        <v>35</v>
      </c>
      <c r="AD1252">
        <v>3</v>
      </c>
      <c r="AE1252">
        <v>3</v>
      </c>
      <c r="AF1252">
        <v>5</v>
      </c>
      <c r="AG1252">
        <v>2</v>
      </c>
      <c r="AH1252">
        <v>0</v>
      </c>
      <c r="AI1252">
        <v>4</v>
      </c>
    </row>
    <row r="1253" spans="1:35" x14ac:dyDescent="0.3">
      <c r="A1253">
        <v>39</v>
      </c>
      <c r="B1253" t="s">
        <v>40</v>
      </c>
      <c r="C1253" t="s">
        <v>41</v>
      </c>
      <c r="D1253">
        <v>505</v>
      </c>
      <c r="E1253" t="s">
        <v>42</v>
      </c>
      <c r="F1253">
        <v>2</v>
      </c>
      <c r="G1253">
        <v>4</v>
      </c>
      <c r="H1253" t="s">
        <v>57</v>
      </c>
      <c r="I1253">
        <v>1</v>
      </c>
      <c r="J1253">
        <v>343</v>
      </c>
      <c r="K1253">
        <v>3</v>
      </c>
      <c r="L1253" s="17" t="s">
        <v>36</v>
      </c>
      <c r="M1253">
        <v>64</v>
      </c>
      <c r="N1253">
        <v>3</v>
      </c>
      <c r="O1253">
        <v>3</v>
      </c>
      <c r="P1253" t="s">
        <v>51</v>
      </c>
      <c r="Q1253">
        <v>3</v>
      </c>
      <c r="R1253" t="s">
        <v>38</v>
      </c>
      <c r="S1253" s="6">
        <v>10938</v>
      </c>
      <c r="T1253">
        <v>6420</v>
      </c>
      <c r="U1253">
        <v>0</v>
      </c>
      <c r="V1253" t="s">
        <v>39</v>
      </c>
      <c r="W1253" t="s">
        <v>40</v>
      </c>
      <c r="X1253">
        <v>25</v>
      </c>
      <c r="Y1253">
        <v>4</v>
      </c>
      <c r="Z1253">
        <v>4</v>
      </c>
      <c r="AA1253">
        <v>80</v>
      </c>
      <c r="AB1253">
        <v>0</v>
      </c>
      <c r="AC1253">
        <v>20</v>
      </c>
      <c r="AD1253">
        <v>1</v>
      </c>
      <c r="AE1253">
        <v>3</v>
      </c>
      <c r="AF1253">
        <v>19</v>
      </c>
      <c r="AG1253">
        <v>6</v>
      </c>
      <c r="AH1253">
        <v>11</v>
      </c>
      <c r="AI1253">
        <v>8</v>
      </c>
    </row>
    <row r="1254" spans="1:35" x14ac:dyDescent="0.3">
      <c r="A1254">
        <v>49</v>
      </c>
      <c r="B1254" t="s">
        <v>40</v>
      </c>
      <c r="C1254" t="s">
        <v>33</v>
      </c>
      <c r="D1254">
        <v>1261</v>
      </c>
      <c r="E1254" t="s">
        <v>42</v>
      </c>
      <c r="F1254">
        <v>7</v>
      </c>
      <c r="G1254">
        <v>3</v>
      </c>
      <c r="H1254" t="s">
        <v>46</v>
      </c>
      <c r="I1254">
        <v>1</v>
      </c>
      <c r="J1254">
        <v>499</v>
      </c>
      <c r="K1254">
        <v>2</v>
      </c>
      <c r="L1254" s="17" t="s">
        <v>43</v>
      </c>
      <c r="M1254">
        <v>31</v>
      </c>
      <c r="N1254">
        <v>2</v>
      </c>
      <c r="O1254">
        <v>3</v>
      </c>
      <c r="P1254" t="s">
        <v>51</v>
      </c>
      <c r="Q1254">
        <v>3</v>
      </c>
      <c r="R1254" t="s">
        <v>38</v>
      </c>
      <c r="S1254" s="6">
        <v>10965</v>
      </c>
      <c r="T1254">
        <v>12066</v>
      </c>
      <c r="U1254">
        <v>8</v>
      </c>
      <c r="V1254" t="s">
        <v>39</v>
      </c>
      <c r="W1254" t="s">
        <v>40</v>
      </c>
      <c r="X1254">
        <v>24</v>
      </c>
      <c r="Y1254">
        <v>4</v>
      </c>
      <c r="Z1254">
        <v>3</v>
      </c>
      <c r="AA1254">
        <v>80</v>
      </c>
      <c r="AB1254">
        <v>0</v>
      </c>
      <c r="AC1254">
        <v>26</v>
      </c>
      <c r="AD1254">
        <v>2</v>
      </c>
      <c r="AE1254">
        <v>3</v>
      </c>
      <c r="AF1254">
        <v>5</v>
      </c>
      <c r="AG1254">
        <v>2</v>
      </c>
      <c r="AH1254">
        <v>0</v>
      </c>
      <c r="AI1254">
        <v>0</v>
      </c>
    </row>
    <row r="1255" spans="1:35" x14ac:dyDescent="0.3">
      <c r="A1255">
        <v>55</v>
      </c>
      <c r="B1255" t="s">
        <v>40</v>
      </c>
      <c r="C1255" t="s">
        <v>41</v>
      </c>
      <c r="D1255">
        <v>1091</v>
      </c>
      <c r="E1255" t="s">
        <v>42</v>
      </c>
      <c r="F1255">
        <v>2</v>
      </c>
      <c r="G1255">
        <v>1</v>
      </c>
      <c r="H1255" t="s">
        <v>35</v>
      </c>
      <c r="I1255">
        <v>1</v>
      </c>
      <c r="J1255">
        <v>1096</v>
      </c>
      <c r="K1255">
        <v>4</v>
      </c>
      <c r="L1255" s="17" t="s">
        <v>43</v>
      </c>
      <c r="M1255">
        <v>65</v>
      </c>
      <c r="N1255">
        <v>3</v>
      </c>
      <c r="O1255">
        <v>3</v>
      </c>
      <c r="P1255" t="s">
        <v>50</v>
      </c>
      <c r="Q1255">
        <v>2</v>
      </c>
      <c r="R1255" t="s">
        <v>45</v>
      </c>
      <c r="S1255" s="6">
        <v>10976</v>
      </c>
      <c r="T1255">
        <v>15813</v>
      </c>
      <c r="U1255">
        <v>3</v>
      </c>
      <c r="V1255" t="s">
        <v>39</v>
      </c>
      <c r="W1255" t="s">
        <v>40</v>
      </c>
      <c r="X1255">
        <v>18</v>
      </c>
      <c r="Y1255">
        <v>3</v>
      </c>
      <c r="Z1255">
        <v>2</v>
      </c>
      <c r="AA1255">
        <v>80</v>
      </c>
      <c r="AB1255">
        <v>1</v>
      </c>
      <c r="AC1255">
        <v>23</v>
      </c>
      <c r="AD1255">
        <v>4</v>
      </c>
      <c r="AE1255">
        <v>3</v>
      </c>
      <c r="AF1255">
        <v>3</v>
      </c>
      <c r="AG1255">
        <v>2</v>
      </c>
      <c r="AH1255">
        <v>1</v>
      </c>
      <c r="AI1255">
        <v>2</v>
      </c>
    </row>
    <row r="1256" spans="1:35" x14ac:dyDescent="0.3">
      <c r="A1256">
        <v>48</v>
      </c>
      <c r="B1256" t="s">
        <v>40</v>
      </c>
      <c r="C1256" t="s">
        <v>33</v>
      </c>
      <c r="D1256">
        <v>1355</v>
      </c>
      <c r="E1256" t="s">
        <v>42</v>
      </c>
      <c r="F1256">
        <v>4</v>
      </c>
      <c r="G1256">
        <v>4</v>
      </c>
      <c r="H1256" t="s">
        <v>35</v>
      </c>
      <c r="I1256">
        <v>1</v>
      </c>
      <c r="J1256">
        <v>1024</v>
      </c>
      <c r="K1256">
        <v>3</v>
      </c>
      <c r="L1256" s="17" t="s">
        <v>43</v>
      </c>
      <c r="M1256">
        <v>78</v>
      </c>
      <c r="N1256">
        <v>2</v>
      </c>
      <c r="O1256">
        <v>3</v>
      </c>
      <c r="P1256" t="s">
        <v>51</v>
      </c>
      <c r="Q1256">
        <v>3</v>
      </c>
      <c r="R1256" t="s">
        <v>38</v>
      </c>
      <c r="S1256" s="6">
        <v>10999</v>
      </c>
      <c r="T1256">
        <v>22245</v>
      </c>
      <c r="U1256">
        <v>7</v>
      </c>
      <c r="V1256" t="s">
        <v>39</v>
      </c>
      <c r="W1256" t="s">
        <v>40</v>
      </c>
      <c r="X1256">
        <v>14</v>
      </c>
      <c r="Y1256">
        <v>3</v>
      </c>
      <c r="Z1256">
        <v>2</v>
      </c>
      <c r="AA1256">
        <v>80</v>
      </c>
      <c r="AB1256">
        <v>0</v>
      </c>
      <c r="AC1256">
        <v>27</v>
      </c>
      <c r="AD1256">
        <v>3</v>
      </c>
      <c r="AE1256">
        <v>3</v>
      </c>
      <c r="AF1256">
        <v>15</v>
      </c>
      <c r="AG1256">
        <v>11</v>
      </c>
      <c r="AH1256">
        <v>4</v>
      </c>
      <c r="AI1256">
        <v>8</v>
      </c>
    </row>
    <row r="1257" spans="1:35" x14ac:dyDescent="0.3">
      <c r="A1257">
        <v>31</v>
      </c>
      <c r="B1257" t="s">
        <v>40</v>
      </c>
      <c r="C1257" t="s">
        <v>52</v>
      </c>
      <c r="D1257">
        <v>697</v>
      </c>
      <c r="E1257" t="s">
        <v>42</v>
      </c>
      <c r="F1257">
        <v>10</v>
      </c>
      <c r="G1257">
        <v>3</v>
      </c>
      <c r="H1257" t="s">
        <v>48</v>
      </c>
      <c r="I1257">
        <v>1</v>
      </c>
      <c r="J1257">
        <v>1979</v>
      </c>
      <c r="K1257">
        <v>3</v>
      </c>
      <c r="L1257" s="17" t="s">
        <v>36</v>
      </c>
      <c r="M1257">
        <v>40</v>
      </c>
      <c r="N1257">
        <v>3</v>
      </c>
      <c r="O1257">
        <v>3</v>
      </c>
      <c r="P1257" t="s">
        <v>55</v>
      </c>
      <c r="Q1257">
        <v>3</v>
      </c>
      <c r="R1257" t="s">
        <v>45</v>
      </c>
      <c r="S1257" s="6">
        <v>11031</v>
      </c>
      <c r="T1257">
        <v>26862</v>
      </c>
      <c r="U1257">
        <v>4</v>
      </c>
      <c r="V1257" t="s">
        <v>39</v>
      </c>
      <c r="W1257" t="s">
        <v>40</v>
      </c>
      <c r="X1257">
        <v>20</v>
      </c>
      <c r="Y1257">
        <v>4</v>
      </c>
      <c r="Z1257">
        <v>3</v>
      </c>
      <c r="AA1257">
        <v>80</v>
      </c>
      <c r="AB1257">
        <v>1</v>
      </c>
      <c r="AC1257">
        <v>13</v>
      </c>
      <c r="AD1257">
        <v>2</v>
      </c>
      <c r="AE1257">
        <v>4</v>
      </c>
      <c r="AF1257">
        <v>11</v>
      </c>
      <c r="AG1257">
        <v>7</v>
      </c>
      <c r="AH1257">
        <v>4</v>
      </c>
      <c r="AI1257">
        <v>8</v>
      </c>
    </row>
    <row r="1258" spans="1:35" x14ac:dyDescent="0.3">
      <c r="A1258">
        <v>56</v>
      </c>
      <c r="B1258" t="s">
        <v>40</v>
      </c>
      <c r="C1258" t="s">
        <v>33</v>
      </c>
      <c r="D1258">
        <v>832</v>
      </c>
      <c r="E1258" t="s">
        <v>42</v>
      </c>
      <c r="F1258">
        <v>9</v>
      </c>
      <c r="G1258">
        <v>3</v>
      </c>
      <c r="H1258" t="s">
        <v>48</v>
      </c>
      <c r="I1258">
        <v>1</v>
      </c>
      <c r="J1258">
        <v>762</v>
      </c>
      <c r="K1258">
        <v>3</v>
      </c>
      <c r="L1258" s="17" t="s">
        <v>43</v>
      </c>
      <c r="M1258">
        <v>81</v>
      </c>
      <c r="N1258">
        <v>3</v>
      </c>
      <c r="O1258">
        <v>4</v>
      </c>
      <c r="P1258" t="s">
        <v>51</v>
      </c>
      <c r="Q1258">
        <v>4</v>
      </c>
      <c r="R1258" t="s">
        <v>45</v>
      </c>
      <c r="S1258" s="6">
        <v>11103</v>
      </c>
      <c r="T1258">
        <v>20420</v>
      </c>
      <c r="U1258">
        <v>7</v>
      </c>
      <c r="V1258" t="s">
        <v>39</v>
      </c>
      <c r="W1258" t="s">
        <v>40</v>
      </c>
      <c r="X1258">
        <v>11</v>
      </c>
      <c r="Y1258">
        <v>3</v>
      </c>
      <c r="Z1258">
        <v>3</v>
      </c>
      <c r="AA1258">
        <v>80</v>
      </c>
      <c r="AB1258">
        <v>0</v>
      </c>
      <c r="AC1258">
        <v>30</v>
      </c>
      <c r="AD1258">
        <v>1</v>
      </c>
      <c r="AE1258">
        <v>2</v>
      </c>
      <c r="AF1258">
        <v>10</v>
      </c>
      <c r="AG1258">
        <v>7</v>
      </c>
      <c r="AH1258">
        <v>1</v>
      </c>
      <c r="AI1258">
        <v>1</v>
      </c>
    </row>
    <row r="1259" spans="1:35" x14ac:dyDescent="0.3">
      <c r="A1259">
        <v>32</v>
      </c>
      <c r="B1259" t="s">
        <v>40</v>
      </c>
      <c r="C1259" t="s">
        <v>33</v>
      </c>
      <c r="D1259">
        <v>1018</v>
      </c>
      <c r="E1259" t="s">
        <v>42</v>
      </c>
      <c r="F1259">
        <v>3</v>
      </c>
      <c r="G1259">
        <v>2</v>
      </c>
      <c r="H1259" t="s">
        <v>35</v>
      </c>
      <c r="I1259">
        <v>1</v>
      </c>
      <c r="J1259">
        <v>727</v>
      </c>
      <c r="K1259">
        <v>3</v>
      </c>
      <c r="L1259" s="17" t="s">
        <v>36</v>
      </c>
      <c r="M1259">
        <v>39</v>
      </c>
      <c r="N1259">
        <v>3</v>
      </c>
      <c r="O1259">
        <v>3</v>
      </c>
      <c r="P1259" t="s">
        <v>55</v>
      </c>
      <c r="Q1259">
        <v>4</v>
      </c>
      <c r="R1259" t="s">
        <v>38</v>
      </c>
      <c r="S1259" s="6">
        <v>11159</v>
      </c>
      <c r="T1259">
        <v>19373</v>
      </c>
      <c r="U1259">
        <v>3</v>
      </c>
      <c r="V1259" t="s">
        <v>39</v>
      </c>
      <c r="W1259" t="s">
        <v>40</v>
      </c>
      <c r="X1259">
        <v>15</v>
      </c>
      <c r="Y1259">
        <v>3</v>
      </c>
      <c r="Z1259">
        <v>4</v>
      </c>
      <c r="AA1259">
        <v>80</v>
      </c>
      <c r="AB1259">
        <v>0</v>
      </c>
      <c r="AC1259">
        <v>10</v>
      </c>
      <c r="AD1259">
        <v>6</v>
      </c>
      <c r="AE1259">
        <v>3</v>
      </c>
      <c r="AF1259">
        <v>7</v>
      </c>
      <c r="AG1259">
        <v>7</v>
      </c>
      <c r="AH1259">
        <v>7</v>
      </c>
      <c r="AI1259">
        <v>7</v>
      </c>
    </row>
    <row r="1260" spans="1:35" x14ac:dyDescent="0.3">
      <c r="A1260">
        <v>32</v>
      </c>
      <c r="B1260" t="s">
        <v>40</v>
      </c>
      <c r="C1260" t="s">
        <v>33</v>
      </c>
      <c r="D1260">
        <v>495</v>
      </c>
      <c r="E1260" t="s">
        <v>42</v>
      </c>
      <c r="F1260">
        <v>10</v>
      </c>
      <c r="G1260">
        <v>3</v>
      </c>
      <c r="H1260" t="s">
        <v>48</v>
      </c>
      <c r="I1260">
        <v>1</v>
      </c>
      <c r="J1260">
        <v>1516</v>
      </c>
      <c r="K1260">
        <v>3</v>
      </c>
      <c r="L1260" s="17" t="s">
        <v>43</v>
      </c>
      <c r="M1260">
        <v>64</v>
      </c>
      <c r="N1260">
        <v>3</v>
      </c>
      <c r="O1260">
        <v>3</v>
      </c>
      <c r="P1260" t="s">
        <v>53</v>
      </c>
      <c r="Q1260">
        <v>4</v>
      </c>
      <c r="R1260" t="s">
        <v>38</v>
      </c>
      <c r="S1260" s="6">
        <v>11244</v>
      </c>
      <c r="T1260">
        <v>21072</v>
      </c>
      <c r="U1260">
        <v>2</v>
      </c>
      <c r="V1260" t="s">
        <v>39</v>
      </c>
      <c r="W1260" t="s">
        <v>40</v>
      </c>
      <c r="X1260">
        <v>25</v>
      </c>
      <c r="Y1260">
        <v>4</v>
      </c>
      <c r="Z1260">
        <v>2</v>
      </c>
      <c r="AA1260">
        <v>80</v>
      </c>
      <c r="AB1260">
        <v>0</v>
      </c>
      <c r="AC1260">
        <v>10</v>
      </c>
      <c r="AD1260">
        <v>5</v>
      </c>
      <c r="AE1260">
        <v>4</v>
      </c>
      <c r="AF1260">
        <v>5</v>
      </c>
      <c r="AG1260">
        <v>2</v>
      </c>
      <c r="AH1260">
        <v>0</v>
      </c>
      <c r="AI1260">
        <v>0</v>
      </c>
    </row>
    <row r="1261" spans="1:35" x14ac:dyDescent="0.3">
      <c r="A1261">
        <v>50</v>
      </c>
      <c r="B1261" t="s">
        <v>40</v>
      </c>
      <c r="C1261" t="s">
        <v>41</v>
      </c>
      <c r="D1261">
        <v>1234</v>
      </c>
      <c r="E1261" t="s">
        <v>42</v>
      </c>
      <c r="F1261">
        <v>20</v>
      </c>
      <c r="G1261">
        <v>5</v>
      </c>
      <c r="H1261" t="s">
        <v>48</v>
      </c>
      <c r="I1261">
        <v>1</v>
      </c>
      <c r="J1261">
        <v>1606</v>
      </c>
      <c r="K1261">
        <v>2</v>
      </c>
      <c r="L1261" s="17" t="s">
        <v>43</v>
      </c>
      <c r="M1261">
        <v>41</v>
      </c>
      <c r="N1261">
        <v>3</v>
      </c>
      <c r="O1261">
        <v>4</v>
      </c>
      <c r="P1261" t="s">
        <v>51</v>
      </c>
      <c r="Q1261">
        <v>3</v>
      </c>
      <c r="R1261" t="s">
        <v>45</v>
      </c>
      <c r="S1261" s="6">
        <v>11245</v>
      </c>
      <c r="T1261">
        <v>20689</v>
      </c>
      <c r="U1261">
        <v>2</v>
      </c>
      <c r="V1261" t="s">
        <v>39</v>
      </c>
      <c r="W1261" t="s">
        <v>32</v>
      </c>
      <c r="X1261">
        <v>15</v>
      </c>
      <c r="Y1261">
        <v>3</v>
      </c>
      <c r="Z1261">
        <v>3</v>
      </c>
      <c r="AA1261">
        <v>80</v>
      </c>
      <c r="AB1261">
        <v>1</v>
      </c>
      <c r="AC1261">
        <v>32</v>
      </c>
      <c r="AD1261">
        <v>3</v>
      </c>
      <c r="AE1261">
        <v>3</v>
      </c>
      <c r="AF1261">
        <v>30</v>
      </c>
      <c r="AG1261">
        <v>8</v>
      </c>
      <c r="AH1261">
        <v>12</v>
      </c>
      <c r="AI1261">
        <v>13</v>
      </c>
    </row>
    <row r="1262" spans="1:35" x14ac:dyDescent="0.3">
      <c r="A1262">
        <v>30</v>
      </c>
      <c r="B1262" t="s">
        <v>40</v>
      </c>
      <c r="C1262" t="s">
        <v>33</v>
      </c>
      <c r="D1262">
        <v>153</v>
      </c>
      <c r="E1262" t="s">
        <v>42</v>
      </c>
      <c r="F1262">
        <v>8</v>
      </c>
      <c r="G1262">
        <v>2</v>
      </c>
      <c r="H1262" t="s">
        <v>35</v>
      </c>
      <c r="I1262">
        <v>1</v>
      </c>
      <c r="J1262">
        <v>1015</v>
      </c>
      <c r="K1262">
        <v>2</v>
      </c>
      <c r="L1262" s="17" t="s">
        <v>36</v>
      </c>
      <c r="M1262">
        <v>73</v>
      </c>
      <c r="N1262">
        <v>4</v>
      </c>
      <c r="O1262">
        <v>3</v>
      </c>
      <c r="P1262" t="s">
        <v>55</v>
      </c>
      <c r="Q1262">
        <v>1</v>
      </c>
      <c r="R1262" t="s">
        <v>45</v>
      </c>
      <c r="S1262" s="6">
        <v>11416</v>
      </c>
      <c r="T1262">
        <v>17802</v>
      </c>
      <c r="U1262">
        <v>0</v>
      </c>
      <c r="V1262" t="s">
        <v>39</v>
      </c>
      <c r="W1262" t="s">
        <v>32</v>
      </c>
      <c r="X1262">
        <v>12</v>
      </c>
      <c r="Y1262">
        <v>3</v>
      </c>
      <c r="Z1262">
        <v>3</v>
      </c>
      <c r="AA1262">
        <v>80</v>
      </c>
      <c r="AB1262">
        <v>3</v>
      </c>
      <c r="AC1262">
        <v>9</v>
      </c>
      <c r="AD1262">
        <v>4</v>
      </c>
      <c r="AE1262">
        <v>2</v>
      </c>
      <c r="AF1262">
        <v>8</v>
      </c>
      <c r="AG1262">
        <v>7</v>
      </c>
      <c r="AH1262">
        <v>1</v>
      </c>
      <c r="AI1262">
        <v>7</v>
      </c>
    </row>
    <row r="1263" spans="1:35" x14ac:dyDescent="0.3">
      <c r="A1263">
        <v>38</v>
      </c>
      <c r="B1263" t="s">
        <v>40</v>
      </c>
      <c r="C1263" t="s">
        <v>33</v>
      </c>
      <c r="D1263">
        <v>343</v>
      </c>
      <c r="E1263" t="s">
        <v>42</v>
      </c>
      <c r="F1263">
        <v>15</v>
      </c>
      <c r="G1263">
        <v>2</v>
      </c>
      <c r="H1263" t="s">
        <v>35</v>
      </c>
      <c r="I1263">
        <v>1</v>
      </c>
      <c r="J1263">
        <v>461</v>
      </c>
      <c r="K1263">
        <v>3</v>
      </c>
      <c r="L1263" s="17" t="s">
        <v>43</v>
      </c>
      <c r="M1263">
        <v>92</v>
      </c>
      <c r="N1263">
        <v>2</v>
      </c>
      <c r="O1263">
        <v>3</v>
      </c>
      <c r="P1263" t="s">
        <v>55</v>
      </c>
      <c r="Q1263">
        <v>4</v>
      </c>
      <c r="R1263" t="s">
        <v>49</v>
      </c>
      <c r="S1263" s="6">
        <v>11510</v>
      </c>
      <c r="T1263">
        <v>15682</v>
      </c>
      <c r="U1263">
        <v>0</v>
      </c>
      <c r="V1263" t="s">
        <v>39</v>
      </c>
      <c r="W1263" t="s">
        <v>32</v>
      </c>
      <c r="X1263">
        <v>14</v>
      </c>
      <c r="Y1263">
        <v>3</v>
      </c>
      <c r="Z1263">
        <v>2</v>
      </c>
      <c r="AA1263">
        <v>80</v>
      </c>
      <c r="AB1263">
        <v>1</v>
      </c>
      <c r="AC1263">
        <v>12</v>
      </c>
      <c r="AD1263">
        <v>3</v>
      </c>
      <c r="AE1263">
        <v>3</v>
      </c>
      <c r="AF1263">
        <v>11</v>
      </c>
      <c r="AG1263">
        <v>10</v>
      </c>
      <c r="AH1263">
        <v>2</v>
      </c>
      <c r="AI1263">
        <v>9</v>
      </c>
    </row>
    <row r="1264" spans="1:35" x14ac:dyDescent="0.3">
      <c r="A1264">
        <v>31</v>
      </c>
      <c r="B1264" t="s">
        <v>40</v>
      </c>
      <c r="C1264" t="s">
        <v>33</v>
      </c>
      <c r="D1264">
        <v>688</v>
      </c>
      <c r="E1264" t="s">
        <v>34</v>
      </c>
      <c r="F1264">
        <v>7</v>
      </c>
      <c r="G1264">
        <v>3</v>
      </c>
      <c r="H1264" t="s">
        <v>35</v>
      </c>
      <c r="I1264">
        <v>1</v>
      </c>
      <c r="J1264">
        <v>613</v>
      </c>
      <c r="K1264">
        <v>3</v>
      </c>
      <c r="L1264" s="17" t="s">
        <v>43</v>
      </c>
      <c r="M1264">
        <v>44</v>
      </c>
      <c r="N1264">
        <v>2</v>
      </c>
      <c r="O1264">
        <v>3</v>
      </c>
      <c r="P1264" t="s">
        <v>53</v>
      </c>
      <c r="Q1264">
        <v>4</v>
      </c>
      <c r="R1264" t="s">
        <v>49</v>
      </c>
      <c r="S1264" s="6">
        <v>11557</v>
      </c>
      <c r="T1264">
        <v>25291</v>
      </c>
      <c r="U1264">
        <v>9</v>
      </c>
      <c r="V1264" t="s">
        <v>39</v>
      </c>
      <c r="W1264" t="s">
        <v>40</v>
      </c>
      <c r="X1264">
        <v>21</v>
      </c>
      <c r="Y1264">
        <v>4</v>
      </c>
      <c r="Z1264">
        <v>3</v>
      </c>
      <c r="AA1264">
        <v>80</v>
      </c>
      <c r="AB1264">
        <v>1</v>
      </c>
      <c r="AC1264">
        <v>10</v>
      </c>
      <c r="AD1264">
        <v>3</v>
      </c>
      <c r="AE1264">
        <v>2</v>
      </c>
      <c r="AF1264">
        <v>5</v>
      </c>
      <c r="AG1264">
        <v>4</v>
      </c>
      <c r="AH1264">
        <v>0</v>
      </c>
      <c r="AI1264">
        <v>1</v>
      </c>
    </row>
    <row r="1265" spans="1:35" x14ac:dyDescent="0.3">
      <c r="A1265">
        <v>34</v>
      </c>
      <c r="B1265" t="s">
        <v>40</v>
      </c>
      <c r="C1265" t="s">
        <v>33</v>
      </c>
      <c r="D1265">
        <v>1354</v>
      </c>
      <c r="E1265" t="s">
        <v>42</v>
      </c>
      <c r="F1265">
        <v>5</v>
      </c>
      <c r="G1265">
        <v>3</v>
      </c>
      <c r="H1265" t="s">
        <v>48</v>
      </c>
      <c r="I1265">
        <v>1</v>
      </c>
      <c r="J1265">
        <v>153</v>
      </c>
      <c r="K1265">
        <v>3</v>
      </c>
      <c r="L1265" s="17" t="s">
        <v>36</v>
      </c>
      <c r="M1265">
        <v>45</v>
      </c>
      <c r="N1265">
        <v>2</v>
      </c>
      <c r="O1265">
        <v>3</v>
      </c>
      <c r="P1265" t="s">
        <v>53</v>
      </c>
      <c r="Q1265">
        <v>1</v>
      </c>
      <c r="R1265" t="s">
        <v>38</v>
      </c>
      <c r="S1265" s="6">
        <v>11631</v>
      </c>
      <c r="T1265">
        <v>5615</v>
      </c>
      <c r="U1265">
        <v>2</v>
      </c>
      <c r="V1265" t="s">
        <v>39</v>
      </c>
      <c r="W1265" t="s">
        <v>40</v>
      </c>
      <c r="X1265">
        <v>12</v>
      </c>
      <c r="Y1265">
        <v>3</v>
      </c>
      <c r="Z1265">
        <v>4</v>
      </c>
      <c r="AA1265">
        <v>80</v>
      </c>
      <c r="AB1265">
        <v>0</v>
      </c>
      <c r="AC1265">
        <v>14</v>
      </c>
      <c r="AD1265">
        <v>6</v>
      </c>
      <c r="AE1265">
        <v>3</v>
      </c>
      <c r="AF1265">
        <v>11</v>
      </c>
      <c r="AG1265">
        <v>10</v>
      </c>
      <c r="AH1265">
        <v>5</v>
      </c>
      <c r="AI1265">
        <v>8</v>
      </c>
    </row>
    <row r="1266" spans="1:35" x14ac:dyDescent="0.3">
      <c r="A1266">
        <v>33</v>
      </c>
      <c r="B1266" t="s">
        <v>40</v>
      </c>
      <c r="C1266" t="s">
        <v>33</v>
      </c>
      <c r="D1266">
        <v>213</v>
      </c>
      <c r="E1266" t="s">
        <v>42</v>
      </c>
      <c r="F1266">
        <v>7</v>
      </c>
      <c r="G1266">
        <v>3</v>
      </c>
      <c r="H1266" t="s">
        <v>48</v>
      </c>
      <c r="I1266">
        <v>1</v>
      </c>
      <c r="J1266">
        <v>817</v>
      </c>
      <c r="K1266">
        <v>3</v>
      </c>
      <c r="L1266" s="17" t="s">
        <v>43</v>
      </c>
      <c r="M1266">
        <v>49</v>
      </c>
      <c r="N1266">
        <v>3</v>
      </c>
      <c r="O1266">
        <v>3</v>
      </c>
      <c r="P1266" t="s">
        <v>55</v>
      </c>
      <c r="Q1266">
        <v>3</v>
      </c>
      <c r="R1266" t="s">
        <v>45</v>
      </c>
      <c r="S1266" s="6">
        <v>11691</v>
      </c>
      <c r="T1266">
        <v>25995</v>
      </c>
      <c r="U1266">
        <v>0</v>
      </c>
      <c r="V1266" t="s">
        <v>39</v>
      </c>
      <c r="W1266" t="s">
        <v>40</v>
      </c>
      <c r="X1266">
        <v>11</v>
      </c>
      <c r="Y1266">
        <v>3</v>
      </c>
      <c r="Z1266">
        <v>4</v>
      </c>
      <c r="AA1266">
        <v>80</v>
      </c>
      <c r="AB1266">
        <v>0</v>
      </c>
      <c r="AC1266">
        <v>14</v>
      </c>
      <c r="AD1266">
        <v>3</v>
      </c>
      <c r="AE1266">
        <v>4</v>
      </c>
      <c r="AF1266">
        <v>13</v>
      </c>
      <c r="AG1266">
        <v>9</v>
      </c>
      <c r="AH1266">
        <v>3</v>
      </c>
      <c r="AI1266">
        <v>7</v>
      </c>
    </row>
    <row r="1267" spans="1:35" x14ac:dyDescent="0.3">
      <c r="A1267">
        <v>36</v>
      </c>
      <c r="B1267" t="s">
        <v>40</v>
      </c>
      <c r="C1267" t="s">
        <v>52</v>
      </c>
      <c r="D1267">
        <v>427</v>
      </c>
      <c r="E1267" t="s">
        <v>42</v>
      </c>
      <c r="F1267">
        <v>8</v>
      </c>
      <c r="G1267">
        <v>3</v>
      </c>
      <c r="H1267" t="s">
        <v>35</v>
      </c>
      <c r="I1267">
        <v>1</v>
      </c>
      <c r="J1267">
        <v>742</v>
      </c>
      <c r="K1267">
        <v>1</v>
      </c>
      <c r="L1267" s="17" t="s">
        <v>36</v>
      </c>
      <c r="M1267">
        <v>63</v>
      </c>
      <c r="N1267">
        <v>4</v>
      </c>
      <c r="O1267">
        <v>3</v>
      </c>
      <c r="P1267" t="s">
        <v>55</v>
      </c>
      <c r="Q1267">
        <v>1</v>
      </c>
      <c r="R1267" t="s">
        <v>45</v>
      </c>
      <c r="S1267" s="6">
        <v>11713</v>
      </c>
      <c r="T1267">
        <v>20335</v>
      </c>
      <c r="U1267">
        <v>9</v>
      </c>
      <c r="V1267" t="s">
        <v>39</v>
      </c>
      <c r="W1267" t="s">
        <v>40</v>
      </c>
      <c r="X1267">
        <v>14</v>
      </c>
      <c r="Y1267">
        <v>3</v>
      </c>
      <c r="Z1267">
        <v>1</v>
      </c>
      <c r="AA1267">
        <v>80</v>
      </c>
      <c r="AB1267">
        <v>1</v>
      </c>
      <c r="AC1267">
        <v>10</v>
      </c>
      <c r="AD1267">
        <v>2</v>
      </c>
      <c r="AE1267">
        <v>3</v>
      </c>
      <c r="AF1267">
        <v>8</v>
      </c>
      <c r="AG1267">
        <v>7</v>
      </c>
      <c r="AH1267">
        <v>0</v>
      </c>
      <c r="AI1267">
        <v>5</v>
      </c>
    </row>
    <row r="1268" spans="1:35" x14ac:dyDescent="0.3">
      <c r="A1268">
        <v>53</v>
      </c>
      <c r="B1268" t="s">
        <v>40</v>
      </c>
      <c r="C1268" t="s">
        <v>33</v>
      </c>
      <c r="D1268">
        <v>868</v>
      </c>
      <c r="E1268" t="s">
        <v>34</v>
      </c>
      <c r="F1268">
        <v>8</v>
      </c>
      <c r="G1268">
        <v>3</v>
      </c>
      <c r="H1268" t="s">
        <v>56</v>
      </c>
      <c r="I1268">
        <v>1</v>
      </c>
      <c r="J1268">
        <v>897</v>
      </c>
      <c r="K1268">
        <v>1</v>
      </c>
      <c r="L1268" s="17" t="s">
        <v>43</v>
      </c>
      <c r="M1268">
        <v>73</v>
      </c>
      <c r="N1268">
        <v>3</v>
      </c>
      <c r="O1268">
        <v>4</v>
      </c>
      <c r="P1268" t="s">
        <v>37</v>
      </c>
      <c r="Q1268">
        <v>4</v>
      </c>
      <c r="R1268" t="s">
        <v>45</v>
      </c>
      <c r="S1268" s="6">
        <v>11836</v>
      </c>
      <c r="T1268">
        <v>22789</v>
      </c>
      <c r="U1268">
        <v>5</v>
      </c>
      <c r="V1268" t="s">
        <v>39</v>
      </c>
      <c r="W1268" t="s">
        <v>40</v>
      </c>
      <c r="X1268">
        <v>14</v>
      </c>
      <c r="Y1268">
        <v>3</v>
      </c>
      <c r="Z1268">
        <v>3</v>
      </c>
      <c r="AA1268">
        <v>80</v>
      </c>
      <c r="AB1268">
        <v>1</v>
      </c>
      <c r="AC1268">
        <v>28</v>
      </c>
      <c r="AD1268">
        <v>3</v>
      </c>
      <c r="AE1268">
        <v>3</v>
      </c>
      <c r="AF1268">
        <v>2</v>
      </c>
      <c r="AG1268">
        <v>0</v>
      </c>
      <c r="AH1268">
        <v>2</v>
      </c>
      <c r="AI1268">
        <v>2</v>
      </c>
    </row>
    <row r="1269" spans="1:35" x14ac:dyDescent="0.3">
      <c r="A1269">
        <v>47</v>
      </c>
      <c r="B1269" t="s">
        <v>32</v>
      </c>
      <c r="C1269" t="s">
        <v>52</v>
      </c>
      <c r="D1269">
        <v>666</v>
      </c>
      <c r="E1269" t="s">
        <v>42</v>
      </c>
      <c r="F1269">
        <v>29</v>
      </c>
      <c r="G1269">
        <v>4</v>
      </c>
      <c r="H1269" t="s">
        <v>35</v>
      </c>
      <c r="I1269">
        <v>1</v>
      </c>
      <c r="J1269">
        <v>376</v>
      </c>
      <c r="K1269">
        <v>1</v>
      </c>
      <c r="L1269" s="17" t="s">
        <v>43</v>
      </c>
      <c r="M1269">
        <v>88</v>
      </c>
      <c r="N1269">
        <v>3</v>
      </c>
      <c r="O1269">
        <v>3</v>
      </c>
      <c r="P1269" t="s">
        <v>53</v>
      </c>
      <c r="Q1269">
        <v>2</v>
      </c>
      <c r="R1269" t="s">
        <v>45</v>
      </c>
      <c r="S1269" s="6">
        <v>11849</v>
      </c>
      <c r="T1269">
        <v>10268</v>
      </c>
      <c r="U1269">
        <v>1</v>
      </c>
      <c r="V1269" t="s">
        <v>39</v>
      </c>
      <c r="W1269" t="s">
        <v>32</v>
      </c>
      <c r="X1269">
        <v>12</v>
      </c>
      <c r="Y1269">
        <v>3</v>
      </c>
      <c r="Z1269">
        <v>4</v>
      </c>
      <c r="AA1269">
        <v>80</v>
      </c>
      <c r="AB1269">
        <v>1</v>
      </c>
      <c r="AC1269">
        <v>10</v>
      </c>
      <c r="AD1269">
        <v>2</v>
      </c>
      <c r="AE1269">
        <v>2</v>
      </c>
      <c r="AF1269">
        <v>10</v>
      </c>
      <c r="AG1269">
        <v>7</v>
      </c>
      <c r="AH1269">
        <v>9</v>
      </c>
      <c r="AI1269">
        <v>9</v>
      </c>
    </row>
    <row r="1270" spans="1:35" x14ac:dyDescent="0.3">
      <c r="A1270">
        <v>33</v>
      </c>
      <c r="B1270" t="s">
        <v>40</v>
      </c>
      <c r="C1270" t="s">
        <v>41</v>
      </c>
      <c r="D1270">
        <v>553</v>
      </c>
      <c r="E1270" t="s">
        <v>42</v>
      </c>
      <c r="F1270">
        <v>5</v>
      </c>
      <c r="G1270">
        <v>4</v>
      </c>
      <c r="H1270" t="s">
        <v>35</v>
      </c>
      <c r="I1270">
        <v>1</v>
      </c>
      <c r="J1270">
        <v>428</v>
      </c>
      <c r="K1270">
        <v>4</v>
      </c>
      <c r="L1270" s="17" t="s">
        <v>36</v>
      </c>
      <c r="M1270">
        <v>74</v>
      </c>
      <c r="N1270">
        <v>3</v>
      </c>
      <c r="O1270">
        <v>3</v>
      </c>
      <c r="P1270" t="s">
        <v>53</v>
      </c>
      <c r="Q1270">
        <v>2</v>
      </c>
      <c r="R1270" t="s">
        <v>45</v>
      </c>
      <c r="S1270" s="6">
        <v>11878</v>
      </c>
      <c r="T1270">
        <v>23364</v>
      </c>
      <c r="U1270">
        <v>6</v>
      </c>
      <c r="V1270" t="s">
        <v>39</v>
      </c>
      <c r="W1270" t="s">
        <v>40</v>
      </c>
      <c r="X1270">
        <v>11</v>
      </c>
      <c r="Y1270">
        <v>3</v>
      </c>
      <c r="Z1270">
        <v>2</v>
      </c>
      <c r="AA1270">
        <v>80</v>
      </c>
      <c r="AB1270">
        <v>2</v>
      </c>
      <c r="AC1270">
        <v>12</v>
      </c>
      <c r="AD1270">
        <v>2</v>
      </c>
      <c r="AE1270">
        <v>3</v>
      </c>
      <c r="AF1270">
        <v>10</v>
      </c>
      <c r="AG1270">
        <v>6</v>
      </c>
      <c r="AH1270">
        <v>8</v>
      </c>
      <c r="AI1270">
        <v>8</v>
      </c>
    </row>
    <row r="1271" spans="1:35" x14ac:dyDescent="0.3">
      <c r="A1271">
        <v>59</v>
      </c>
      <c r="B1271" t="s">
        <v>40</v>
      </c>
      <c r="C1271" t="s">
        <v>33</v>
      </c>
      <c r="D1271">
        <v>1089</v>
      </c>
      <c r="E1271" t="s">
        <v>34</v>
      </c>
      <c r="F1271">
        <v>1</v>
      </c>
      <c r="G1271">
        <v>2</v>
      </c>
      <c r="H1271" t="s">
        <v>57</v>
      </c>
      <c r="I1271">
        <v>1</v>
      </c>
      <c r="J1271">
        <v>1048</v>
      </c>
      <c r="K1271">
        <v>2</v>
      </c>
      <c r="L1271" s="17" t="s">
        <v>43</v>
      </c>
      <c r="M1271">
        <v>66</v>
      </c>
      <c r="N1271">
        <v>3</v>
      </c>
      <c r="O1271">
        <v>3</v>
      </c>
      <c r="P1271" t="s">
        <v>53</v>
      </c>
      <c r="Q1271">
        <v>4</v>
      </c>
      <c r="R1271" t="s">
        <v>45</v>
      </c>
      <c r="S1271" s="6">
        <v>11904</v>
      </c>
      <c r="T1271">
        <v>11038</v>
      </c>
      <c r="U1271">
        <v>3</v>
      </c>
      <c r="V1271" t="s">
        <v>39</v>
      </c>
      <c r="W1271" t="s">
        <v>32</v>
      </c>
      <c r="X1271">
        <v>14</v>
      </c>
      <c r="Y1271">
        <v>3</v>
      </c>
      <c r="Z1271">
        <v>3</v>
      </c>
      <c r="AA1271">
        <v>80</v>
      </c>
      <c r="AB1271">
        <v>1</v>
      </c>
      <c r="AC1271">
        <v>14</v>
      </c>
      <c r="AD1271">
        <v>1</v>
      </c>
      <c r="AE1271">
        <v>1</v>
      </c>
      <c r="AF1271">
        <v>6</v>
      </c>
      <c r="AG1271">
        <v>4</v>
      </c>
      <c r="AH1271">
        <v>0</v>
      </c>
      <c r="AI1271">
        <v>4</v>
      </c>
    </row>
    <row r="1272" spans="1:35" x14ac:dyDescent="0.3">
      <c r="A1272">
        <v>30</v>
      </c>
      <c r="B1272" t="s">
        <v>40</v>
      </c>
      <c r="C1272" t="s">
        <v>33</v>
      </c>
      <c r="D1272">
        <v>634</v>
      </c>
      <c r="E1272" t="s">
        <v>42</v>
      </c>
      <c r="F1272">
        <v>17</v>
      </c>
      <c r="G1272">
        <v>4</v>
      </c>
      <c r="H1272" t="s">
        <v>48</v>
      </c>
      <c r="I1272">
        <v>1</v>
      </c>
      <c r="J1272">
        <v>1321</v>
      </c>
      <c r="K1272">
        <v>2</v>
      </c>
      <c r="L1272" s="17" t="s">
        <v>36</v>
      </c>
      <c r="M1272">
        <v>95</v>
      </c>
      <c r="N1272">
        <v>3</v>
      </c>
      <c r="O1272">
        <v>3</v>
      </c>
      <c r="P1272" t="s">
        <v>53</v>
      </c>
      <c r="Q1272">
        <v>1</v>
      </c>
      <c r="R1272" t="s">
        <v>45</v>
      </c>
      <c r="S1272" s="6">
        <v>11916</v>
      </c>
      <c r="T1272">
        <v>25927</v>
      </c>
      <c r="U1272">
        <v>1</v>
      </c>
      <c r="V1272" t="s">
        <v>39</v>
      </c>
      <c r="W1272" t="s">
        <v>32</v>
      </c>
      <c r="X1272">
        <v>23</v>
      </c>
      <c r="Y1272">
        <v>4</v>
      </c>
      <c r="Z1272">
        <v>4</v>
      </c>
      <c r="AA1272">
        <v>80</v>
      </c>
      <c r="AB1272">
        <v>2</v>
      </c>
      <c r="AC1272">
        <v>9</v>
      </c>
      <c r="AD1272">
        <v>2</v>
      </c>
      <c r="AE1272">
        <v>3</v>
      </c>
      <c r="AF1272">
        <v>9</v>
      </c>
      <c r="AG1272">
        <v>1</v>
      </c>
      <c r="AH1272">
        <v>0</v>
      </c>
      <c r="AI1272">
        <v>8</v>
      </c>
    </row>
    <row r="1273" spans="1:35" x14ac:dyDescent="0.3">
      <c r="A1273">
        <v>29</v>
      </c>
      <c r="B1273" t="s">
        <v>40</v>
      </c>
      <c r="C1273" t="s">
        <v>33</v>
      </c>
      <c r="D1273">
        <v>986</v>
      </c>
      <c r="E1273" t="s">
        <v>42</v>
      </c>
      <c r="F1273">
        <v>3</v>
      </c>
      <c r="G1273">
        <v>4</v>
      </c>
      <c r="H1273" t="s">
        <v>48</v>
      </c>
      <c r="I1273">
        <v>1</v>
      </c>
      <c r="J1273">
        <v>564</v>
      </c>
      <c r="K1273">
        <v>2</v>
      </c>
      <c r="L1273" s="17" t="s">
        <v>43</v>
      </c>
      <c r="M1273">
        <v>93</v>
      </c>
      <c r="N1273">
        <v>2</v>
      </c>
      <c r="O1273">
        <v>3</v>
      </c>
      <c r="P1273" t="s">
        <v>55</v>
      </c>
      <c r="Q1273">
        <v>3</v>
      </c>
      <c r="R1273" t="s">
        <v>45</v>
      </c>
      <c r="S1273" s="6">
        <v>11935</v>
      </c>
      <c r="T1273">
        <v>21526</v>
      </c>
      <c r="U1273">
        <v>1</v>
      </c>
      <c r="V1273" t="s">
        <v>39</v>
      </c>
      <c r="W1273" t="s">
        <v>40</v>
      </c>
      <c r="X1273">
        <v>18</v>
      </c>
      <c r="Y1273">
        <v>3</v>
      </c>
      <c r="Z1273">
        <v>3</v>
      </c>
      <c r="AA1273">
        <v>80</v>
      </c>
      <c r="AB1273">
        <v>0</v>
      </c>
      <c r="AC1273">
        <v>10</v>
      </c>
      <c r="AD1273">
        <v>2</v>
      </c>
      <c r="AE1273">
        <v>3</v>
      </c>
      <c r="AF1273">
        <v>10</v>
      </c>
      <c r="AG1273">
        <v>2</v>
      </c>
      <c r="AH1273">
        <v>0</v>
      </c>
      <c r="AI1273">
        <v>7</v>
      </c>
    </row>
    <row r="1274" spans="1:35" x14ac:dyDescent="0.3">
      <c r="A1274">
        <v>47</v>
      </c>
      <c r="B1274" t="s">
        <v>40</v>
      </c>
      <c r="C1274" t="s">
        <v>52</v>
      </c>
      <c r="D1274">
        <v>1162</v>
      </c>
      <c r="E1274" t="s">
        <v>42</v>
      </c>
      <c r="F1274">
        <v>1</v>
      </c>
      <c r="G1274">
        <v>1</v>
      </c>
      <c r="H1274" t="s">
        <v>48</v>
      </c>
      <c r="I1274">
        <v>1</v>
      </c>
      <c r="J1274">
        <v>2000</v>
      </c>
      <c r="K1274">
        <v>3</v>
      </c>
      <c r="L1274" s="17" t="s">
        <v>36</v>
      </c>
      <c r="M1274">
        <v>98</v>
      </c>
      <c r="N1274">
        <v>3</v>
      </c>
      <c r="O1274">
        <v>3</v>
      </c>
      <c r="P1274" t="s">
        <v>55</v>
      </c>
      <c r="Q1274">
        <v>2</v>
      </c>
      <c r="R1274" t="s">
        <v>45</v>
      </c>
      <c r="S1274" s="6">
        <v>11957</v>
      </c>
      <c r="T1274">
        <v>17231</v>
      </c>
      <c r="U1274">
        <v>0</v>
      </c>
      <c r="V1274" t="s">
        <v>39</v>
      </c>
      <c r="W1274" t="s">
        <v>40</v>
      </c>
      <c r="X1274">
        <v>18</v>
      </c>
      <c r="Y1274">
        <v>3</v>
      </c>
      <c r="Z1274">
        <v>1</v>
      </c>
      <c r="AA1274">
        <v>80</v>
      </c>
      <c r="AB1274">
        <v>2</v>
      </c>
      <c r="AC1274">
        <v>14</v>
      </c>
      <c r="AD1274">
        <v>3</v>
      </c>
      <c r="AE1274">
        <v>1</v>
      </c>
      <c r="AF1274">
        <v>13</v>
      </c>
      <c r="AG1274">
        <v>8</v>
      </c>
      <c r="AH1274">
        <v>5</v>
      </c>
      <c r="AI1274">
        <v>12</v>
      </c>
    </row>
    <row r="1275" spans="1:35" x14ac:dyDescent="0.3">
      <c r="A1275">
        <v>34</v>
      </c>
      <c r="B1275" t="s">
        <v>40</v>
      </c>
      <c r="C1275" t="s">
        <v>33</v>
      </c>
      <c r="D1275">
        <v>419</v>
      </c>
      <c r="E1275" t="s">
        <v>42</v>
      </c>
      <c r="F1275">
        <v>7</v>
      </c>
      <c r="G1275">
        <v>4</v>
      </c>
      <c r="H1275" t="s">
        <v>35</v>
      </c>
      <c r="I1275">
        <v>1</v>
      </c>
      <c r="J1275">
        <v>28</v>
      </c>
      <c r="K1275">
        <v>1</v>
      </c>
      <c r="L1275" s="17" t="s">
        <v>36</v>
      </c>
      <c r="M1275">
        <v>53</v>
      </c>
      <c r="N1275">
        <v>3</v>
      </c>
      <c r="O1275">
        <v>3</v>
      </c>
      <c r="P1275" t="s">
        <v>55</v>
      </c>
      <c r="Q1275">
        <v>2</v>
      </c>
      <c r="R1275" t="s">
        <v>38</v>
      </c>
      <c r="S1275" s="6">
        <v>11994</v>
      </c>
      <c r="T1275">
        <v>21293</v>
      </c>
      <c r="U1275">
        <v>0</v>
      </c>
      <c r="V1275" t="s">
        <v>39</v>
      </c>
      <c r="W1275" t="s">
        <v>40</v>
      </c>
      <c r="X1275">
        <v>11</v>
      </c>
      <c r="Y1275">
        <v>3</v>
      </c>
      <c r="Z1275">
        <v>3</v>
      </c>
      <c r="AA1275">
        <v>80</v>
      </c>
      <c r="AB1275">
        <v>0</v>
      </c>
      <c r="AC1275">
        <v>13</v>
      </c>
      <c r="AD1275">
        <v>4</v>
      </c>
      <c r="AE1275">
        <v>3</v>
      </c>
      <c r="AF1275">
        <v>12</v>
      </c>
      <c r="AG1275">
        <v>6</v>
      </c>
      <c r="AH1275">
        <v>2</v>
      </c>
      <c r="AI1275">
        <v>11</v>
      </c>
    </row>
    <row r="1276" spans="1:35" x14ac:dyDescent="0.3">
      <c r="A1276">
        <v>35</v>
      </c>
      <c r="B1276" t="s">
        <v>40</v>
      </c>
      <c r="C1276" t="s">
        <v>33</v>
      </c>
      <c r="D1276">
        <v>1315</v>
      </c>
      <c r="E1276" t="s">
        <v>42</v>
      </c>
      <c r="F1276">
        <v>22</v>
      </c>
      <c r="G1276">
        <v>3</v>
      </c>
      <c r="H1276" t="s">
        <v>35</v>
      </c>
      <c r="I1276">
        <v>1</v>
      </c>
      <c r="J1276">
        <v>381</v>
      </c>
      <c r="K1276">
        <v>2</v>
      </c>
      <c r="L1276" s="17" t="s">
        <v>36</v>
      </c>
      <c r="M1276">
        <v>71</v>
      </c>
      <c r="N1276">
        <v>4</v>
      </c>
      <c r="O1276">
        <v>3</v>
      </c>
      <c r="P1276" t="s">
        <v>53</v>
      </c>
      <c r="Q1276">
        <v>2</v>
      </c>
      <c r="R1276" t="s">
        <v>49</v>
      </c>
      <c r="S1276" s="6">
        <v>11996</v>
      </c>
      <c r="T1276">
        <v>19100</v>
      </c>
      <c r="U1276">
        <v>7</v>
      </c>
      <c r="V1276" t="s">
        <v>39</v>
      </c>
      <c r="W1276" t="s">
        <v>40</v>
      </c>
      <c r="X1276">
        <v>18</v>
      </c>
      <c r="Y1276">
        <v>3</v>
      </c>
      <c r="Z1276">
        <v>2</v>
      </c>
      <c r="AA1276">
        <v>80</v>
      </c>
      <c r="AB1276">
        <v>1</v>
      </c>
      <c r="AC1276">
        <v>10</v>
      </c>
      <c r="AD1276">
        <v>6</v>
      </c>
      <c r="AE1276">
        <v>2</v>
      </c>
      <c r="AF1276">
        <v>7</v>
      </c>
      <c r="AG1276">
        <v>7</v>
      </c>
      <c r="AH1276">
        <v>6</v>
      </c>
      <c r="AI1276">
        <v>2</v>
      </c>
    </row>
    <row r="1277" spans="1:35" x14ac:dyDescent="0.3">
      <c r="A1277">
        <v>39</v>
      </c>
      <c r="B1277" t="s">
        <v>40</v>
      </c>
      <c r="C1277" t="s">
        <v>33</v>
      </c>
      <c r="D1277">
        <v>722</v>
      </c>
      <c r="E1277" t="s">
        <v>34</v>
      </c>
      <c r="F1277">
        <v>24</v>
      </c>
      <c r="G1277">
        <v>1</v>
      </c>
      <c r="H1277" t="s">
        <v>56</v>
      </c>
      <c r="I1277">
        <v>1</v>
      </c>
      <c r="J1277">
        <v>2056</v>
      </c>
      <c r="K1277">
        <v>2</v>
      </c>
      <c r="L1277" s="17" t="s">
        <v>36</v>
      </c>
      <c r="M1277">
        <v>60</v>
      </c>
      <c r="N1277">
        <v>2</v>
      </c>
      <c r="O1277">
        <v>4</v>
      </c>
      <c r="P1277" t="s">
        <v>37</v>
      </c>
      <c r="Q1277">
        <v>4</v>
      </c>
      <c r="R1277" t="s">
        <v>45</v>
      </c>
      <c r="S1277" s="6">
        <v>12031</v>
      </c>
      <c r="T1277">
        <v>8828</v>
      </c>
      <c r="U1277">
        <v>0</v>
      </c>
      <c r="V1277" t="s">
        <v>39</v>
      </c>
      <c r="W1277" t="s">
        <v>40</v>
      </c>
      <c r="X1277">
        <v>11</v>
      </c>
      <c r="Y1277">
        <v>3</v>
      </c>
      <c r="Z1277">
        <v>1</v>
      </c>
      <c r="AA1277">
        <v>80</v>
      </c>
      <c r="AB1277">
        <v>1</v>
      </c>
      <c r="AC1277">
        <v>21</v>
      </c>
      <c r="AD1277">
        <v>2</v>
      </c>
      <c r="AE1277">
        <v>2</v>
      </c>
      <c r="AF1277">
        <v>20</v>
      </c>
      <c r="AG1277">
        <v>9</v>
      </c>
      <c r="AH1277">
        <v>9</v>
      </c>
      <c r="AI1277">
        <v>6</v>
      </c>
    </row>
    <row r="1278" spans="1:35" x14ac:dyDescent="0.3">
      <c r="A1278">
        <v>38</v>
      </c>
      <c r="B1278" t="s">
        <v>40</v>
      </c>
      <c r="C1278" t="s">
        <v>33</v>
      </c>
      <c r="D1278">
        <v>849</v>
      </c>
      <c r="E1278" t="s">
        <v>42</v>
      </c>
      <c r="F1278">
        <v>25</v>
      </c>
      <c r="G1278">
        <v>2</v>
      </c>
      <c r="H1278" t="s">
        <v>35</v>
      </c>
      <c r="I1278">
        <v>1</v>
      </c>
      <c r="J1278">
        <v>421</v>
      </c>
      <c r="K1278">
        <v>1</v>
      </c>
      <c r="L1278" s="17" t="s">
        <v>36</v>
      </c>
      <c r="M1278">
        <v>81</v>
      </c>
      <c r="N1278">
        <v>2</v>
      </c>
      <c r="O1278">
        <v>3</v>
      </c>
      <c r="P1278" t="s">
        <v>55</v>
      </c>
      <c r="Q1278">
        <v>2</v>
      </c>
      <c r="R1278" t="s">
        <v>45</v>
      </c>
      <c r="S1278" s="6">
        <v>12061</v>
      </c>
      <c r="T1278">
        <v>26707</v>
      </c>
      <c r="U1278">
        <v>3</v>
      </c>
      <c r="V1278" t="s">
        <v>39</v>
      </c>
      <c r="W1278" t="s">
        <v>40</v>
      </c>
      <c r="X1278">
        <v>17</v>
      </c>
      <c r="Y1278">
        <v>3</v>
      </c>
      <c r="Z1278">
        <v>3</v>
      </c>
      <c r="AA1278">
        <v>80</v>
      </c>
      <c r="AB1278">
        <v>1</v>
      </c>
      <c r="AC1278">
        <v>19</v>
      </c>
      <c r="AD1278">
        <v>2</v>
      </c>
      <c r="AE1278">
        <v>3</v>
      </c>
      <c r="AF1278">
        <v>10</v>
      </c>
      <c r="AG1278">
        <v>8</v>
      </c>
      <c r="AH1278">
        <v>0</v>
      </c>
      <c r="AI1278">
        <v>1</v>
      </c>
    </row>
    <row r="1279" spans="1:35" x14ac:dyDescent="0.3">
      <c r="A1279">
        <v>39</v>
      </c>
      <c r="B1279" t="s">
        <v>32</v>
      </c>
      <c r="C1279" t="s">
        <v>41</v>
      </c>
      <c r="D1279">
        <v>203</v>
      </c>
      <c r="E1279" t="s">
        <v>42</v>
      </c>
      <c r="F1279">
        <v>2</v>
      </c>
      <c r="G1279">
        <v>3</v>
      </c>
      <c r="H1279" t="s">
        <v>35</v>
      </c>
      <c r="I1279">
        <v>1</v>
      </c>
      <c r="J1279">
        <v>1127</v>
      </c>
      <c r="K1279">
        <v>1</v>
      </c>
      <c r="L1279" s="17" t="s">
        <v>43</v>
      </c>
      <c r="M1279">
        <v>84</v>
      </c>
      <c r="N1279">
        <v>3</v>
      </c>
      <c r="O1279">
        <v>4</v>
      </c>
      <c r="P1279" t="s">
        <v>51</v>
      </c>
      <c r="Q1279">
        <v>4</v>
      </c>
      <c r="R1279" t="s">
        <v>49</v>
      </c>
      <c r="S1279" s="6">
        <v>12169</v>
      </c>
      <c r="T1279">
        <v>13547</v>
      </c>
      <c r="U1279">
        <v>7</v>
      </c>
      <c r="V1279" t="s">
        <v>39</v>
      </c>
      <c r="W1279" t="s">
        <v>40</v>
      </c>
      <c r="X1279">
        <v>11</v>
      </c>
      <c r="Y1279">
        <v>3</v>
      </c>
      <c r="Z1279">
        <v>4</v>
      </c>
      <c r="AA1279">
        <v>80</v>
      </c>
      <c r="AB1279">
        <v>3</v>
      </c>
      <c r="AC1279">
        <v>21</v>
      </c>
      <c r="AD1279">
        <v>4</v>
      </c>
      <c r="AE1279">
        <v>3</v>
      </c>
      <c r="AF1279">
        <v>18</v>
      </c>
      <c r="AG1279">
        <v>7</v>
      </c>
      <c r="AH1279">
        <v>11</v>
      </c>
      <c r="AI1279">
        <v>5</v>
      </c>
    </row>
    <row r="1280" spans="1:35" x14ac:dyDescent="0.3">
      <c r="A1280">
        <v>37</v>
      </c>
      <c r="B1280" t="s">
        <v>40</v>
      </c>
      <c r="C1280" t="s">
        <v>41</v>
      </c>
      <c r="D1280">
        <v>663</v>
      </c>
      <c r="E1280" t="s">
        <v>42</v>
      </c>
      <c r="F1280">
        <v>11</v>
      </c>
      <c r="G1280">
        <v>3</v>
      </c>
      <c r="H1280" t="s">
        <v>46</v>
      </c>
      <c r="I1280">
        <v>1</v>
      </c>
      <c r="J1280">
        <v>306</v>
      </c>
      <c r="K1280">
        <v>2</v>
      </c>
      <c r="L1280" s="17" t="s">
        <v>43</v>
      </c>
      <c r="M1280">
        <v>47</v>
      </c>
      <c r="N1280">
        <v>3</v>
      </c>
      <c r="O1280">
        <v>3</v>
      </c>
      <c r="P1280" t="s">
        <v>55</v>
      </c>
      <c r="Q1280">
        <v>4</v>
      </c>
      <c r="R1280" t="s">
        <v>49</v>
      </c>
      <c r="S1280" s="6">
        <v>12185</v>
      </c>
      <c r="T1280">
        <v>10056</v>
      </c>
      <c r="U1280">
        <v>1</v>
      </c>
      <c r="V1280" t="s">
        <v>39</v>
      </c>
      <c r="W1280" t="s">
        <v>32</v>
      </c>
      <c r="X1280">
        <v>14</v>
      </c>
      <c r="Y1280">
        <v>3</v>
      </c>
      <c r="Z1280">
        <v>3</v>
      </c>
      <c r="AA1280">
        <v>80</v>
      </c>
      <c r="AB1280">
        <v>3</v>
      </c>
      <c r="AC1280">
        <v>10</v>
      </c>
      <c r="AD1280">
        <v>1</v>
      </c>
      <c r="AE1280">
        <v>3</v>
      </c>
      <c r="AF1280">
        <v>10</v>
      </c>
      <c r="AG1280">
        <v>8</v>
      </c>
      <c r="AH1280">
        <v>0</v>
      </c>
      <c r="AI1280">
        <v>7</v>
      </c>
    </row>
    <row r="1281" spans="1:35" x14ac:dyDescent="0.3">
      <c r="A1281">
        <v>51</v>
      </c>
      <c r="B1281" t="s">
        <v>40</v>
      </c>
      <c r="C1281" t="s">
        <v>33</v>
      </c>
      <c r="D1281">
        <v>1469</v>
      </c>
      <c r="E1281" t="s">
        <v>42</v>
      </c>
      <c r="F1281">
        <v>8</v>
      </c>
      <c r="G1281">
        <v>4</v>
      </c>
      <c r="H1281" t="s">
        <v>35</v>
      </c>
      <c r="I1281">
        <v>1</v>
      </c>
      <c r="J1281">
        <v>296</v>
      </c>
      <c r="K1281">
        <v>2</v>
      </c>
      <c r="L1281" s="17" t="s">
        <v>43</v>
      </c>
      <c r="M1281">
        <v>81</v>
      </c>
      <c r="N1281">
        <v>2</v>
      </c>
      <c r="O1281">
        <v>3</v>
      </c>
      <c r="P1281" t="s">
        <v>55</v>
      </c>
      <c r="Q1281">
        <v>2</v>
      </c>
      <c r="R1281" t="s">
        <v>45</v>
      </c>
      <c r="S1281" s="6">
        <v>12490</v>
      </c>
      <c r="T1281">
        <v>15736</v>
      </c>
      <c r="U1281">
        <v>5</v>
      </c>
      <c r="V1281" t="s">
        <v>39</v>
      </c>
      <c r="W1281" t="s">
        <v>40</v>
      </c>
      <c r="X1281">
        <v>16</v>
      </c>
      <c r="Y1281">
        <v>3</v>
      </c>
      <c r="Z1281">
        <v>4</v>
      </c>
      <c r="AA1281">
        <v>80</v>
      </c>
      <c r="AB1281">
        <v>2</v>
      </c>
      <c r="AC1281">
        <v>16</v>
      </c>
      <c r="AD1281">
        <v>5</v>
      </c>
      <c r="AE1281">
        <v>1</v>
      </c>
      <c r="AF1281">
        <v>10</v>
      </c>
      <c r="AG1281">
        <v>9</v>
      </c>
      <c r="AH1281">
        <v>4</v>
      </c>
      <c r="AI1281">
        <v>7</v>
      </c>
    </row>
    <row r="1282" spans="1:35" x14ac:dyDescent="0.3">
      <c r="A1282">
        <v>48</v>
      </c>
      <c r="B1282" t="s">
        <v>40</v>
      </c>
      <c r="C1282" t="s">
        <v>33</v>
      </c>
      <c r="D1282">
        <v>530</v>
      </c>
      <c r="E1282" t="s">
        <v>34</v>
      </c>
      <c r="F1282">
        <v>29</v>
      </c>
      <c r="G1282">
        <v>1</v>
      </c>
      <c r="H1282" t="s">
        <v>48</v>
      </c>
      <c r="I1282">
        <v>1</v>
      </c>
      <c r="J1282">
        <v>473</v>
      </c>
      <c r="K1282">
        <v>1</v>
      </c>
      <c r="L1282" s="17" t="s">
        <v>36</v>
      </c>
      <c r="M1282">
        <v>91</v>
      </c>
      <c r="N1282">
        <v>3</v>
      </c>
      <c r="O1282">
        <v>3</v>
      </c>
      <c r="P1282" t="s">
        <v>53</v>
      </c>
      <c r="Q1282">
        <v>3</v>
      </c>
      <c r="R1282" t="s">
        <v>45</v>
      </c>
      <c r="S1282" s="6">
        <v>12504</v>
      </c>
      <c r="T1282">
        <v>23978</v>
      </c>
      <c r="U1282">
        <v>3</v>
      </c>
      <c r="V1282" t="s">
        <v>39</v>
      </c>
      <c r="W1282" t="s">
        <v>40</v>
      </c>
      <c r="X1282">
        <v>21</v>
      </c>
      <c r="Y1282">
        <v>4</v>
      </c>
      <c r="Z1282">
        <v>2</v>
      </c>
      <c r="AA1282">
        <v>80</v>
      </c>
      <c r="AB1282">
        <v>1</v>
      </c>
      <c r="AC1282">
        <v>15</v>
      </c>
      <c r="AD1282">
        <v>3</v>
      </c>
      <c r="AE1282">
        <v>1</v>
      </c>
      <c r="AF1282">
        <v>0</v>
      </c>
      <c r="AG1282">
        <v>0</v>
      </c>
      <c r="AH1282">
        <v>0</v>
      </c>
      <c r="AI1282">
        <v>0</v>
      </c>
    </row>
    <row r="1283" spans="1:35" x14ac:dyDescent="0.3">
      <c r="A1283">
        <v>39</v>
      </c>
      <c r="B1283" t="s">
        <v>40</v>
      </c>
      <c r="C1283" t="s">
        <v>33</v>
      </c>
      <c r="D1283">
        <v>466</v>
      </c>
      <c r="E1283" t="s">
        <v>42</v>
      </c>
      <c r="F1283">
        <v>1</v>
      </c>
      <c r="G1283">
        <v>1</v>
      </c>
      <c r="H1283" t="s">
        <v>35</v>
      </c>
      <c r="I1283">
        <v>1</v>
      </c>
      <c r="J1283">
        <v>1026</v>
      </c>
      <c r="K1283">
        <v>4</v>
      </c>
      <c r="L1283" s="17" t="s">
        <v>36</v>
      </c>
      <c r="M1283">
        <v>65</v>
      </c>
      <c r="N1283">
        <v>2</v>
      </c>
      <c r="O1283">
        <v>4</v>
      </c>
      <c r="P1283" t="s">
        <v>50</v>
      </c>
      <c r="Q1283">
        <v>4</v>
      </c>
      <c r="R1283" t="s">
        <v>45</v>
      </c>
      <c r="S1283" s="6">
        <v>12742</v>
      </c>
      <c r="T1283">
        <v>7060</v>
      </c>
      <c r="U1283">
        <v>1</v>
      </c>
      <c r="V1283" t="s">
        <v>39</v>
      </c>
      <c r="W1283" t="s">
        <v>40</v>
      </c>
      <c r="X1283">
        <v>16</v>
      </c>
      <c r="Y1283">
        <v>3</v>
      </c>
      <c r="Z1283">
        <v>3</v>
      </c>
      <c r="AA1283">
        <v>80</v>
      </c>
      <c r="AB1283">
        <v>1</v>
      </c>
      <c r="AC1283">
        <v>21</v>
      </c>
      <c r="AD1283">
        <v>3</v>
      </c>
      <c r="AE1283">
        <v>3</v>
      </c>
      <c r="AF1283">
        <v>21</v>
      </c>
      <c r="AG1283">
        <v>6</v>
      </c>
      <c r="AH1283">
        <v>11</v>
      </c>
      <c r="AI1283">
        <v>8</v>
      </c>
    </row>
    <row r="1284" spans="1:35" x14ac:dyDescent="0.3">
      <c r="A1284">
        <v>27</v>
      </c>
      <c r="B1284" t="s">
        <v>40</v>
      </c>
      <c r="C1284" t="s">
        <v>33</v>
      </c>
      <c r="D1284">
        <v>269</v>
      </c>
      <c r="E1284" t="s">
        <v>42</v>
      </c>
      <c r="F1284">
        <v>5</v>
      </c>
      <c r="G1284">
        <v>1</v>
      </c>
      <c r="H1284" t="s">
        <v>57</v>
      </c>
      <c r="I1284">
        <v>1</v>
      </c>
      <c r="J1284">
        <v>844</v>
      </c>
      <c r="K1284">
        <v>3</v>
      </c>
      <c r="L1284" s="17" t="s">
        <v>43</v>
      </c>
      <c r="M1284">
        <v>42</v>
      </c>
      <c r="N1284">
        <v>2</v>
      </c>
      <c r="O1284">
        <v>3</v>
      </c>
      <c r="P1284" t="s">
        <v>55</v>
      </c>
      <c r="Q1284">
        <v>4</v>
      </c>
      <c r="R1284" t="s">
        <v>49</v>
      </c>
      <c r="S1284" s="6">
        <v>12808</v>
      </c>
      <c r="T1284">
        <v>8842</v>
      </c>
      <c r="U1284">
        <v>1</v>
      </c>
      <c r="V1284" t="s">
        <v>39</v>
      </c>
      <c r="W1284" t="s">
        <v>32</v>
      </c>
      <c r="X1284">
        <v>16</v>
      </c>
      <c r="Y1284">
        <v>3</v>
      </c>
      <c r="Z1284">
        <v>2</v>
      </c>
      <c r="AA1284">
        <v>80</v>
      </c>
      <c r="AB1284">
        <v>1</v>
      </c>
      <c r="AC1284">
        <v>9</v>
      </c>
      <c r="AD1284">
        <v>3</v>
      </c>
      <c r="AE1284">
        <v>3</v>
      </c>
      <c r="AF1284">
        <v>9</v>
      </c>
      <c r="AG1284">
        <v>8</v>
      </c>
      <c r="AH1284">
        <v>0</v>
      </c>
      <c r="AI1284">
        <v>8</v>
      </c>
    </row>
    <row r="1285" spans="1:35" x14ac:dyDescent="0.3">
      <c r="A1285">
        <v>47</v>
      </c>
      <c r="B1285" t="s">
        <v>32</v>
      </c>
      <c r="C1285" t="s">
        <v>41</v>
      </c>
      <c r="D1285">
        <v>1093</v>
      </c>
      <c r="E1285" t="s">
        <v>34</v>
      </c>
      <c r="F1285">
        <v>9</v>
      </c>
      <c r="G1285">
        <v>3</v>
      </c>
      <c r="H1285" t="s">
        <v>35</v>
      </c>
      <c r="I1285">
        <v>1</v>
      </c>
      <c r="J1285">
        <v>1716</v>
      </c>
      <c r="K1285">
        <v>3</v>
      </c>
      <c r="L1285" s="17" t="s">
        <v>43</v>
      </c>
      <c r="M1285">
        <v>82</v>
      </c>
      <c r="N1285">
        <v>1</v>
      </c>
      <c r="O1285">
        <v>4</v>
      </c>
      <c r="P1285" t="s">
        <v>37</v>
      </c>
      <c r="Q1285">
        <v>3</v>
      </c>
      <c r="R1285" t="s">
        <v>45</v>
      </c>
      <c r="S1285" s="6">
        <v>12936</v>
      </c>
      <c r="T1285">
        <v>24164</v>
      </c>
      <c r="U1285">
        <v>7</v>
      </c>
      <c r="V1285" t="s">
        <v>39</v>
      </c>
      <c r="W1285" t="s">
        <v>40</v>
      </c>
      <c r="X1285">
        <v>11</v>
      </c>
      <c r="Y1285">
        <v>3</v>
      </c>
      <c r="Z1285">
        <v>3</v>
      </c>
      <c r="AA1285">
        <v>80</v>
      </c>
      <c r="AB1285">
        <v>0</v>
      </c>
      <c r="AC1285">
        <v>25</v>
      </c>
      <c r="AD1285">
        <v>3</v>
      </c>
      <c r="AE1285">
        <v>1</v>
      </c>
      <c r="AF1285">
        <v>23</v>
      </c>
      <c r="AG1285">
        <v>5</v>
      </c>
      <c r="AH1285">
        <v>14</v>
      </c>
      <c r="AI1285">
        <v>10</v>
      </c>
    </row>
    <row r="1286" spans="1:35" x14ac:dyDescent="0.3">
      <c r="A1286">
        <v>53</v>
      </c>
      <c r="B1286" t="s">
        <v>40</v>
      </c>
      <c r="C1286" t="s">
        <v>52</v>
      </c>
      <c r="D1286">
        <v>661</v>
      </c>
      <c r="E1286" t="s">
        <v>42</v>
      </c>
      <c r="F1286">
        <v>1</v>
      </c>
      <c r="G1286">
        <v>4</v>
      </c>
      <c r="H1286" t="s">
        <v>48</v>
      </c>
      <c r="I1286">
        <v>1</v>
      </c>
      <c r="J1286">
        <v>1775</v>
      </c>
      <c r="K1286">
        <v>1</v>
      </c>
      <c r="L1286" s="17" t="s">
        <v>36</v>
      </c>
      <c r="M1286">
        <v>60</v>
      </c>
      <c r="N1286">
        <v>2</v>
      </c>
      <c r="O1286">
        <v>4</v>
      </c>
      <c r="P1286" t="s">
        <v>50</v>
      </c>
      <c r="Q1286">
        <v>3</v>
      </c>
      <c r="R1286" t="s">
        <v>45</v>
      </c>
      <c r="S1286" s="6">
        <v>12965</v>
      </c>
      <c r="T1286">
        <v>22308</v>
      </c>
      <c r="U1286">
        <v>4</v>
      </c>
      <c r="V1286" t="s">
        <v>39</v>
      </c>
      <c r="W1286" t="s">
        <v>32</v>
      </c>
      <c r="X1286">
        <v>20</v>
      </c>
      <c r="Y1286">
        <v>4</v>
      </c>
      <c r="Z1286">
        <v>4</v>
      </c>
      <c r="AA1286">
        <v>80</v>
      </c>
      <c r="AB1286">
        <v>3</v>
      </c>
      <c r="AC1286">
        <v>27</v>
      </c>
      <c r="AD1286">
        <v>2</v>
      </c>
      <c r="AE1286">
        <v>2</v>
      </c>
      <c r="AF1286">
        <v>3</v>
      </c>
      <c r="AG1286">
        <v>2</v>
      </c>
      <c r="AH1286">
        <v>0</v>
      </c>
      <c r="AI1286">
        <v>2</v>
      </c>
    </row>
    <row r="1287" spans="1:35" x14ac:dyDescent="0.3">
      <c r="A1287">
        <v>51</v>
      </c>
      <c r="B1287" t="s">
        <v>40</v>
      </c>
      <c r="C1287" t="s">
        <v>33</v>
      </c>
      <c r="D1287">
        <v>942</v>
      </c>
      <c r="E1287" t="s">
        <v>42</v>
      </c>
      <c r="F1287">
        <v>3</v>
      </c>
      <c r="G1287">
        <v>3</v>
      </c>
      <c r="H1287" t="s">
        <v>57</v>
      </c>
      <c r="I1287">
        <v>1</v>
      </c>
      <c r="J1287">
        <v>1786</v>
      </c>
      <c r="K1287">
        <v>1</v>
      </c>
      <c r="L1287" s="17" t="s">
        <v>36</v>
      </c>
      <c r="M1287">
        <v>53</v>
      </c>
      <c r="N1287">
        <v>3</v>
      </c>
      <c r="O1287">
        <v>3</v>
      </c>
      <c r="P1287" t="s">
        <v>53</v>
      </c>
      <c r="Q1287">
        <v>3</v>
      </c>
      <c r="R1287" t="s">
        <v>45</v>
      </c>
      <c r="S1287" s="6">
        <v>13116</v>
      </c>
      <c r="T1287">
        <v>22984</v>
      </c>
      <c r="U1287">
        <v>2</v>
      </c>
      <c r="V1287" t="s">
        <v>39</v>
      </c>
      <c r="W1287" t="s">
        <v>40</v>
      </c>
      <c r="X1287">
        <v>11</v>
      </c>
      <c r="Y1287">
        <v>3</v>
      </c>
      <c r="Z1287">
        <v>4</v>
      </c>
      <c r="AA1287">
        <v>80</v>
      </c>
      <c r="AB1287">
        <v>0</v>
      </c>
      <c r="AC1287">
        <v>15</v>
      </c>
      <c r="AD1287">
        <v>2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49</v>
      </c>
      <c r="B1288" t="s">
        <v>40</v>
      </c>
      <c r="C1288" t="s">
        <v>33</v>
      </c>
      <c r="D1288">
        <v>174</v>
      </c>
      <c r="E1288" t="s">
        <v>34</v>
      </c>
      <c r="F1288">
        <v>8</v>
      </c>
      <c r="G1288">
        <v>4</v>
      </c>
      <c r="H1288" t="s">
        <v>57</v>
      </c>
      <c r="I1288">
        <v>1</v>
      </c>
      <c r="J1288">
        <v>1138</v>
      </c>
      <c r="K1288">
        <v>4</v>
      </c>
      <c r="L1288" s="17" t="s">
        <v>43</v>
      </c>
      <c r="M1288">
        <v>56</v>
      </c>
      <c r="N1288">
        <v>2</v>
      </c>
      <c r="O1288">
        <v>4</v>
      </c>
      <c r="P1288" t="s">
        <v>37</v>
      </c>
      <c r="Q1288">
        <v>2</v>
      </c>
      <c r="R1288" t="s">
        <v>45</v>
      </c>
      <c r="S1288" s="6">
        <v>13120</v>
      </c>
      <c r="T1288">
        <v>11879</v>
      </c>
      <c r="U1288">
        <v>6</v>
      </c>
      <c r="V1288" t="s">
        <v>39</v>
      </c>
      <c r="W1288" t="s">
        <v>40</v>
      </c>
      <c r="X1288">
        <v>17</v>
      </c>
      <c r="Y1288">
        <v>3</v>
      </c>
      <c r="Z1288">
        <v>2</v>
      </c>
      <c r="AA1288">
        <v>80</v>
      </c>
      <c r="AB1288">
        <v>1</v>
      </c>
      <c r="AC1288">
        <v>22</v>
      </c>
      <c r="AD1288">
        <v>3</v>
      </c>
      <c r="AE1288">
        <v>3</v>
      </c>
      <c r="AF1288">
        <v>9</v>
      </c>
      <c r="AG1288">
        <v>8</v>
      </c>
      <c r="AH1288">
        <v>2</v>
      </c>
      <c r="AI1288">
        <v>3</v>
      </c>
    </row>
    <row r="1289" spans="1:35" x14ac:dyDescent="0.3">
      <c r="A1289">
        <v>51</v>
      </c>
      <c r="B1289" t="s">
        <v>40</v>
      </c>
      <c r="C1289" t="s">
        <v>33</v>
      </c>
      <c r="D1289">
        <v>1405</v>
      </c>
      <c r="E1289" t="s">
        <v>42</v>
      </c>
      <c r="F1289">
        <v>11</v>
      </c>
      <c r="G1289">
        <v>2</v>
      </c>
      <c r="H1289" t="s">
        <v>57</v>
      </c>
      <c r="I1289">
        <v>1</v>
      </c>
      <c r="J1289">
        <v>1367</v>
      </c>
      <c r="K1289">
        <v>4</v>
      </c>
      <c r="L1289" s="17" t="s">
        <v>36</v>
      </c>
      <c r="M1289">
        <v>82</v>
      </c>
      <c r="N1289">
        <v>2</v>
      </c>
      <c r="O1289">
        <v>4</v>
      </c>
      <c r="P1289" t="s">
        <v>50</v>
      </c>
      <c r="Q1289">
        <v>2</v>
      </c>
      <c r="R1289" t="s">
        <v>38</v>
      </c>
      <c r="S1289" s="6">
        <v>13142</v>
      </c>
      <c r="T1289">
        <v>24439</v>
      </c>
      <c r="U1289">
        <v>3</v>
      </c>
      <c r="V1289" t="s">
        <v>39</v>
      </c>
      <c r="W1289" t="s">
        <v>40</v>
      </c>
      <c r="X1289">
        <v>16</v>
      </c>
      <c r="Y1289">
        <v>3</v>
      </c>
      <c r="Z1289">
        <v>2</v>
      </c>
      <c r="AA1289">
        <v>80</v>
      </c>
      <c r="AB1289">
        <v>0</v>
      </c>
      <c r="AC1289">
        <v>29</v>
      </c>
      <c r="AD1289">
        <v>1</v>
      </c>
      <c r="AE1289">
        <v>2</v>
      </c>
      <c r="AF1289">
        <v>5</v>
      </c>
      <c r="AG1289">
        <v>2</v>
      </c>
      <c r="AH1289">
        <v>0</v>
      </c>
      <c r="AI1289">
        <v>3</v>
      </c>
    </row>
    <row r="1290" spans="1:35" x14ac:dyDescent="0.3">
      <c r="A1290">
        <v>42</v>
      </c>
      <c r="B1290" t="s">
        <v>40</v>
      </c>
      <c r="C1290" t="s">
        <v>41</v>
      </c>
      <c r="D1290">
        <v>458</v>
      </c>
      <c r="E1290" t="s">
        <v>42</v>
      </c>
      <c r="F1290">
        <v>26</v>
      </c>
      <c r="G1290">
        <v>5</v>
      </c>
      <c r="H1290" t="s">
        <v>48</v>
      </c>
      <c r="I1290">
        <v>1</v>
      </c>
      <c r="J1290">
        <v>1242</v>
      </c>
      <c r="K1290">
        <v>1</v>
      </c>
      <c r="L1290" s="17" t="s">
        <v>36</v>
      </c>
      <c r="M1290">
        <v>60</v>
      </c>
      <c r="N1290">
        <v>3</v>
      </c>
      <c r="O1290">
        <v>3</v>
      </c>
      <c r="P1290" t="s">
        <v>55</v>
      </c>
      <c r="Q1290">
        <v>1</v>
      </c>
      <c r="R1290" t="s">
        <v>45</v>
      </c>
      <c r="S1290" s="6">
        <v>13191</v>
      </c>
      <c r="T1290">
        <v>23281</v>
      </c>
      <c r="U1290">
        <v>3</v>
      </c>
      <c r="V1290" t="s">
        <v>39</v>
      </c>
      <c r="W1290" t="s">
        <v>32</v>
      </c>
      <c r="X1290">
        <v>17</v>
      </c>
      <c r="Y1290">
        <v>3</v>
      </c>
      <c r="Z1290">
        <v>3</v>
      </c>
      <c r="AA1290">
        <v>80</v>
      </c>
      <c r="AB1290">
        <v>0</v>
      </c>
      <c r="AC1290">
        <v>20</v>
      </c>
      <c r="AD1290">
        <v>6</v>
      </c>
      <c r="AE1290">
        <v>3</v>
      </c>
      <c r="AF1290">
        <v>1</v>
      </c>
      <c r="AG1290">
        <v>0</v>
      </c>
      <c r="AH1290">
        <v>0</v>
      </c>
      <c r="AI1290">
        <v>0</v>
      </c>
    </row>
    <row r="1291" spans="1:35" x14ac:dyDescent="0.3">
      <c r="A1291">
        <v>40</v>
      </c>
      <c r="B1291" t="s">
        <v>32</v>
      </c>
      <c r="C1291" t="s">
        <v>52</v>
      </c>
      <c r="D1291">
        <v>1479</v>
      </c>
      <c r="E1291" t="s">
        <v>34</v>
      </c>
      <c r="F1291">
        <v>24</v>
      </c>
      <c r="G1291">
        <v>3</v>
      </c>
      <c r="H1291" t="s">
        <v>35</v>
      </c>
      <c r="I1291">
        <v>1</v>
      </c>
      <c r="J1291">
        <v>986</v>
      </c>
      <c r="K1291">
        <v>2</v>
      </c>
      <c r="L1291" s="17" t="s">
        <v>36</v>
      </c>
      <c r="M1291">
        <v>100</v>
      </c>
      <c r="N1291">
        <v>4</v>
      </c>
      <c r="O1291">
        <v>4</v>
      </c>
      <c r="P1291" t="s">
        <v>37</v>
      </c>
      <c r="Q1291">
        <v>2</v>
      </c>
      <c r="R1291" t="s">
        <v>38</v>
      </c>
      <c r="S1291" s="6">
        <v>13194</v>
      </c>
      <c r="T1291">
        <v>17071</v>
      </c>
      <c r="U1291">
        <v>4</v>
      </c>
      <c r="V1291" t="s">
        <v>39</v>
      </c>
      <c r="W1291" t="s">
        <v>32</v>
      </c>
      <c r="X1291">
        <v>16</v>
      </c>
      <c r="Y1291">
        <v>3</v>
      </c>
      <c r="Z1291">
        <v>4</v>
      </c>
      <c r="AA1291">
        <v>80</v>
      </c>
      <c r="AB1291">
        <v>0</v>
      </c>
      <c r="AC1291">
        <v>22</v>
      </c>
      <c r="AD1291">
        <v>2</v>
      </c>
      <c r="AE1291">
        <v>2</v>
      </c>
      <c r="AF1291">
        <v>1</v>
      </c>
      <c r="AG1291">
        <v>0</v>
      </c>
      <c r="AH1291">
        <v>0</v>
      </c>
      <c r="AI1291">
        <v>0</v>
      </c>
    </row>
    <row r="1292" spans="1:35" x14ac:dyDescent="0.3">
      <c r="A1292">
        <v>38</v>
      </c>
      <c r="B1292" t="s">
        <v>40</v>
      </c>
      <c r="C1292" t="s">
        <v>33</v>
      </c>
      <c r="D1292">
        <v>201</v>
      </c>
      <c r="E1292" t="s">
        <v>42</v>
      </c>
      <c r="F1292">
        <v>10</v>
      </c>
      <c r="G1292">
        <v>3</v>
      </c>
      <c r="H1292" t="s">
        <v>48</v>
      </c>
      <c r="I1292">
        <v>1</v>
      </c>
      <c r="J1292">
        <v>2015</v>
      </c>
      <c r="K1292">
        <v>2</v>
      </c>
      <c r="L1292" s="17" t="s">
        <v>36</v>
      </c>
      <c r="M1292">
        <v>99</v>
      </c>
      <c r="N1292">
        <v>1</v>
      </c>
      <c r="O1292">
        <v>3</v>
      </c>
      <c r="P1292" t="s">
        <v>55</v>
      </c>
      <c r="Q1292">
        <v>3</v>
      </c>
      <c r="R1292" t="s">
        <v>45</v>
      </c>
      <c r="S1292" s="6">
        <v>13206</v>
      </c>
      <c r="T1292">
        <v>3376</v>
      </c>
      <c r="U1292">
        <v>3</v>
      </c>
      <c r="V1292" t="s">
        <v>39</v>
      </c>
      <c r="W1292" t="s">
        <v>40</v>
      </c>
      <c r="X1292">
        <v>12</v>
      </c>
      <c r="Y1292">
        <v>3</v>
      </c>
      <c r="Z1292">
        <v>1</v>
      </c>
      <c r="AA1292">
        <v>80</v>
      </c>
      <c r="AB1292">
        <v>1</v>
      </c>
      <c r="AC1292">
        <v>20</v>
      </c>
      <c r="AD1292">
        <v>3</v>
      </c>
      <c r="AE1292">
        <v>3</v>
      </c>
      <c r="AF1292">
        <v>18</v>
      </c>
      <c r="AG1292">
        <v>16</v>
      </c>
      <c r="AH1292">
        <v>1</v>
      </c>
      <c r="AI1292">
        <v>11</v>
      </c>
    </row>
    <row r="1293" spans="1:35" x14ac:dyDescent="0.3">
      <c r="A1293">
        <v>56</v>
      </c>
      <c r="B1293" t="s">
        <v>40</v>
      </c>
      <c r="C1293" t="s">
        <v>41</v>
      </c>
      <c r="D1293">
        <v>906</v>
      </c>
      <c r="E1293" t="s">
        <v>34</v>
      </c>
      <c r="F1293">
        <v>6</v>
      </c>
      <c r="G1293">
        <v>3</v>
      </c>
      <c r="H1293" t="s">
        <v>35</v>
      </c>
      <c r="I1293">
        <v>1</v>
      </c>
      <c r="J1293">
        <v>532</v>
      </c>
      <c r="K1293">
        <v>3</v>
      </c>
      <c r="L1293" s="17" t="s">
        <v>36</v>
      </c>
      <c r="M1293">
        <v>86</v>
      </c>
      <c r="N1293">
        <v>4</v>
      </c>
      <c r="O1293">
        <v>4</v>
      </c>
      <c r="P1293" t="s">
        <v>37</v>
      </c>
      <c r="Q1293">
        <v>1</v>
      </c>
      <c r="R1293" t="s">
        <v>45</v>
      </c>
      <c r="S1293" s="6">
        <v>13212</v>
      </c>
      <c r="T1293">
        <v>18256</v>
      </c>
      <c r="U1293">
        <v>9</v>
      </c>
      <c r="V1293" t="s">
        <v>39</v>
      </c>
      <c r="W1293" t="s">
        <v>40</v>
      </c>
      <c r="X1293">
        <v>11</v>
      </c>
      <c r="Y1293">
        <v>3</v>
      </c>
      <c r="Z1293">
        <v>4</v>
      </c>
      <c r="AA1293">
        <v>80</v>
      </c>
      <c r="AB1293">
        <v>3</v>
      </c>
      <c r="AC1293">
        <v>36</v>
      </c>
      <c r="AD1293">
        <v>0</v>
      </c>
      <c r="AE1293">
        <v>2</v>
      </c>
      <c r="AF1293">
        <v>7</v>
      </c>
      <c r="AG1293">
        <v>7</v>
      </c>
      <c r="AH1293">
        <v>7</v>
      </c>
      <c r="AI1293">
        <v>7</v>
      </c>
    </row>
    <row r="1294" spans="1:35" x14ac:dyDescent="0.3">
      <c r="A1294">
        <v>46</v>
      </c>
      <c r="B1294" t="s">
        <v>40</v>
      </c>
      <c r="C1294" t="s">
        <v>33</v>
      </c>
      <c r="D1294">
        <v>1319</v>
      </c>
      <c r="E1294" t="s">
        <v>34</v>
      </c>
      <c r="F1294">
        <v>3</v>
      </c>
      <c r="G1294">
        <v>3</v>
      </c>
      <c r="H1294" t="s">
        <v>57</v>
      </c>
      <c r="I1294">
        <v>1</v>
      </c>
      <c r="J1294">
        <v>1863</v>
      </c>
      <c r="K1294">
        <v>1</v>
      </c>
      <c r="L1294" s="17" t="s">
        <v>36</v>
      </c>
      <c r="M1294">
        <v>45</v>
      </c>
      <c r="N1294">
        <v>4</v>
      </c>
      <c r="O1294">
        <v>4</v>
      </c>
      <c r="P1294" t="s">
        <v>37</v>
      </c>
      <c r="Q1294">
        <v>1</v>
      </c>
      <c r="R1294" t="s">
        <v>49</v>
      </c>
      <c r="S1294" s="6">
        <v>13225</v>
      </c>
      <c r="T1294">
        <v>7739</v>
      </c>
      <c r="U1294">
        <v>2</v>
      </c>
      <c r="V1294" t="s">
        <v>39</v>
      </c>
      <c r="W1294" t="s">
        <v>40</v>
      </c>
      <c r="X1294">
        <v>12</v>
      </c>
      <c r="Y1294">
        <v>3</v>
      </c>
      <c r="Z1294">
        <v>4</v>
      </c>
      <c r="AA1294">
        <v>80</v>
      </c>
      <c r="AB1294">
        <v>1</v>
      </c>
      <c r="AC1294">
        <v>25</v>
      </c>
      <c r="AD1294">
        <v>5</v>
      </c>
      <c r="AE1294">
        <v>3</v>
      </c>
      <c r="AF1294">
        <v>19</v>
      </c>
      <c r="AG1294">
        <v>17</v>
      </c>
      <c r="AH1294">
        <v>2</v>
      </c>
      <c r="AI1294">
        <v>8</v>
      </c>
    </row>
    <row r="1295" spans="1:35" x14ac:dyDescent="0.3">
      <c r="A1295">
        <v>40</v>
      </c>
      <c r="B1295" t="s">
        <v>40</v>
      </c>
      <c r="C1295" t="s">
        <v>33</v>
      </c>
      <c r="D1295">
        <v>302</v>
      </c>
      <c r="E1295" t="s">
        <v>42</v>
      </c>
      <c r="F1295">
        <v>6</v>
      </c>
      <c r="G1295">
        <v>3</v>
      </c>
      <c r="H1295" t="s">
        <v>35</v>
      </c>
      <c r="I1295">
        <v>1</v>
      </c>
      <c r="J1295">
        <v>601</v>
      </c>
      <c r="K1295">
        <v>2</v>
      </c>
      <c r="L1295" s="17" t="s">
        <v>36</v>
      </c>
      <c r="M1295">
        <v>75</v>
      </c>
      <c r="N1295">
        <v>3</v>
      </c>
      <c r="O1295">
        <v>4</v>
      </c>
      <c r="P1295" t="s">
        <v>50</v>
      </c>
      <c r="Q1295">
        <v>3</v>
      </c>
      <c r="R1295" t="s">
        <v>38</v>
      </c>
      <c r="S1295" s="6">
        <v>13237</v>
      </c>
      <c r="T1295">
        <v>20364</v>
      </c>
      <c r="U1295">
        <v>7</v>
      </c>
      <c r="V1295" t="s">
        <v>39</v>
      </c>
      <c r="W1295" t="s">
        <v>40</v>
      </c>
      <c r="X1295">
        <v>15</v>
      </c>
      <c r="Y1295">
        <v>3</v>
      </c>
      <c r="Z1295">
        <v>3</v>
      </c>
      <c r="AA1295">
        <v>80</v>
      </c>
      <c r="AB1295">
        <v>0</v>
      </c>
      <c r="AC1295">
        <v>22</v>
      </c>
      <c r="AD1295">
        <v>3</v>
      </c>
      <c r="AE1295">
        <v>3</v>
      </c>
      <c r="AF1295">
        <v>20</v>
      </c>
      <c r="AG1295">
        <v>6</v>
      </c>
      <c r="AH1295">
        <v>5</v>
      </c>
      <c r="AI1295">
        <v>13</v>
      </c>
    </row>
    <row r="1296" spans="1:35" x14ac:dyDescent="0.3">
      <c r="A1296">
        <v>45</v>
      </c>
      <c r="B1296" t="s">
        <v>40</v>
      </c>
      <c r="C1296" t="s">
        <v>33</v>
      </c>
      <c r="D1296">
        <v>193</v>
      </c>
      <c r="E1296" t="s">
        <v>42</v>
      </c>
      <c r="F1296">
        <v>6</v>
      </c>
      <c r="G1296">
        <v>4</v>
      </c>
      <c r="H1296" t="s">
        <v>46</v>
      </c>
      <c r="I1296">
        <v>1</v>
      </c>
      <c r="J1296">
        <v>101</v>
      </c>
      <c r="K1296">
        <v>4</v>
      </c>
      <c r="L1296" s="17" t="s">
        <v>43</v>
      </c>
      <c r="M1296">
        <v>52</v>
      </c>
      <c r="N1296">
        <v>3</v>
      </c>
      <c r="O1296">
        <v>3</v>
      </c>
      <c r="P1296" t="s">
        <v>55</v>
      </c>
      <c r="Q1296">
        <v>1</v>
      </c>
      <c r="R1296" t="s">
        <v>45</v>
      </c>
      <c r="S1296" s="6">
        <v>13245</v>
      </c>
      <c r="T1296">
        <v>15067</v>
      </c>
      <c r="U1296">
        <v>4</v>
      </c>
      <c r="V1296" t="s">
        <v>39</v>
      </c>
      <c r="W1296" t="s">
        <v>32</v>
      </c>
      <c r="X1296">
        <v>14</v>
      </c>
      <c r="Y1296">
        <v>3</v>
      </c>
      <c r="Z1296">
        <v>2</v>
      </c>
      <c r="AA1296">
        <v>80</v>
      </c>
      <c r="AB1296">
        <v>0</v>
      </c>
      <c r="AC1296">
        <v>17</v>
      </c>
      <c r="AD1296">
        <v>3</v>
      </c>
      <c r="AE1296">
        <v>4</v>
      </c>
      <c r="AF1296">
        <v>0</v>
      </c>
      <c r="AG1296">
        <v>0</v>
      </c>
      <c r="AH1296">
        <v>0</v>
      </c>
      <c r="AI1296">
        <v>0</v>
      </c>
    </row>
    <row r="1297" spans="1:35" x14ac:dyDescent="0.3">
      <c r="A1297">
        <v>52</v>
      </c>
      <c r="B1297" t="s">
        <v>40</v>
      </c>
      <c r="C1297" t="s">
        <v>41</v>
      </c>
      <c r="D1297">
        <v>322</v>
      </c>
      <c r="E1297" t="s">
        <v>42</v>
      </c>
      <c r="F1297">
        <v>28</v>
      </c>
      <c r="G1297">
        <v>2</v>
      </c>
      <c r="H1297" t="s">
        <v>48</v>
      </c>
      <c r="I1297">
        <v>1</v>
      </c>
      <c r="J1297">
        <v>1401</v>
      </c>
      <c r="K1297">
        <v>4</v>
      </c>
      <c r="L1297" s="17" t="s">
        <v>36</v>
      </c>
      <c r="M1297">
        <v>59</v>
      </c>
      <c r="N1297">
        <v>4</v>
      </c>
      <c r="O1297">
        <v>4</v>
      </c>
      <c r="P1297" t="s">
        <v>50</v>
      </c>
      <c r="Q1297">
        <v>3</v>
      </c>
      <c r="R1297" t="s">
        <v>45</v>
      </c>
      <c r="S1297" s="6">
        <v>13247</v>
      </c>
      <c r="T1297">
        <v>9731</v>
      </c>
      <c r="U1297">
        <v>2</v>
      </c>
      <c r="V1297" t="s">
        <v>39</v>
      </c>
      <c r="W1297" t="s">
        <v>32</v>
      </c>
      <c r="X1297">
        <v>11</v>
      </c>
      <c r="Y1297">
        <v>3</v>
      </c>
      <c r="Z1297">
        <v>2</v>
      </c>
      <c r="AA1297">
        <v>80</v>
      </c>
      <c r="AB1297">
        <v>1</v>
      </c>
      <c r="AC1297">
        <v>24</v>
      </c>
      <c r="AD1297">
        <v>3</v>
      </c>
      <c r="AE1297">
        <v>2</v>
      </c>
      <c r="AF1297">
        <v>5</v>
      </c>
      <c r="AG1297">
        <v>3</v>
      </c>
      <c r="AH1297">
        <v>0</v>
      </c>
      <c r="AI1297">
        <v>2</v>
      </c>
    </row>
    <row r="1298" spans="1:35" x14ac:dyDescent="0.3">
      <c r="A1298">
        <v>50</v>
      </c>
      <c r="B1298" t="s">
        <v>40</v>
      </c>
      <c r="C1298" t="s">
        <v>33</v>
      </c>
      <c r="D1298">
        <v>813</v>
      </c>
      <c r="E1298" t="s">
        <v>42</v>
      </c>
      <c r="F1298">
        <v>17</v>
      </c>
      <c r="G1298">
        <v>5</v>
      </c>
      <c r="H1298" t="s">
        <v>35</v>
      </c>
      <c r="I1298">
        <v>1</v>
      </c>
      <c r="J1298">
        <v>1656</v>
      </c>
      <c r="K1298">
        <v>4</v>
      </c>
      <c r="L1298" s="17" t="s">
        <v>36</v>
      </c>
      <c r="M1298">
        <v>50</v>
      </c>
      <c r="N1298">
        <v>2</v>
      </c>
      <c r="O1298">
        <v>3</v>
      </c>
      <c r="P1298" t="s">
        <v>55</v>
      </c>
      <c r="Q1298">
        <v>1</v>
      </c>
      <c r="R1298" t="s">
        <v>49</v>
      </c>
      <c r="S1298" s="6">
        <v>13269</v>
      </c>
      <c r="T1298">
        <v>21981</v>
      </c>
      <c r="U1298">
        <v>5</v>
      </c>
      <c r="V1298" t="s">
        <v>39</v>
      </c>
      <c r="W1298" t="s">
        <v>40</v>
      </c>
      <c r="X1298">
        <v>15</v>
      </c>
      <c r="Y1298">
        <v>3</v>
      </c>
      <c r="Z1298">
        <v>3</v>
      </c>
      <c r="AA1298">
        <v>80</v>
      </c>
      <c r="AB1298">
        <v>3</v>
      </c>
      <c r="AC1298">
        <v>19</v>
      </c>
      <c r="AD1298">
        <v>3</v>
      </c>
      <c r="AE1298">
        <v>3</v>
      </c>
      <c r="AF1298">
        <v>14</v>
      </c>
      <c r="AG1298">
        <v>11</v>
      </c>
      <c r="AH1298">
        <v>1</v>
      </c>
      <c r="AI1298">
        <v>11</v>
      </c>
    </row>
    <row r="1299" spans="1:35" x14ac:dyDescent="0.3">
      <c r="A1299">
        <v>44</v>
      </c>
      <c r="B1299" t="s">
        <v>40</v>
      </c>
      <c r="C1299" t="s">
        <v>33</v>
      </c>
      <c r="D1299">
        <v>1448</v>
      </c>
      <c r="E1299" t="s">
        <v>34</v>
      </c>
      <c r="F1299">
        <v>28</v>
      </c>
      <c r="G1299">
        <v>3</v>
      </c>
      <c r="H1299" t="s">
        <v>48</v>
      </c>
      <c r="I1299">
        <v>1</v>
      </c>
      <c r="J1299">
        <v>1039</v>
      </c>
      <c r="K1299">
        <v>4</v>
      </c>
      <c r="L1299" s="17" t="s">
        <v>36</v>
      </c>
      <c r="M1299">
        <v>53</v>
      </c>
      <c r="N1299">
        <v>4</v>
      </c>
      <c r="O1299">
        <v>4</v>
      </c>
      <c r="P1299" t="s">
        <v>37</v>
      </c>
      <c r="Q1299">
        <v>4</v>
      </c>
      <c r="R1299" t="s">
        <v>45</v>
      </c>
      <c r="S1299" s="6">
        <v>13320</v>
      </c>
      <c r="T1299">
        <v>11737</v>
      </c>
      <c r="U1299">
        <v>3</v>
      </c>
      <c r="V1299" t="s">
        <v>39</v>
      </c>
      <c r="W1299" t="s">
        <v>32</v>
      </c>
      <c r="X1299">
        <v>18</v>
      </c>
      <c r="Y1299">
        <v>3</v>
      </c>
      <c r="Z1299">
        <v>3</v>
      </c>
      <c r="AA1299">
        <v>80</v>
      </c>
      <c r="AB1299">
        <v>1</v>
      </c>
      <c r="AC1299">
        <v>23</v>
      </c>
      <c r="AD1299">
        <v>2</v>
      </c>
      <c r="AE1299">
        <v>3</v>
      </c>
      <c r="AF1299">
        <v>12</v>
      </c>
      <c r="AG1299">
        <v>11</v>
      </c>
      <c r="AH1299">
        <v>11</v>
      </c>
      <c r="AI1299">
        <v>11</v>
      </c>
    </row>
    <row r="1300" spans="1:35" x14ac:dyDescent="0.3">
      <c r="A1300">
        <v>39</v>
      </c>
      <c r="B1300" t="s">
        <v>40</v>
      </c>
      <c r="C1300" t="s">
        <v>33</v>
      </c>
      <c r="D1300">
        <v>119</v>
      </c>
      <c r="E1300" t="s">
        <v>34</v>
      </c>
      <c r="F1300">
        <v>15</v>
      </c>
      <c r="G1300">
        <v>4</v>
      </c>
      <c r="H1300" t="s">
        <v>56</v>
      </c>
      <c r="I1300">
        <v>1</v>
      </c>
      <c r="J1300">
        <v>1975</v>
      </c>
      <c r="K1300">
        <v>2</v>
      </c>
      <c r="L1300" s="17" t="s">
        <v>43</v>
      </c>
      <c r="M1300">
        <v>77</v>
      </c>
      <c r="N1300">
        <v>3</v>
      </c>
      <c r="O1300">
        <v>4</v>
      </c>
      <c r="P1300" t="s">
        <v>37</v>
      </c>
      <c r="Q1300">
        <v>1</v>
      </c>
      <c r="R1300" t="s">
        <v>38</v>
      </c>
      <c r="S1300" s="6">
        <v>13341</v>
      </c>
      <c r="T1300">
        <v>25098</v>
      </c>
      <c r="U1300">
        <v>0</v>
      </c>
      <c r="V1300" t="s">
        <v>39</v>
      </c>
      <c r="W1300" t="s">
        <v>40</v>
      </c>
      <c r="X1300">
        <v>12</v>
      </c>
      <c r="Y1300">
        <v>3</v>
      </c>
      <c r="Z1300">
        <v>1</v>
      </c>
      <c r="AA1300">
        <v>80</v>
      </c>
      <c r="AB1300">
        <v>0</v>
      </c>
      <c r="AC1300">
        <v>21</v>
      </c>
      <c r="AD1300">
        <v>3</v>
      </c>
      <c r="AE1300">
        <v>3</v>
      </c>
      <c r="AF1300">
        <v>20</v>
      </c>
      <c r="AG1300">
        <v>8</v>
      </c>
      <c r="AH1300">
        <v>11</v>
      </c>
      <c r="AI1300">
        <v>10</v>
      </c>
    </row>
    <row r="1301" spans="1:35" x14ac:dyDescent="0.3">
      <c r="A1301">
        <v>42</v>
      </c>
      <c r="B1301" t="s">
        <v>40</v>
      </c>
      <c r="C1301" t="s">
        <v>33</v>
      </c>
      <c r="D1301">
        <v>1396</v>
      </c>
      <c r="E1301" t="s">
        <v>42</v>
      </c>
      <c r="F1301">
        <v>6</v>
      </c>
      <c r="G1301">
        <v>3</v>
      </c>
      <c r="H1301" t="s">
        <v>48</v>
      </c>
      <c r="I1301">
        <v>1</v>
      </c>
      <c r="J1301">
        <v>1911</v>
      </c>
      <c r="K1301">
        <v>3</v>
      </c>
      <c r="L1301" s="17" t="s">
        <v>43</v>
      </c>
      <c r="M1301">
        <v>83</v>
      </c>
      <c r="N1301">
        <v>3</v>
      </c>
      <c r="O1301">
        <v>3</v>
      </c>
      <c r="P1301" t="s">
        <v>55</v>
      </c>
      <c r="Q1301">
        <v>1</v>
      </c>
      <c r="R1301" t="s">
        <v>45</v>
      </c>
      <c r="S1301" s="6">
        <v>13348</v>
      </c>
      <c r="T1301">
        <v>14842</v>
      </c>
      <c r="U1301">
        <v>9</v>
      </c>
      <c r="V1301" t="s">
        <v>39</v>
      </c>
      <c r="W1301" t="s">
        <v>40</v>
      </c>
      <c r="X1301">
        <v>13</v>
      </c>
      <c r="Y1301">
        <v>3</v>
      </c>
      <c r="Z1301">
        <v>2</v>
      </c>
      <c r="AA1301">
        <v>80</v>
      </c>
      <c r="AB1301">
        <v>1</v>
      </c>
      <c r="AC1301">
        <v>18</v>
      </c>
      <c r="AD1301">
        <v>3</v>
      </c>
      <c r="AE1301">
        <v>4</v>
      </c>
      <c r="AF1301">
        <v>13</v>
      </c>
      <c r="AG1301">
        <v>7</v>
      </c>
      <c r="AH1301">
        <v>5</v>
      </c>
      <c r="AI1301">
        <v>7</v>
      </c>
    </row>
    <row r="1302" spans="1:35" x14ac:dyDescent="0.3">
      <c r="A1302">
        <v>56</v>
      </c>
      <c r="B1302" t="s">
        <v>40</v>
      </c>
      <c r="C1302" t="s">
        <v>33</v>
      </c>
      <c r="D1302">
        <v>1369</v>
      </c>
      <c r="E1302" t="s">
        <v>42</v>
      </c>
      <c r="F1302">
        <v>23</v>
      </c>
      <c r="G1302">
        <v>3</v>
      </c>
      <c r="H1302" t="s">
        <v>35</v>
      </c>
      <c r="I1302">
        <v>1</v>
      </c>
      <c r="J1302">
        <v>1373</v>
      </c>
      <c r="K1302">
        <v>4</v>
      </c>
      <c r="L1302" s="17" t="s">
        <v>43</v>
      </c>
      <c r="M1302">
        <v>68</v>
      </c>
      <c r="N1302">
        <v>3</v>
      </c>
      <c r="O1302">
        <v>4</v>
      </c>
      <c r="P1302" t="s">
        <v>50</v>
      </c>
      <c r="Q1302">
        <v>2</v>
      </c>
      <c r="R1302" t="s">
        <v>45</v>
      </c>
      <c r="S1302" s="6">
        <v>13402</v>
      </c>
      <c r="T1302">
        <v>18235</v>
      </c>
      <c r="U1302">
        <v>4</v>
      </c>
      <c r="V1302" t="s">
        <v>39</v>
      </c>
      <c r="W1302" t="s">
        <v>32</v>
      </c>
      <c r="X1302">
        <v>12</v>
      </c>
      <c r="Y1302">
        <v>3</v>
      </c>
      <c r="Z1302">
        <v>1</v>
      </c>
      <c r="AA1302">
        <v>80</v>
      </c>
      <c r="AB1302">
        <v>1</v>
      </c>
      <c r="AC1302">
        <v>33</v>
      </c>
      <c r="AD1302">
        <v>0</v>
      </c>
      <c r="AE1302">
        <v>3</v>
      </c>
      <c r="AF1302">
        <v>19</v>
      </c>
      <c r="AG1302">
        <v>16</v>
      </c>
      <c r="AH1302">
        <v>15</v>
      </c>
      <c r="AI1302">
        <v>9</v>
      </c>
    </row>
    <row r="1303" spans="1:35" x14ac:dyDescent="0.3">
      <c r="A1303">
        <v>33</v>
      </c>
      <c r="B1303" t="s">
        <v>40</v>
      </c>
      <c r="C1303" t="s">
        <v>41</v>
      </c>
      <c r="D1303">
        <v>515</v>
      </c>
      <c r="E1303" t="s">
        <v>42</v>
      </c>
      <c r="F1303">
        <v>1</v>
      </c>
      <c r="G1303">
        <v>2</v>
      </c>
      <c r="H1303" t="s">
        <v>35</v>
      </c>
      <c r="I1303">
        <v>1</v>
      </c>
      <c r="J1303">
        <v>73</v>
      </c>
      <c r="K1303">
        <v>1</v>
      </c>
      <c r="L1303" s="17" t="s">
        <v>36</v>
      </c>
      <c r="M1303">
        <v>98</v>
      </c>
      <c r="N1303">
        <v>3</v>
      </c>
      <c r="O1303">
        <v>3</v>
      </c>
      <c r="P1303" t="s">
        <v>55</v>
      </c>
      <c r="Q1303">
        <v>4</v>
      </c>
      <c r="R1303" t="s">
        <v>38</v>
      </c>
      <c r="S1303" s="6">
        <v>13458</v>
      </c>
      <c r="T1303">
        <v>15146</v>
      </c>
      <c r="U1303">
        <v>1</v>
      </c>
      <c r="V1303" t="s">
        <v>39</v>
      </c>
      <c r="W1303" t="s">
        <v>32</v>
      </c>
      <c r="X1303">
        <v>12</v>
      </c>
      <c r="Y1303">
        <v>3</v>
      </c>
      <c r="Z1303">
        <v>3</v>
      </c>
      <c r="AA1303">
        <v>80</v>
      </c>
      <c r="AB1303">
        <v>0</v>
      </c>
      <c r="AC1303">
        <v>15</v>
      </c>
      <c r="AD1303">
        <v>1</v>
      </c>
      <c r="AE1303">
        <v>3</v>
      </c>
      <c r="AF1303">
        <v>15</v>
      </c>
      <c r="AG1303">
        <v>14</v>
      </c>
      <c r="AH1303">
        <v>8</v>
      </c>
      <c r="AI1303">
        <v>12</v>
      </c>
    </row>
    <row r="1304" spans="1:35" x14ac:dyDescent="0.3">
      <c r="A1304">
        <v>39</v>
      </c>
      <c r="B1304" t="s">
        <v>40</v>
      </c>
      <c r="C1304" t="s">
        <v>33</v>
      </c>
      <c r="D1304">
        <v>1253</v>
      </c>
      <c r="E1304" t="s">
        <v>42</v>
      </c>
      <c r="F1304">
        <v>10</v>
      </c>
      <c r="G1304">
        <v>1</v>
      </c>
      <c r="H1304" t="s">
        <v>48</v>
      </c>
      <c r="I1304">
        <v>1</v>
      </c>
      <c r="J1304">
        <v>1800</v>
      </c>
      <c r="K1304">
        <v>3</v>
      </c>
      <c r="L1304" s="17" t="s">
        <v>43</v>
      </c>
      <c r="M1304">
        <v>65</v>
      </c>
      <c r="N1304">
        <v>3</v>
      </c>
      <c r="O1304">
        <v>3</v>
      </c>
      <c r="P1304" t="s">
        <v>55</v>
      </c>
      <c r="Q1304">
        <v>3</v>
      </c>
      <c r="R1304" t="s">
        <v>38</v>
      </c>
      <c r="S1304" s="6">
        <v>13464</v>
      </c>
      <c r="T1304">
        <v>7914</v>
      </c>
      <c r="U1304">
        <v>7</v>
      </c>
      <c r="V1304" t="s">
        <v>39</v>
      </c>
      <c r="W1304" t="s">
        <v>40</v>
      </c>
      <c r="X1304">
        <v>21</v>
      </c>
      <c r="Y1304">
        <v>4</v>
      </c>
      <c r="Z1304">
        <v>3</v>
      </c>
      <c r="AA1304">
        <v>80</v>
      </c>
      <c r="AB1304">
        <v>0</v>
      </c>
      <c r="AC1304">
        <v>9</v>
      </c>
      <c r="AD1304">
        <v>3</v>
      </c>
      <c r="AE1304">
        <v>3</v>
      </c>
      <c r="AF1304">
        <v>4</v>
      </c>
      <c r="AG1304">
        <v>3</v>
      </c>
      <c r="AH1304">
        <v>2</v>
      </c>
      <c r="AI1304">
        <v>2</v>
      </c>
    </row>
    <row r="1305" spans="1:35" x14ac:dyDescent="0.3">
      <c r="A1305">
        <v>45</v>
      </c>
      <c r="B1305" t="s">
        <v>40</v>
      </c>
      <c r="C1305" t="s">
        <v>33</v>
      </c>
      <c r="D1305">
        <v>1385</v>
      </c>
      <c r="E1305" t="s">
        <v>42</v>
      </c>
      <c r="F1305">
        <v>20</v>
      </c>
      <c r="G1305">
        <v>2</v>
      </c>
      <c r="H1305" t="s">
        <v>48</v>
      </c>
      <c r="I1305">
        <v>1</v>
      </c>
      <c r="J1305">
        <v>372</v>
      </c>
      <c r="K1305">
        <v>3</v>
      </c>
      <c r="L1305" s="17" t="s">
        <v>43</v>
      </c>
      <c r="M1305">
        <v>79</v>
      </c>
      <c r="N1305">
        <v>3</v>
      </c>
      <c r="O1305">
        <v>4</v>
      </c>
      <c r="P1305" t="s">
        <v>51</v>
      </c>
      <c r="Q1305">
        <v>4</v>
      </c>
      <c r="R1305" t="s">
        <v>45</v>
      </c>
      <c r="S1305" s="6">
        <v>13496</v>
      </c>
      <c r="T1305">
        <v>7501</v>
      </c>
      <c r="U1305">
        <v>0</v>
      </c>
      <c r="V1305" t="s">
        <v>39</v>
      </c>
      <c r="W1305" t="s">
        <v>32</v>
      </c>
      <c r="X1305">
        <v>14</v>
      </c>
      <c r="Y1305">
        <v>3</v>
      </c>
      <c r="Z1305">
        <v>2</v>
      </c>
      <c r="AA1305">
        <v>80</v>
      </c>
      <c r="AB1305">
        <v>0</v>
      </c>
      <c r="AC1305">
        <v>21</v>
      </c>
      <c r="AD1305">
        <v>2</v>
      </c>
      <c r="AE1305">
        <v>3</v>
      </c>
      <c r="AF1305">
        <v>20</v>
      </c>
      <c r="AG1305">
        <v>7</v>
      </c>
      <c r="AH1305">
        <v>4</v>
      </c>
      <c r="AI1305">
        <v>10</v>
      </c>
    </row>
    <row r="1306" spans="1:35" x14ac:dyDescent="0.3">
      <c r="A1306">
        <v>40</v>
      </c>
      <c r="B1306" t="s">
        <v>40</v>
      </c>
      <c r="C1306" t="s">
        <v>41</v>
      </c>
      <c r="D1306">
        <v>593</v>
      </c>
      <c r="E1306" t="s">
        <v>42</v>
      </c>
      <c r="F1306">
        <v>9</v>
      </c>
      <c r="G1306">
        <v>4</v>
      </c>
      <c r="H1306" t="s">
        <v>48</v>
      </c>
      <c r="I1306">
        <v>1</v>
      </c>
      <c r="J1306">
        <v>1166</v>
      </c>
      <c r="K1306">
        <v>2</v>
      </c>
      <c r="L1306" s="17" t="s">
        <v>36</v>
      </c>
      <c r="M1306">
        <v>88</v>
      </c>
      <c r="N1306">
        <v>3</v>
      </c>
      <c r="O1306">
        <v>3</v>
      </c>
      <c r="P1306" t="s">
        <v>55</v>
      </c>
      <c r="Q1306">
        <v>3</v>
      </c>
      <c r="R1306" t="s">
        <v>38</v>
      </c>
      <c r="S1306" s="6">
        <v>13499</v>
      </c>
      <c r="T1306">
        <v>13782</v>
      </c>
      <c r="U1306">
        <v>9</v>
      </c>
      <c r="V1306" t="s">
        <v>39</v>
      </c>
      <c r="W1306" t="s">
        <v>40</v>
      </c>
      <c r="X1306">
        <v>17</v>
      </c>
      <c r="Y1306">
        <v>3</v>
      </c>
      <c r="Z1306">
        <v>3</v>
      </c>
      <c r="AA1306">
        <v>80</v>
      </c>
      <c r="AB1306">
        <v>0</v>
      </c>
      <c r="AC1306">
        <v>20</v>
      </c>
      <c r="AD1306">
        <v>3</v>
      </c>
      <c r="AE1306">
        <v>2</v>
      </c>
      <c r="AF1306">
        <v>18</v>
      </c>
      <c r="AG1306">
        <v>7</v>
      </c>
      <c r="AH1306">
        <v>2</v>
      </c>
      <c r="AI1306">
        <v>13</v>
      </c>
    </row>
    <row r="1307" spans="1:35" x14ac:dyDescent="0.3">
      <c r="A1307">
        <v>40</v>
      </c>
      <c r="B1307" t="s">
        <v>40</v>
      </c>
      <c r="C1307" t="s">
        <v>41</v>
      </c>
      <c r="D1307">
        <v>530</v>
      </c>
      <c r="E1307" t="s">
        <v>42</v>
      </c>
      <c r="F1307">
        <v>1</v>
      </c>
      <c r="G1307">
        <v>4</v>
      </c>
      <c r="H1307" t="s">
        <v>35</v>
      </c>
      <c r="I1307">
        <v>1</v>
      </c>
      <c r="J1307">
        <v>119</v>
      </c>
      <c r="K1307">
        <v>3</v>
      </c>
      <c r="L1307" s="17" t="s">
        <v>43</v>
      </c>
      <c r="M1307">
        <v>78</v>
      </c>
      <c r="N1307">
        <v>2</v>
      </c>
      <c r="O1307">
        <v>4</v>
      </c>
      <c r="P1307" t="s">
        <v>51</v>
      </c>
      <c r="Q1307">
        <v>2</v>
      </c>
      <c r="R1307" t="s">
        <v>45</v>
      </c>
      <c r="S1307" s="6">
        <v>13503</v>
      </c>
      <c r="T1307">
        <v>14115</v>
      </c>
      <c r="U1307">
        <v>1</v>
      </c>
      <c r="V1307" t="s">
        <v>39</v>
      </c>
      <c r="W1307" t="s">
        <v>40</v>
      </c>
      <c r="X1307">
        <v>22</v>
      </c>
      <c r="Y1307">
        <v>4</v>
      </c>
      <c r="Z1307">
        <v>4</v>
      </c>
      <c r="AA1307">
        <v>80</v>
      </c>
      <c r="AB1307">
        <v>1</v>
      </c>
      <c r="AC1307">
        <v>22</v>
      </c>
      <c r="AD1307">
        <v>3</v>
      </c>
      <c r="AE1307">
        <v>2</v>
      </c>
      <c r="AF1307">
        <v>22</v>
      </c>
      <c r="AG1307">
        <v>3</v>
      </c>
      <c r="AH1307">
        <v>11</v>
      </c>
      <c r="AI1307">
        <v>11</v>
      </c>
    </row>
    <row r="1308" spans="1:35" x14ac:dyDescent="0.3">
      <c r="A1308">
        <v>42</v>
      </c>
      <c r="B1308" t="s">
        <v>40</v>
      </c>
      <c r="C1308" t="s">
        <v>41</v>
      </c>
      <c r="D1308">
        <v>555</v>
      </c>
      <c r="E1308" t="s">
        <v>34</v>
      </c>
      <c r="F1308">
        <v>26</v>
      </c>
      <c r="G1308">
        <v>3</v>
      </c>
      <c r="H1308" t="s">
        <v>56</v>
      </c>
      <c r="I1308">
        <v>1</v>
      </c>
      <c r="J1308">
        <v>404</v>
      </c>
      <c r="K1308">
        <v>3</v>
      </c>
      <c r="L1308" s="17" t="s">
        <v>36</v>
      </c>
      <c r="M1308">
        <v>77</v>
      </c>
      <c r="N1308">
        <v>3</v>
      </c>
      <c r="O1308">
        <v>4</v>
      </c>
      <c r="P1308" t="s">
        <v>37</v>
      </c>
      <c r="Q1308">
        <v>2</v>
      </c>
      <c r="R1308" t="s">
        <v>45</v>
      </c>
      <c r="S1308" s="6">
        <v>13525</v>
      </c>
      <c r="T1308">
        <v>14864</v>
      </c>
      <c r="U1308">
        <v>5</v>
      </c>
      <c r="V1308" t="s">
        <v>39</v>
      </c>
      <c r="W1308" t="s">
        <v>40</v>
      </c>
      <c r="X1308">
        <v>14</v>
      </c>
      <c r="Y1308">
        <v>3</v>
      </c>
      <c r="Z1308">
        <v>4</v>
      </c>
      <c r="AA1308">
        <v>80</v>
      </c>
      <c r="AB1308">
        <v>1</v>
      </c>
      <c r="AC1308">
        <v>23</v>
      </c>
      <c r="AD1308">
        <v>2</v>
      </c>
      <c r="AE1308">
        <v>4</v>
      </c>
      <c r="AF1308">
        <v>20</v>
      </c>
      <c r="AG1308">
        <v>4</v>
      </c>
      <c r="AH1308">
        <v>4</v>
      </c>
      <c r="AI1308">
        <v>8</v>
      </c>
    </row>
    <row r="1309" spans="1:35" x14ac:dyDescent="0.3">
      <c r="A1309">
        <v>54</v>
      </c>
      <c r="B1309" t="s">
        <v>40</v>
      </c>
      <c r="C1309" t="s">
        <v>33</v>
      </c>
      <c r="D1309">
        <v>1217</v>
      </c>
      <c r="E1309" t="s">
        <v>42</v>
      </c>
      <c r="F1309">
        <v>2</v>
      </c>
      <c r="G1309">
        <v>4</v>
      </c>
      <c r="H1309" t="s">
        <v>57</v>
      </c>
      <c r="I1309">
        <v>1</v>
      </c>
      <c r="J1309">
        <v>126</v>
      </c>
      <c r="K1309">
        <v>1</v>
      </c>
      <c r="L1309" s="17" t="s">
        <v>36</v>
      </c>
      <c r="M1309">
        <v>60</v>
      </c>
      <c r="N1309">
        <v>3</v>
      </c>
      <c r="O1309">
        <v>3</v>
      </c>
      <c r="P1309" t="s">
        <v>55</v>
      </c>
      <c r="Q1309">
        <v>3</v>
      </c>
      <c r="R1309" t="s">
        <v>45</v>
      </c>
      <c r="S1309" s="6">
        <v>13549</v>
      </c>
      <c r="T1309">
        <v>24001</v>
      </c>
      <c r="U1309">
        <v>9</v>
      </c>
      <c r="V1309" t="s">
        <v>39</v>
      </c>
      <c r="W1309" t="s">
        <v>40</v>
      </c>
      <c r="X1309">
        <v>12</v>
      </c>
      <c r="Y1309">
        <v>3</v>
      </c>
      <c r="Z1309">
        <v>1</v>
      </c>
      <c r="AA1309">
        <v>80</v>
      </c>
      <c r="AB1309">
        <v>1</v>
      </c>
      <c r="AC1309">
        <v>16</v>
      </c>
      <c r="AD1309">
        <v>5</v>
      </c>
      <c r="AE1309">
        <v>1</v>
      </c>
      <c r="AF1309">
        <v>4</v>
      </c>
      <c r="AG1309">
        <v>3</v>
      </c>
      <c r="AH1309">
        <v>0</v>
      </c>
      <c r="AI1309">
        <v>3</v>
      </c>
    </row>
    <row r="1310" spans="1:35" x14ac:dyDescent="0.3">
      <c r="A1310">
        <v>41</v>
      </c>
      <c r="B1310" t="s">
        <v>40</v>
      </c>
      <c r="C1310" t="s">
        <v>33</v>
      </c>
      <c r="D1310">
        <v>582</v>
      </c>
      <c r="E1310" t="s">
        <v>42</v>
      </c>
      <c r="F1310">
        <v>28</v>
      </c>
      <c r="G1310">
        <v>4</v>
      </c>
      <c r="H1310" t="s">
        <v>35</v>
      </c>
      <c r="I1310">
        <v>1</v>
      </c>
      <c r="J1310">
        <v>2034</v>
      </c>
      <c r="K1310">
        <v>1</v>
      </c>
      <c r="L1310" s="17" t="s">
        <v>36</v>
      </c>
      <c r="M1310">
        <v>60</v>
      </c>
      <c r="N1310">
        <v>2</v>
      </c>
      <c r="O1310">
        <v>4</v>
      </c>
      <c r="P1310" t="s">
        <v>50</v>
      </c>
      <c r="Q1310">
        <v>2</v>
      </c>
      <c r="R1310" t="s">
        <v>45</v>
      </c>
      <c r="S1310" s="6">
        <v>13570</v>
      </c>
      <c r="T1310">
        <v>5640</v>
      </c>
      <c r="U1310">
        <v>0</v>
      </c>
      <c r="V1310" t="s">
        <v>39</v>
      </c>
      <c r="W1310" t="s">
        <v>40</v>
      </c>
      <c r="X1310">
        <v>23</v>
      </c>
      <c r="Y1310">
        <v>4</v>
      </c>
      <c r="Z1310">
        <v>3</v>
      </c>
      <c r="AA1310">
        <v>80</v>
      </c>
      <c r="AB1310">
        <v>1</v>
      </c>
      <c r="AC1310">
        <v>21</v>
      </c>
      <c r="AD1310">
        <v>3</v>
      </c>
      <c r="AE1310">
        <v>3</v>
      </c>
      <c r="AF1310">
        <v>20</v>
      </c>
      <c r="AG1310">
        <v>7</v>
      </c>
      <c r="AH1310">
        <v>0</v>
      </c>
      <c r="AI1310">
        <v>10</v>
      </c>
    </row>
    <row r="1311" spans="1:35" x14ac:dyDescent="0.3">
      <c r="A1311">
        <v>55</v>
      </c>
      <c r="B1311" t="s">
        <v>40</v>
      </c>
      <c r="C1311" t="s">
        <v>52</v>
      </c>
      <c r="D1311">
        <v>177</v>
      </c>
      <c r="E1311" t="s">
        <v>42</v>
      </c>
      <c r="F1311">
        <v>8</v>
      </c>
      <c r="G1311">
        <v>1</v>
      </c>
      <c r="H1311" t="s">
        <v>48</v>
      </c>
      <c r="I1311">
        <v>1</v>
      </c>
      <c r="J1311">
        <v>1278</v>
      </c>
      <c r="K1311">
        <v>4</v>
      </c>
      <c r="L1311" s="17" t="s">
        <v>43</v>
      </c>
      <c r="M1311">
        <v>37</v>
      </c>
      <c r="N1311">
        <v>2</v>
      </c>
      <c r="O1311">
        <v>4</v>
      </c>
      <c r="P1311" t="s">
        <v>51</v>
      </c>
      <c r="Q1311">
        <v>2</v>
      </c>
      <c r="R1311" t="s">
        <v>49</v>
      </c>
      <c r="S1311" s="6">
        <v>13577</v>
      </c>
      <c r="T1311">
        <v>25592</v>
      </c>
      <c r="U1311">
        <v>1</v>
      </c>
      <c r="V1311" t="s">
        <v>39</v>
      </c>
      <c r="W1311" t="s">
        <v>32</v>
      </c>
      <c r="X1311">
        <v>15</v>
      </c>
      <c r="Y1311">
        <v>3</v>
      </c>
      <c r="Z1311">
        <v>4</v>
      </c>
      <c r="AA1311">
        <v>80</v>
      </c>
      <c r="AB1311">
        <v>1</v>
      </c>
      <c r="AC1311">
        <v>34</v>
      </c>
      <c r="AD1311">
        <v>3</v>
      </c>
      <c r="AE1311">
        <v>3</v>
      </c>
      <c r="AF1311">
        <v>33</v>
      </c>
      <c r="AG1311">
        <v>9</v>
      </c>
      <c r="AH1311">
        <v>15</v>
      </c>
      <c r="AI1311">
        <v>0</v>
      </c>
    </row>
    <row r="1312" spans="1:35" x14ac:dyDescent="0.3">
      <c r="A1312">
        <v>38</v>
      </c>
      <c r="B1312" t="s">
        <v>40</v>
      </c>
      <c r="C1312" t="s">
        <v>33</v>
      </c>
      <c r="D1312">
        <v>1333</v>
      </c>
      <c r="E1312" t="s">
        <v>42</v>
      </c>
      <c r="F1312">
        <v>1</v>
      </c>
      <c r="G1312">
        <v>3</v>
      </c>
      <c r="H1312" t="s">
        <v>57</v>
      </c>
      <c r="I1312">
        <v>1</v>
      </c>
      <c r="J1312">
        <v>950</v>
      </c>
      <c r="K1312">
        <v>4</v>
      </c>
      <c r="L1312" s="17" t="s">
        <v>36</v>
      </c>
      <c r="M1312">
        <v>80</v>
      </c>
      <c r="N1312">
        <v>3</v>
      </c>
      <c r="O1312">
        <v>3</v>
      </c>
      <c r="P1312" t="s">
        <v>55</v>
      </c>
      <c r="Q1312">
        <v>1</v>
      </c>
      <c r="R1312" t="s">
        <v>45</v>
      </c>
      <c r="S1312" s="6">
        <v>13582</v>
      </c>
      <c r="T1312">
        <v>16292</v>
      </c>
      <c r="U1312">
        <v>1</v>
      </c>
      <c r="V1312" t="s">
        <v>39</v>
      </c>
      <c r="W1312" t="s">
        <v>40</v>
      </c>
      <c r="X1312">
        <v>13</v>
      </c>
      <c r="Y1312">
        <v>3</v>
      </c>
      <c r="Z1312">
        <v>2</v>
      </c>
      <c r="AA1312">
        <v>80</v>
      </c>
      <c r="AB1312">
        <v>1</v>
      </c>
      <c r="AC1312">
        <v>15</v>
      </c>
      <c r="AD1312">
        <v>3</v>
      </c>
      <c r="AE1312">
        <v>3</v>
      </c>
      <c r="AF1312">
        <v>15</v>
      </c>
      <c r="AG1312">
        <v>12</v>
      </c>
      <c r="AH1312">
        <v>5</v>
      </c>
      <c r="AI1312">
        <v>11</v>
      </c>
    </row>
    <row r="1313" spans="1:35" x14ac:dyDescent="0.3">
      <c r="A1313">
        <v>41</v>
      </c>
      <c r="B1313" t="s">
        <v>40</v>
      </c>
      <c r="C1313" t="s">
        <v>33</v>
      </c>
      <c r="D1313">
        <v>896</v>
      </c>
      <c r="E1313" t="s">
        <v>34</v>
      </c>
      <c r="F1313">
        <v>6</v>
      </c>
      <c r="G1313">
        <v>3</v>
      </c>
      <c r="H1313" t="s">
        <v>35</v>
      </c>
      <c r="I1313">
        <v>1</v>
      </c>
      <c r="J1313">
        <v>298</v>
      </c>
      <c r="K1313">
        <v>4</v>
      </c>
      <c r="L1313" s="17" t="s">
        <v>36</v>
      </c>
      <c r="M1313">
        <v>75</v>
      </c>
      <c r="N1313">
        <v>3</v>
      </c>
      <c r="O1313">
        <v>3</v>
      </c>
      <c r="P1313" t="s">
        <v>53</v>
      </c>
      <c r="Q1313">
        <v>4</v>
      </c>
      <c r="R1313" t="s">
        <v>38</v>
      </c>
      <c r="S1313" s="6">
        <v>13591</v>
      </c>
      <c r="T1313">
        <v>14674</v>
      </c>
      <c r="U1313">
        <v>3</v>
      </c>
      <c r="V1313" t="s">
        <v>39</v>
      </c>
      <c r="W1313" t="s">
        <v>32</v>
      </c>
      <c r="X1313">
        <v>18</v>
      </c>
      <c r="Y1313">
        <v>3</v>
      </c>
      <c r="Z1313">
        <v>3</v>
      </c>
      <c r="AA1313">
        <v>80</v>
      </c>
      <c r="AB1313">
        <v>0</v>
      </c>
      <c r="AC1313">
        <v>16</v>
      </c>
      <c r="AD1313">
        <v>3</v>
      </c>
      <c r="AE1313">
        <v>3</v>
      </c>
      <c r="AF1313">
        <v>1</v>
      </c>
      <c r="AG1313">
        <v>0</v>
      </c>
      <c r="AH1313">
        <v>0</v>
      </c>
      <c r="AI1313">
        <v>0</v>
      </c>
    </row>
    <row r="1314" spans="1:35" x14ac:dyDescent="0.3">
      <c r="A1314">
        <v>37</v>
      </c>
      <c r="B1314" t="s">
        <v>40</v>
      </c>
      <c r="C1314" t="s">
        <v>52</v>
      </c>
      <c r="D1314">
        <v>728</v>
      </c>
      <c r="E1314" t="s">
        <v>42</v>
      </c>
      <c r="F1314">
        <v>1</v>
      </c>
      <c r="G1314">
        <v>4</v>
      </c>
      <c r="H1314" t="s">
        <v>48</v>
      </c>
      <c r="I1314">
        <v>1</v>
      </c>
      <c r="J1314">
        <v>380</v>
      </c>
      <c r="K1314">
        <v>1</v>
      </c>
      <c r="L1314" s="17" t="s">
        <v>36</v>
      </c>
      <c r="M1314">
        <v>80</v>
      </c>
      <c r="N1314">
        <v>3</v>
      </c>
      <c r="O1314">
        <v>3</v>
      </c>
      <c r="P1314" t="s">
        <v>55</v>
      </c>
      <c r="Q1314">
        <v>4</v>
      </c>
      <c r="R1314" t="s">
        <v>49</v>
      </c>
      <c r="S1314" s="6">
        <v>13603</v>
      </c>
      <c r="T1314">
        <v>11677</v>
      </c>
      <c r="U1314">
        <v>2</v>
      </c>
      <c r="V1314" t="s">
        <v>39</v>
      </c>
      <c r="W1314" t="s">
        <v>32</v>
      </c>
      <c r="X1314">
        <v>18</v>
      </c>
      <c r="Y1314">
        <v>3</v>
      </c>
      <c r="Z1314">
        <v>1</v>
      </c>
      <c r="AA1314">
        <v>80</v>
      </c>
      <c r="AB1314">
        <v>2</v>
      </c>
      <c r="AC1314">
        <v>15</v>
      </c>
      <c r="AD1314">
        <v>2</v>
      </c>
      <c r="AE1314">
        <v>3</v>
      </c>
      <c r="AF1314">
        <v>5</v>
      </c>
      <c r="AG1314">
        <v>2</v>
      </c>
      <c r="AH1314">
        <v>0</v>
      </c>
      <c r="AI1314">
        <v>2</v>
      </c>
    </row>
    <row r="1315" spans="1:35" x14ac:dyDescent="0.3">
      <c r="A1315">
        <v>33</v>
      </c>
      <c r="B1315" t="s">
        <v>32</v>
      </c>
      <c r="C1315" t="s">
        <v>33</v>
      </c>
      <c r="D1315">
        <v>1277</v>
      </c>
      <c r="E1315" t="s">
        <v>42</v>
      </c>
      <c r="F1315">
        <v>15</v>
      </c>
      <c r="G1315">
        <v>1</v>
      </c>
      <c r="H1315" t="s">
        <v>48</v>
      </c>
      <c r="I1315">
        <v>1</v>
      </c>
      <c r="J1315">
        <v>582</v>
      </c>
      <c r="K1315">
        <v>2</v>
      </c>
      <c r="L1315" s="17" t="s">
        <v>43</v>
      </c>
      <c r="M1315">
        <v>56</v>
      </c>
      <c r="N1315">
        <v>3</v>
      </c>
      <c r="O1315">
        <v>3</v>
      </c>
      <c r="P1315" t="s">
        <v>53</v>
      </c>
      <c r="Q1315">
        <v>3</v>
      </c>
      <c r="R1315" t="s">
        <v>45</v>
      </c>
      <c r="S1315" s="6">
        <v>13610</v>
      </c>
      <c r="T1315">
        <v>24619</v>
      </c>
      <c r="U1315">
        <v>7</v>
      </c>
      <c r="V1315" t="s">
        <v>39</v>
      </c>
      <c r="W1315" t="s">
        <v>32</v>
      </c>
      <c r="X1315">
        <v>12</v>
      </c>
      <c r="Y1315">
        <v>3</v>
      </c>
      <c r="Z1315">
        <v>4</v>
      </c>
      <c r="AA1315">
        <v>80</v>
      </c>
      <c r="AB1315">
        <v>0</v>
      </c>
      <c r="AC1315">
        <v>15</v>
      </c>
      <c r="AD1315">
        <v>2</v>
      </c>
      <c r="AE1315">
        <v>4</v>
      </c>
      <c r="AF1315">
        <v>7</v>
      </c>
      <c r="AG1315">
        <v>6</v>
      </c>
      <c r="AH1315">
        <v>7</v>
      </c>
      <c r="AI1315">
        <v>7</v>
      </c>
    </row>
    <row r="1316" spans="1:35" x14ac:dyDescent="0.3">
      <c r="A1316">
        <v>37</v>
      </c>
      <c r="B1316" t="s">
        <v>40</v>
      </c>
      <c r="C1316" t="s">
        <v>33</v>
      </c>
      <c r="D1316">
        <v>397</v>
      </c>
      <c r="E1316" t="s">
        <v>42</v>
      </c>
      <c r="F1316">
        <v>7</v>
      </c>
      <c r="G1316">
        <v>4</v>
      </c>
      <c r="H1316" t="s">
        <v>48</v>
      </c>
      <c r="I1316">
        <v>1</v>
      </c>
      <c r="J1316">
        <v>102</v>
      </c>
      <c r="K1316">
        <v>1</v>
      </c>
      <c r="L1316" s="17" t="s">
        <v>43</v>
      </c>
      <c r="M1316">
        <v>30</v>
      </c>
      <c r="N1316">
        <v>3</v>
      </c>
      <c r="O1316">
        <v>3</v>
      </c>
      <c r="P1316" t="s">
        <v>55</v>
      </c>
      <c r="Q1316">
        <v>3</v>
      </c>
      <c r="R1316" t="s">
        <v>38</v>
      </c>
      <c r="S1316" s="6">
        <v>13664</v>
      </c>
      <c r="T1316">
        <v>25258</v>
      </c>
      <c r="U1316">
        <v>4</v>
      </c>
      <c r="V1316" t="s">
        <v>39</v>
      </c>
      <c r="W1316" t="s">
        <v>40</v>
      </c>
      <c r="X1316">
        <v>13</v>
      </c>
      <c r="Y1316">
        <v>3</v>
      </c>
      <c r="Z1316">
        <v>1</v>
      </c>
      <c r="AA1316">
        <v>80</v>
      </c>
      <c r="AB1316">
        <v>0</v>
      </c>
      <c r="AC1316">
        <v>16</v>
      </c>
      <c r="AD1316">
        <v>3</v>
      </c>
      <c r="AE1316">
        <v>4</v>
      </c>
      <c r="AF1316">
        <v>5</v>
      </c>
      <c r="AG1316">
        <v>2</v>
      </c>
      <c r="AH1316">
        <v>0</v>
      </c>
      <c r="AI1316">
        <v>2</v>
      </c>
    </row>
    <row r="1317" spans="1:35" x14ac:dyDescent="0.3">
      <c r="A1317">
        <v>31</v>
      </c>
      <c r="B1317" t="s">
        <v>40</v>
      </c>
      <c r="C1317" t="s">
        <v>41</v>
      </c>
      <c r="D1317">
        <v>1327</v>
      </c>
      <c r="E1317" t="s">
        <v>42</v>
      </c>
      <c r="F1317">
        <v>3</v>
      </c>
      <c r="G1317">
        <v>4</v>
      </c>
      <c r="H1317" t="s">
        <v>48</v>
      </c>
      <c r="I1317">
        <v>1</v>
      </c>
      <c r="J1317">
        <v>337</v>
      </c>
      <c r="K1317">
        <v>2</v>
      </c>
      <c r="L1317" s="17" t="s">
        <v>43</v>
      </c>
      <c r="M1317">
        <v>73</v>
      </c>
      <c r="N1317">
        <v>3</v>
      </c>
      <c r="O1317">
        <v>3</v>
      </c>
      <c r="P1317" t="s">
        <v>55</v>
      </c>
      <c r="Q1317">
        <v>3</v>
      </c>
      <c r="R1317" t="s">
        <v>49</v>
      </c>
      <c r="S1317" s="6">
        <v>13675</v>
      </c>
      <c r="T1317">
        <v>13523</v>
      </c>
      <c r="U1317">
        <v>9</v>
      </c>
      <c r="V1317" t="s">
        <v>39</v>
      </c>
      <c r="W1317" t="s">
        <v>40</v>
      </c>
      <c r="X1317">
        <v>12</v>
      </c>
      <c r="Y1317">
        <v>3</v>
      </c>
      <c r="Z1317">
        <v>1</v>
      </c>
      <c r="AA1317">
        <v>80</v>
      </c>
      <c r="AB1317">
        <v>1</v>
      </c>
      <c r="AC1317">
        <v>9</v>
      </c>
      <c r="AD1317">
        <v>3</v>
      </c>
      <c r="AE1317">
        <v>3</v>
      </c>
      <c r="AF1317">
        <v>2</v>
      </c>
      <c r="AG1317">
        <v>2</v>
      </c>
      <c r="AH1317">
        <v>2</v>
      </c>
      <c r="AI1317">
        <v>2</v>
      </c>
    </row>
    <row r="1318" spans="1:35" x14ac:dyDescent="0.3">
      <c r="A1318">
        <v>55</v>
      </c>
      <c r="B1318" t="s">
        <v>32</v>
      </c>
      <c r="C1318" t="s">
        <v>33</v>
      </c>
      <c r="D1318">
        <v>267</v>
      </c>
      <c r="E1318" t="s">
        <v>34</v>
      </c>
      <c r="F1318">
        <v>13</v>
      </c>
      <c r="G1318">
        <v>4</v>
      </c>
      <c r="H1318" t="s">
        <v>56</v>
      </c>
      <c r="I1318">
        <v>1</v>
      </c>
      <c r="J1318">
        <v>1372</v>
      </c>
      <c r="K1318">
        <v>1</v>
      </c>
      <c r="L1318" s="17" t="s">
        <v>43</v>
      </c>
      <c r="M1318">
        <v>85</v>
      </c>
      <c r="N1318">
        <v>4</v>
      </c>
      <c r="O1318">
        <v>4</v>
      </c>
      <c r="P1318" t="s">
        <v>37</v>
      </c>
      <c r="Q1318">
        <v>3</v>
      </c>
      <c r="R1318" t="s">
        <v>38</v>
      </c>
      <c r="S1318" s="6">
        <v>13695</v>
      </c>
      <c r="T1318">
        <v>9277</v>
      </c>
      <c r="U1318">
        <v>6</v>
      </c>
      <c r="V1318" t="s">
        <v>39</v>
      </c>
      <c r="W1318" t="s">
        <v>32</v>
      </c>
      <c r="X1318">
        <v>17</v>
      </c>
      <c r="Y1318">
        <v>3</v>
      </c>
      <c r="Z1318">
        <v>3</v>
      </c>
      <c r="AA1318">
        <v>80</v>
      </c>
      <c r="AB1318">
        <v>0</v>
      </c>
      <c r="AC1318">
        <v>24</v>
      </c>
      <c r="AD1318">
        <v>2</v>
      </c>
      <c r="AE1318">
        <v>2</v>
      </c>
      <c r="AF1318">
        <v>19</v>
      </c>
      <c r="AG1318">
        <v>7</v>
      </c>
      <c r="AH1318">
        <v>3</v>
      </c>
      <c r="AI1318">
        <v>8</v>
      </c>
    </row>
    <row r="1319" spans="1:35" x14ac:dyDescent="0.3">
      <c r="A1319">
        <v>59</v>
      </c>
      <c r="B1319" t="s">
        <v>40</v>
      </c>
      <c r="C1319" t="s">
        <v>33</v>
      </c>
      <c r="D1319">
        <v>715</v>
      </c>
      <c r="E1319" t="s">
        <v>42</v>
      </c>
      <c r="F1319">
        <v>2</v>
      </c>
      <c r="G1319">
        <v>3</v>
      </c>
      <c r="H1319" t="s">
        <v>35</v>
      </c>
      <c r="I1319">
        <v>1</v>
      </c>
      <c r="J1319">
        <v>1032</v>
      </c>
      <c r="K1319">
        <v>3</v>
      </c>
      <c r="L1319" s="17" t="s">
        <v>36</v>
      </c>
      <c r="M1319">
        <v>69</v>
      </c>
      <c r="N1319">
        <v>2</v>
      </c>
      <c r="O1319">
        <v>4</v>
      </c>
      <c r="P1319" t="s">
        <v>50</v>
      </c>
      <c r="Q1319">
        <v>4</v>
      </c>
      <c r="R1319" t="s">
        <v>38</v>
      </c>
      <c r="S1319" s="6">
        <v>13726</v>
      </c>
      <c r="T1319">
        <v>21829</v>
      </c>
      <c r="U1319">
        <v>3</v>
      </c>
      <c r="V1319" t="s">
        <v>39</v>
      </c>
      <c r="W1319" t="s">
        <v>32</v>
      </c>
      <c r="X1319">
        <v>13</v>
      </c>
      <c r="Y1319">
        <v>3</v>
      </c>
      <c r="Z1319">
        <v>1</v>
      </c>
      <c r="AA1319">
        <v>80</v>
      </c>
      <c r="AB1319">
        <v>0</v>
      </c>
      <c r="AC1319">
        <v>30</v>
      </c>
      <c r="AD1319">
        <v>4</v>
      </c>
      <c r="AE1319">
        <v>3</v>
      </c>
      <c r="AF1319">
        <v>5</v>
      </c>
      <c r="AG1319">
        <v>3</v>
      </c>
      <c r="AH1319">
        <v>4</v>
      </c>
      <c r="AI1319">
        <v>3</v>
      </c>
    </row>
    <row r="1320" spans="1:35" x14ac:dyDescent="0.3">
      <c r="A1320">
        <v>51</v>
      </c>
      <c r="B1320" t="s">
        <v>40</v>
      </c>
      <c r="C1320" t="s">
        <v>33</v>
      </c>
      <c r="D1320">
        <v>313</v>
      </c>
      <c r="E1320" t="s">
        <v>42</v>
      </c>
      <c r="F1320">
        <v>3</v>
      </c>
      <c r="G1320">
        <v>3</v>
      </c>
      <c r="H1320" t="s">
        <v>48</v>
      </c>
      <c r="I1320">
        <v>1</v>
      </c>
      <c r="J1320">
        <v>258</v>
      </c>
      <c r="K1320">
        <v>4</v>
      </c>
      <c r="L1320" s="17" t="s">
        <v>36</v>
      </c>
      <c r="M1320">
        <v>98</v>
      </c>
      <c r="N1320">
        <v>3</v>
      </c>
      <c r="O1320">
        <v>4</v>
      </c>
      <c r="P1320" t="s">
        <v>51</v>
      </c>
      <c r="Q1320">
        <v>2</v>
      </c>
      <c r="R1320" t="s">
        <v>38</v>
      </c>
      <c r="S1320" s="6">
        <v>13734</v>
      </c>
      <c r="T1320">
        <v>7192</v>
      </c>
      <c r="U1320">
        <v>3</v>
      </c>
      <c r="V1320" t="s">
        <v>39</v>
      </c>
      <c r="W1320" t="s">
        <v>40</v>
      </c>
      <c r="X1320">
        <v>18</v>
      </c>
      <c r="Y1320">
        <v>3</v>
      </c>
      <c r="Z1320">
        <v>3</v>
      </c>
      <c r="AA1320">
        <v>80</v>
      </c>
      <c r="AB1320">
        <v>0</v>
      </c>
      <c r="AC1320">
        <v>21</v>
      </c>
      <c r="AD1320">
        <v>6</v>
      </c>
      <c r="AE1320">
        <v>3</v>
      </c>
      <c r="AF1320">
        <v>7</v>
      </c>
      <c r="AG1320">
        <v>7</v>
      </c>
      <c r="AH1320">
        <v>1</v>
      </c>
      <c r="AI1320">
        <v>0</v>
      </c>
    </row>
    <row r="1321" spans="1:35" x14ac:dyDescent="0.3">
      <c r="A1321">
        <v>37</v>
      </c>
      <c r="B1321" t="s">
        <v>40</v>
      </c>
      <c r="C1321" t="s">
        <v>33</v>
      </c>
      <c r="D1321">
        <v>161</v>
      </c>
      <c r="E1321" t="s">
        <v>42</v>
      </c>
      <c r="F1321">
        <v>10</v>
      </c>
      <c r="G1321">
        <v>3</v>
      </c>
      <c r="H1321" t="s">
        <v>35</v>
      </c>
      <c r="I1321">
        <v>1</v>
      </c>
      <c r="J1321">
        <v>2017</v>
      </c>
      <c r="K1321">
        <v>3</v>
      </c>
      <c r="L1321" s="17" t="s">
        <v>36</v>
      </c>
      <c r="M1321">
        <v>42</v>
      </c>
      <c r="N1321">
        <v>4</v>
      </c>
      <c r="O1321">
        <v>3</v>
      </c>
      <c r="P1321" t="s">
        <v>55</v>
      </c>
      <c r="Q1321">
        <v>4</v>
      </c>
      <c r="R1321" t="s">
        <v>45</v>
      </c>
      <c r="S1321" s="6">
        <v>13744</v>
      </c>
      <c r="T1321">
        <v>15471</v>
      </c>
      <c r="U1321">
        <v>1</v>
      </c>
      <c r="V1321" t="s">
        <v>39</v>
      </c>
      <c r="W1321" t="s">
        <v>32</v>
      </c>
      <c r="X1321">
        <v>25</v>
      </c>
      <c r="Y1321">
        <v>4</v>
      </c>
      <c r="Z1321">
        <v>1</v>
      </c>
      <c r="AA1321">
        <v>80</v>
      </c>
      <c r="AB1321">
        <v>1</v>
      </c>
      <c r="AC1321">
        <v>16</v>
      </c>
      <c r="AD1321">
        <v>2</v>
      </c>
      <c r="AE1321">
        <v>3</v>
      </c>
      <c r="AF1321">
        <v>16</v>
      </c>
      <c r="AG1321">
        <v>11</v>
      </c>
      <c r="AH1321">
        <v>6</v>
      </c>
      <c r="AI1321">
        <v>8</v>
      </c>
    </row>
    <row r="1322" spans="1:35" x14ac:dyDescent="0.3">
      <c r="A1322">
        <v>40</v>
      </c>
      <c r="B1322" t="s">
        <v>40</v>
      </c>
      <c r="C1322" t="s">
        <v>52</v>
      </c>
      <c r="D1322">
        <v>218</v>
      </c>
      <c r="E1322" t="s">
        <v>42</v>
      </c>
      <c r="F1322">
        <v>8</v>
      </c>
      <c r="G1322">
        <v>1</v>
      </c>
      <c r="H1322" t="s">
        <v>48</v>
      </c>
      <c r="I1322">
        <v>1</v>
      </c>
      <c r="J1322">
        <v>1468</v>
      </c>
      <c r="K1322">
        <v>4</v>
      </c>
      <c r="L1322" s="17" t="s">
        <v>43</v>
      </c>
      <c r="M1322">
        <v>55</v>
      </c>
      <c r="N1322">
        <v>2</v>
      </c>
      <c r="O1322">
        <v>3</v>
      </c>
      <c r="P1322" t="s">
        <v>55</v>
      </c>
      <c r="Q1322">
        <v>2</v>
      </c>
      <c r="R1322" t="s">
        <v>49</v>
      </c>
      <c r="S1322" s="6">
        <v>13757</v>
      </c>
      <c r="T1322">
        <v>25178</v>
      </c>
      <c r="U1322">
        <v>2</v>
      </c>
      <c r="V1322" t="s">
        <v>39</v>
      </c>
      <c r="W1322" t="s">
        <v>40</v>
      </c>
      <c r="X1322">
        <v>11</v>
      </c>
      <c r="Y1322">
        <v>3</v>
      </c>
      <c r="Z1322">
        <v>3</v>
      </c>
      <c r="AA1322">
        <v>80</v>
      </c>
      <c r="AB1322">
        <v>1</v>
      </c>
      <c r="AC1322">
        <v>16</v>
      </c>
      <c r="AD1322">
        <v>5</v>
      </c>
      <c r="AE1322">
        <v>3</v>
      </c>
      <c r="AF1322">
        <v>9</v>
      </c>
      <c r="AG1322">
        <v>8</v>
      </c>
      <c r="AH1322">
        <v>4</v>
      </c>
      <c r="AI1322">
        <v>8</v>
      </c>
    </row>
    <row r="1323" spans="1:35" x14ac:dyDescent="0.3">
      <c r="A1323">
        <v>42</v>
      </c>
      <c r="B1323" t="s">
        <v>32</v>
      </c>
      <c r="C1323" t="s">
        <v>41</v>
      </c>
      <c r="D1323">
        <v>481</v>
      </c>
      <c r="E1323" t="s">
        <v>34</v>
      </c>
      <c r="F1323">
        <v>12</v>
      </c>
      <c r="G1323">
        <v>3</v>
      </c>
      <c r="H1323" t="s">
        <v>35</v>
      </c>
      <c r="I1323">
        <v>1</v>
      </c>
      <c r="J1323">
        <v>1167</v>
      </c>
      <c r="K1323">
        <v>3</v>
      </c>
      <c r="L1323" s="17" t="s">
        <v>43</v>
      </c>
      <c r="M1323">
        <v>44</v>
      </c>
      <c r="N1323">
        <v>3</v>
      </c>
      <c r="O1323">
        <v>4</v>
      </c>
      <c r="P1323" t="s">
        <v>37</v>
      </c>
      <c r="Q1323">
        <v>1</v>
      </c>
      <c r="R1323" t="s">
        <v>38</v>
      </c>
      <c r="S1323" s="6">
        <v>13758</v>
      </c>
      <c r="T1323">
        <v>2447</v>
      </c>
      <c r="U1323">
        <v>0</v>
      </c>
      <c r="V1323" t="s">
        <v>39</v>
      </c>
      <c r="W1323" t="s">
        <v>32</v>
      </c>
      <c r="X1323">
        <v>12</v>
      </c>
      <c r="Y1323">
        <v>3</v>
      </c>
      <c r="Z1323">
        <v>2</v>
      </c>
      <c r="AA1323">
        <v>80</v>
      </c>
      <c r="AB1323">
        <v>0</v>
      </c>
      <c r="AC1323">
        <v>22</v>
      </c>
      <c r="AD1323">
        <v>2</v>
      </c>
      <c r="AE1323">
        <v>2</v>
      </c>
      <c r="AF1323">
        <v>21</v>
      </c>
      <c r="AG1323">
        <v>9</v>
      </c>
      <c r="AH1323">
        <v>13</v>
      </c>
      <c r="AI1323">
        <v>14</v>
      </c>
    </row>
    <row r="1324" spans="1:35" x14ac:dyDescent="0.3">
      <c r="A1324">
        <v>47</v>
      </c>
      <c r="B1324" t="s">
        <v>40</v>
      </c>
      <c r="C1324" t="s">
        <v>41</v>
      </c>
      <c r="D1324">
        <v>217</v>
      </c>
      <c r="E1324" t="s">
        <v>34</v>
      </c>
      <c r="F1324">
        <v>3</v>
      </c>
      <c r="G1324">
        <v>3</v>
      </c>
      <c r="H1324" t="s">
        <v>48</v>
      </c>
      <c r="I1324">
        <v>1</v>
      </c>
      <c r="J1324">
        <v>746</v>
      </c>
      <c r="K1324">
        <v>4</v>
      </c>
      <c r="L1324" s="17" t="s">
        <v>36</v>
      </c>
      <c r="M1324">
        <v>49</v>
      </c>
      <c r="N1324">
        <v>3</v>
      </c>
      <c r="O1324">
        <v>4</v>
      </c>
      <c r="P1324" t="s">
        <v>37</v>
      </c>
      <c r="Q1324">
        <v>3</v>
      </c>
      <c r="R1324" t="s">
        <v>49</v>
      </c>
      <c r="S1324" s="6">
        <v>13770</v>
      </c>
      <c r="T1324">
        <v>10225</v>
      </c>
      <c r="U1324">
        <v>9</v>
      </c>
      <c r="V1324" t="s">
        <v>39</v>
      </c>
      <c r="W1324" t="s">
        <v>32</v>
      </c>
      <c r="X1324">
        <v>12</v>
      </c>
      <c r="Y1324">
        <v>3</v>
      </c>
      <c r="Z1324">
        <v>4</v>
      </c>
      <c r="AA1324">
        <v>80</v>
      </c>
      <c r="AB1324">
        <v>2</v>
      </c>
      <c r="AC1324">
        <v>28</v>
      </c>
      <c r="AD1324">
        <v>2</v>
      </c>
      <c r="AE1324">
        <v>2</v>
      </c>
      <c r="AF1324">
        <v>22</v>
      </c>
      <c r="AG1324">
        <v>2</v>
      </c>
      <c r="AH1324">
        <v>11</v>
      </c>
      <c r="AI1324">
        <v>13</v>
      </c>
    </row>
    <row r="1325" spans="1:35" x14ac:dyDescent="0.3">
      <c r="A1325">
        <v>52</v>
      </c>
      <c r="B1325" t="s">
        <v>40</v>
      </c>
      <c r="C1325" t="s">
        <v>41</v>
      </c>
      <c r="D1325">
        <v>890</v>
      </c>
      <c r="E1325" t="s">
        <v>42</v>
      </c>
      <c r="F1325">
        <v>25</v>
      </c>
      <c r="G1325">
        <v>4</v>
      </c>
      <c r="H1325" t="s">
        <v>48</v>
      </c>
      <c r="I1325">
        <v>1</v>
      </c>
      <c r="J1325">
        <v>867</v>
      </c>
      <c r="K1325">
        <v>3</v>
      </c>
      <c r="L1325" s="17" t="s">
        <v>36</v>
      </c>
      <c r="M1325">
        <v>81</v>
      </c>
      <c r="N1325">
        <v>2</v>
      </c>
      <c r="O1325">
        <v>4</v>
      </c>
      <c r="P1325" t="s">
        <v>50</v>
      </c>
      <c r="Q1325">
        <v>4</v>
      </c>
      <c r="R1325" t="s">
        <v>45</v>
      </c>
      <c r="S1325" s="6">
        <v>13826</v>
      </c>
      <c r="T1325">
        <v>19028</v>
      </c>
      <c r="U1325">
        <v>3</v>
      </c>
      <c r="V1325" t="s">
        <v>39</v>
      </c>
      <c r="W1325" t="s">
        <v>40</v>
      </c>
      <c r="X1325">
        <v>22</v>
      </c>
      <c r="Y1325">
        <v>4</v>
      </c>
      <c r="Z1325">
        <v>3</v>
      </c>
      <c r="AA1325">
        <v>80</v>
      </c>
      <c r="AB1325">
        <v>0</v>
      </c>
      <c r="AC1325">
        <v>31</v>
      </c>
      <c r="AD1325">
        <v>3</v>
      </c>
      <c r="AE1325">
        <v>3</v>
      </c>
      <c r="AF1325">
        <v>9</v>
      </c>
      <c r="AG1325">
        <v>8</v>
      </c>
      <c r="AH1325">
        <v>0</v>
      </c>
      <c r="AI1325">
        <v>0</v>
      </c>
    </row>
    <row r="1326" spans="1:35" x14ac:dyDescent="0.3">
      <c r="A1326">
        <v>58</v>
      </c>
      <c r="B1326" t="s">
        <v>40</v>
      </c>
      <c r="C1326" t="s">
        <v>33</v>
      </c>
      <c r="D1326">
        <v>682</v>
      </c>
      <c r="E1326" t="s">
        <v>34</v>
      </c>
      <c r="F1326">
        <v>10</v>
      </c>
      <c r="G1326">
        <v>4</v>
      </c>
      <c r="H1326" t="s">
        <v>48</v>
      </c>
      <c r="I1326">
        <v>1</v>
      </c>
      <c r="J1326">
        <v>131</v>
      </c>
      <c r="K1326">
        <v>4</v>
      </c>
      <c r="L1326" s="17" t="s">
        <v>43</v>
      </c>
      <c r="M1326">
        <v>37</v>
      </c>
      <c r="N1326">
        <v>3</v>
      </c>
      <c r="O1326">
        <v>4</v>
      </c>
      <c r="P1326" t="s">
        <v>37</v>
      </c>
      <c r="Q1326">
        <v>3</v>
      </c>
      <c r="R1326" t="s">
        <v>38</v>
      </c>
      <c r="S1326" s="6">
        <v>13872</v>
      </c>
      <c r="T1326">
        <v>24409</v>
      </c>
      <c r="U1326">
        <v>0</v>
      </c>
      <c r="V1326" t="s">
        <v>39</v>
      </c>
      <c r="W1326" t="s">
        <v>40</v>
      </c>
      <c r="X1326">
        <v>13</v>
      </c>
      <c r="Y1326">
        <v>3</v>
      </c>
      <c r="Z1326">
        <v>3</v>
      </c>
      <c r="AA1326">
        <v>80</v>
      </c>
      <c r="AB1326">
        <v>0</v>
      </c>
      <c r="AC1326">
        <v>38</v>
      </c>
      <c r="AD1326">
        <v>1</v>
      </c>
      <c r="AE1326">
        <v>2</v>
      </c>
      <c r="AF1326">
        <v>37</v>
      </c>
      <c r="AG1326">
        <v>10</v>
      </c>
      <c r="AH1326">
        <v>1</v>
      </c>
      <c r="AI1326">
        <v>8</v>
      </c>
    </row>
    <row r="1327" spans="1:35" x14ac:dyDescent="0.3">
      <c r="A1327">
        <v>49</v>
      </c>
      <c r="B1327" t="s">
        <v>40</v>
      </c>
      <c r="C1327" t="s">
        <v>33</v>
      </c>
      <c r="D1327">
        <v>1091</v>
      </c>
      <c r="E1327" t="s">
        <v>42</v>
      </c>
      <c r="F1327">
        <v>1</v>
      </c>
      <c r="G1327">
        <v>2</v>
      </c>
      <c r="H1327" t="s">
        <v>57</v>
      </c>
      <c r="I1327">
        <v>1</v>
      </c>
      <c r="J1327">
        <v>431</v>
      </c>
      <c r="K1327">
        <v>3</v>
      </c>
      <c r="L1327" s="17" t="s">
        <v>36</v>
      </c>
      <c r="M1327">
        <v>90</v>
      </c>
      <c r="N1327">
        <v>2</v>
      </c>
      <c r="O1327">
        <v>4</v>
      </c>
      <c r="P1327" t="s">
        <v>51</v>
      </c>
      <c r="Q1327">
        <v>3</v>
      </c>
      <c r="R1327" t="s">
        <v>38</v>
      </c>
      <c r="S1327" s="6">
        <v>13964</v>
      </c>
      <c r="T1327">
        <v>17810</v>
      </c>
      <c r="U1327">
        <v>7</v>
      </c>
      <c r="V1327" t="s">
        <v>39</v>
      </c>
      <c r="W1327" t="s">
        <v>32</v>
      </c>
      <c r="X1327">
        <v>12</v>
      </c>
      <c r="Y1327">
        <v>3</v>
      </c>
      <c r="Z1327">
        <v>4</v>
      </c>
      <c r="AA1327">
        <v>80</v>
      </c>
      <c r="AB1327">
        <v>0</v>
      </c>
      <c r="AC1327">
        <v>25</v>
      </c>
      <c r="AD1327">
        <v>2</v>
      </c>
      <c r="AE1327">
        <v>3</v>
      </c>
      <c r="AF1327">
        <v>7</v>
      </c>
      <c r="AG1327">
        <v>1</v>
      </c>
      <c r="AH1327">
        <v>0</v>
      </c>
      <c r="AI1327">
        <v>7</v>
      </c>
    </row>
    <row r="1328" spans="1:35" x14ac:dyDescent="0.3">
      <c r="A1328">
        <v>49</v>
      </c>
      <c r="B1328" t="s">
        <v>40</v>
      </c>
      <c r="C1328" t="s">
        <v>33</v>
      </c>
      <c r="D1328">
        <v>465</v>
      </c>
      <c r="E1328" t="s">
        <v>42</v>
      </c>
      <c r="F1328">
        <v>6</v>
      </c>
      <c r="G1328">
        <v>1</v>
      </c>
      <c r="H1328" t="s">
        <v>35</v>
      </c>
      <c r="I1328">
        <v>1</v>
      </c>
      <c r="J1328">
        <v>1661</v>
      </c>
      <c r="K1328">
        <v>3</v>
      </c>
      <c r="L1328" s="17" t="s">
        <v>36</v>
      </c>
      <c r="M1328">
        <v>41</v>
      </c>
      <c r="N1328">
        <v>2</v>
      </c>
      <c r="O1328">
        <v>4</v>
      </c>
      <c r="P1328" t="s">
        <v>51</v>
      </c>
      <c r="Q1328">
        <v>3</v>
      </c>
      <c r="R1328" t="s">
        <v>45</v>
      </c>
      <c r="S1328" s="6">
        <v>13966</v>
      </c>
      <c r="T1328">
        <v>11652</v>
      </c>
      <c r="U1328">
        <v>2</v>
      </c>
      <c r="V1328" t="s">
        <v>39</v>
      </c>
      <c r="W1328" t="s">
        <v>32</v>
      </c>
      <c r="X1328">
        <v>19</v>
      </c>
      <c r="Y1328">
        <v>3</v>
      </c>
      <c r="Z1328">
        <v>2</v>
      </c>
      <c r="AA1328">
        <v>80</v>
      </c>
      <c r="AB1328">
        <v>1</v>
      </c>
      <c r="AC1328">
        <v>30</v>
      </c>
      <c r="AD1328">
        <v>3</v>
      </c>
      <c r="AE1328">
        <v>3</v>
      </c>
      <c r="AF1328">
        <v>15</v>
      </c>
      <c r="AG1328">
        <v>11</v>
      </c>
      <c r="AH1328">
        <v>2</v>
      </c>
      <c r="AI1328">
        <v>12</v>
      </c>
    </row>
    <row r="1329" spans="1:35" x14ac:dyDescent="0.3">
      <c r="A1329">
        <v>50</v>
      </c>
      <c r="B1329" t="s">
        <v>40</v>
      </c>
      <c r="C1329" t="s">
        <v>33</v>
      </c>
      <c r="D1329">
        <v>939</v>
      </c>
      <c r="E1329" t="s">
        <v>42</v>
      </c>
      <c r="F1329">
        <v>24</v>
      </c>
      <c r="G1329">
        <v>3</v>
      </c>
      <c r="H1329" t="s">
        <v>35</v>
      </c>
      <c r="I1329">
        <v>1</v>
      </c>
      <c r="J1329">
        <v>1005</v>
      </c>
      <c r="K1329">
        <v>4</v>
      </c>
      <c r="L1329" s="17" t="s">
        <v>43</v>
      </c>
      <c r="M1329">
        <v>95</v>
      </c>
      <c r="N1329">
        <v>3</v>
      </c>
      <c r="O1329">
        <v>4</v>
      </c>
      <c r="P1329" t="s">
        <v>50</v>
      </c>
      <c r="Q1329">
        <v>3</v>
      </c>
      <c r="R1329" t="s">
        <v>45</v>
      </c>
      <c r="S1329" s="6">
        <v>13973</v>
      </c>
      <c r="T1329">
        <v>4161</v>
      </c>
      <c r="U1329">
        <v>3</v>
      </c>
      <c r="V1329" t="s">
        <v>39</v>
      </c>
      <c r="W1329" t="s">
        <v>32</v>
      </c>
      <c r="X1329">
        <v>18</v>
      </c>
      <c r="Y1329">
        <v>3</v>
      </c>
      <c r="Z1329">
        <v>4</v>
      </c>
      <c r="AA1329">
        <v>80</v>
      </c>
      <c r="AB1329">
        <v>1</v>
      </c>
      <c r="AC1329">
        <v>22</v>
      </c>
      <c r="AD1329">
        <v>2</v>
      </c>
      <c r="AE1329">
        <v>3</v>
      </c>
      <c r="AF1329">
        <v>12</v>
      </c>
      <c r="AG1329">
        <v>11</v>
      </c>
      <c r="AH1329">
        <v>1</v>
      </c>
      <c r="AI1329">
        <v>5</v>
      </c>
    </row>
    <row r="1330" spans="1:35" x14ac:dyDescent="0.3">
      <c r="A1330">
        <v>51</v>
      </c>
      <c r="B1330" t="s">
        <v>40</v>
      </c>
      <c r="C1330" t="s">
        <v>33</v>
      </c>
      <c r="D1330">
        <v>770</v>
      </c>
      <c r="E1330" t="s">
        <v>58</v>
      </c>
      <c r="F1330">
        <v>5</v>
      </c>
      <c r="G1330">
        <v>3</v>
      </c>
      <c r="H1330" t="s">
        <v>35</v>
      </c>
      <c r="I1330">
        <v>1</v>
      </c>
      <c r="J1330">
        <v>1352</v>
      </c>
      <c r="K1330">
        <v>3</v>
      </c>
      <c r="L1330" s="17" t="s">
        <v>43</v>
      </c>
      <c r="M1330">
        <v>84</v>
      </c>
      <c r="N1330">
        <v>3</v>
      </c>
      <c r="O1330">
        <v>4</v>
      </c>
      <c r="P1330" t="s">
        <v>53</v>
      </c>
      <c r="Q1330">
        <v>2</v>
      </c>
      <c r="R1330" t="s">
        <v>49</v>
      </c>
      <c r="S1330" s="6">
        <v>14026</v>
      </c>
      <c r="T1330">
        <v>17588</v>
      </c>
      <c r="U1330">
        <v>1</v>
      </c>
      <c r="V1330" t="s">
        <v>39</v>
      </c>
      <c r="W1330" t="s">
        <v>32</v>
      </c>
      <c r="X1330">
        <v>11</v>
      </c>
      <c r="Y1330">
        <v>3</v>
      </c>
      <c r="Z1330">
        <v>2</v>
      </c>
      <c r="AA1330">
        <v>80</v>
      </c>
      <c r="AB1330">
        <v>1</v>
      </c>
      <c r="AC1330">
        <v>33</v>
      </c>
      <c r="AD1330">
        <v>2</v>
      </c>
      <c r="AE1330">
        <v>3</v>
      </c>
      <c r="AF1330">
        <v>33</v>
      </c>
      <c r="AG1330">
        <v>9</v>
      </c>
      <c r="AH1330">
        <v>0</v>
      </c>
      <c r="AI1330">
        <v>10</v>
      </c>
    </row>
    <row r="1331" spans="1:35" x14ac:dyDescent="0.3">
      <c r="A1331">
        <v>57</v>
      </c>
      <c r="B1331" t="s">
        <v>40</v>
      </c>
      <c r="C1331" t="s">
        <v>33</v>
      </c>
      <c r="D1331">
        <v>210</v>
      </c>
      <c r="E1331" t="s">
        <v>34</v>
      </c>
      <c r="F1331">
        <v>29</v>
      </c>
      <c r="G1331">
        <v>3</v>
      </c>
      <c r="H1331" t="s">
        <v>56</v>
      </c>
      <c r="I1331">
        <v>1</v>
      </c>
      <c r="J1331">
        <v>568</v>
      </c>
      <c r="K1331">
        <v>1</v>
      </c>
      <c r="L1331" s="17" t="s">
        <v>43</v>
      </c>
      <c r="M1331">
        <v>56</v>
      </c>
      <c r="N1331">
        <v>2</v>
      </c>
      <c r="O1331">
        <v>4</v>
      </c>
      <c r="P1331" t="s">
        <v>53</v>
      </c>
      <c r="Q1331">
        <v>4</v>
      </c>
      <c r="R1331" t="s">
        <v>49</v>
      </c>
      <c r="S1331" s="6">
        <v>14118</v>
      </c>
      <c r="T1331">
        <v>22102</v>
      </c>
      <c r="U1331">
        <v>3</v>
      </c>
      <c r="V1331" t="s">
        <v>39</v>
      </c>
      <c r="W1331" t="s">
        <v>40</v>
      </c>
      <c r="X1331">
        <v>12</v>
      </c>
      <c r="Y1331">
        <v>3</v>
      </c>
      <c r="Z1331">
        <v>3</v>
      </c>
      <c r="AA1331">
        <v>80</v>
      </c>
      <c r="AB1331">
        <v>1</v>
      </c>
      <c r="AC1331">
        <v>32</v>
      </c>
      <c r="AD1331">
        <v>3</v>
      </c>
      <c r="AE1331">
        <v>2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53</v>
      </c>
      <c r="B1332" t="s">
        <v>40</v>
      </c>
      <c r="C1332" t="s">
        <v>33</v>
      </c>
      <c r="D1332">
        <v>102</v>
      </c>
      <c r="E1332" t="s">
        <v>42</v>
      </c>
      <c r="F1332">
        <v>23</v>
      </c>
      <c r="G1332">
        <v>4</v>
      </c>
      <c r="H1332" t="s">
        <v>35</v>
      </c>
      <c r="I1332">
        <v>1</v>
      </c>
      <c r="J1332">
        <v>901</v>
      </c>
      <c r="K1332">
        <v>4</v>
      </c>
      <c r="L1332" s="17" t="s">
        <v>36</v>
      </c>
      <c r="M1332">
        <v>72</v>
      </c>
      <c r="N1332">
        <v>3</v>
      </c>
      <c r="O1332">
        <v>4</v>
      </c>
      <c r="P1332" t="s">
        <v>55</v>
      </c>
      <c r="Q1332">
        <v>4</v>
      </c>
      <c r="R1332" t="s">
        <v>38</v>
      </c>
      <c r="S1332" s="6">
        <v>14275</v>
      </c>
      <c r="T1332">
        <v>20206</v>
      </c>
      <c r="U1332">
        <v>6</v>
      </c>
      <c r="V1332" t="s">
        <v>39</v>
      </c>
      <c r="W1332" t="s">
        <v>40</v>
      </c>
      <c r="X1332">
        <v>18</v>
      </c>
      <c r="Y1332">
        <v>3</v>
      </c>
      <c r="Z1332">
        <v>3</v>
      </c>
      <c r="AA1332">
        <v>80</v>
      </c>
      <c r="AB1332">
        <v>0</v>
      </c>
      <c r="AC1332">
        <v>33</v>
      </c>
      <c r="AD1332">
        <v>0</v>
      </c>
      <c r="AE1332">
        <v>3</v>
      </c>
      <c r="AF1332">
        <v>12</v>
      </c>
      <c r="AG1332">
        <v>9</v>
      </c>
      <c r="AH1332">
        <v>3</v>
      </c>
      <c r="AI1332">
        <v>8</v>
      </c>
    </row>
    <row r="1333" spans="1:35" x14ac:dyDescent="0.3">
      <c r="A1333">
        <v>43</v>
      </c>
      <c r="B1333" t="s">
        <v>40</v>
      </c>
      <c r="C1333" t="s">
        <v>33</v>
      </c>
      <c r="D1333">
        <v>982</v>
      </c>
      <c r="E1333" t="s">
        <v>42</v>
      </c>
      <c r="F1333">
        <v>12</v>
      </c>
      <c r="G1333">
        <v>3</v>
      </c>
      <c r="H1333" t="s">
        <v>35</v>
      </c>
      <c r="I1333">
        <v>1</v>
      </c>
      <c r="J1333">
        <v>520</v>
      </c>
      <c r="K1333">
        <v>1</v>
      </c>
      <c r="L1333" s="17" t="s">
        <v>43</v>
      </c>
      <c r="M1333">
        <v>59</v>
      </c>
      <c r="N1333">
        <v>2</v>
      </c>
      <c r="O1333">
        <v>4</v>
      </c>
      <c r="P1333" t="s">
        <v>55</v>
      </c>
      <c r="Q1333">
        <v>2</v>
      </c>
      <c r="R1333" t="s">
        <v>49</v>
      </c>
      <c r="S1333" s="6">
        <v>14336</v>
      </c>
      <c r="T1333">
        <v>4345</v>
      </c>
      <c r="U1333">
        <v>1</v>
      </c>
      <c r="V1333" t="s">
        <v>39</v>
      </c>
      <c r="W1333" t="s">
        <v>40</v>
      </c>
      <c r="X1333">
        <v>11</v>
      </c>
      <c r="Y1333">
        <v>3</v>
      </c>
      <c r="Z1333">
        <v>3</v>
      </c>
      <c r="AA1333">
        <v>80</v>
      </c>
      <c r="AB1333">
        <v>1</v>
      </c>
      <c r="AC1333">
        <v>25</v>
      </c>
      <c r="AD1333">
        <v>3</v>
      </c>
      <c r="AE1333">
        <v>3</v>
      </c>
      <c r="AF1333">
        <v>25</v>
      </c>
      <c r="AG1333">
        <v>10</v>
      </c>
      <c r="AH1333">
        <v>3</v>
      </c>
      <c r="AI1333">
        <v>9</v>
      </c>
    </row>
    <row r="1334" spans="1:35" x14ac:dyDescent="0.3">
      <c r="A1334">
        <v>50</v>
      </c>
      <c r="B1334" t="s">
        <v>40</v>
      </c>
      <c r="C1334" t="s">
        <v>41</v>
      </c>
      <c r="D1334">
        <v>333</v>
      </c>
      <c r="E1334" t="s">
        <v>42</v>
      </c>
      <c r="F1334">
        <v>22</v>
      </c>
      <c r="G1334">
        <v>5</v>
      </c>
      <c r="H1334" t="s">
        <v>48</v>
      </c>
      <c r="I1334">
        <v>1</v>
      </c>
      <c r="J1334">
        <v>1539</v>
      </c>
      <c r="K1334">
        <v>3</v>
      </c>
      <c r="L1334" s="17" t="s">
        <v>43</v>
      </c>
      <c r="M1334">
        <v>88</v>
      </c>
      <c r="N1334">
        <v>1</v>
      </c>
      <c r="O1334">
        <v>4</v>
      </c>
      <c r="P1334" t="s">
        <v>55</v>
      </c>
      <c r="Q1334">
        <v>4</v>
      </c>
      <c r="R1334" t="s">
        <v>38</v>
      </c>
      <c r="S1334" s="6">
        <v>14411</v>
      </c>
      <c r="T1334">
        <v>24450</v>
      </c>
      <c r="U1334">
        <v>1</v>
      </c>
      <c r="V1334" t="s">
        <v>39</v>
      </c>
      <c r="W1334" t="s">
        <v>32</v>
      </c>
      <c r="X1334">
        <v>13</v>
      </c>
      <c r="Y1334">
        <v>3</v>
      </c>
      <c r="Z1334">
        <v>4</v>
      </c>
      <c r="AA1334">
        <v>80</v>
      </c>
      <c r="AB1334">
        <v>0</v>
      </c>
      <c r="AC1334">
        <v>32</v>
      </c>
      <c r="AD1334">
        <v>2</v>
      </c>
      <c r="AE1334">
        <v>3</v>
      </c>
      <c r="AF1334">
        <v>32</v>
      </c>
      <c r="AG1334">
        <v>6</v>
      </c>
      <c r="AH1334">
        <v>13</v>
      </c>
      <c r="AI1334">
        <v>9</v>
      </c>
    </row>
    <row r="1335" spans="1:35" x14ac:dyDescent="0.3">
      <c r="A1335">
        <v>55</v>
      </c>
      <c r="B1335" t="s">
        <v>40</v>
      </c>
      <c r="C1335" t="s">
        <v>33</v>
      </c>
      <c r="D1335">
        <v>1136</v>
      </c>
      <c r="E1335" t="s">
        <v>42</v>
      </c>
      <c r="F1335">
        <v>1</v>
      </c>
      <c r="G1335">
        <v>4</v>
      </c>
      <c r="H1335" t="s">
        <v>48</v>
      </c>
      <c r="I1335">
        <v>1</v>
      </c>
      <c r="J1335">
        <v>1424</v>
      </c>
      <c r="K1335">
        <v>2</v>
      </c>
      <c r="L1335" s="17" t="s">
        <v>43</v>
      </c>
      <c r="M1335">
        <v>81</v>
      </c>
      <c r="N1335">
        <v>4</v>
      </c>
      <c r="O1335">
        <v>4</v>
      </c>
      <c r="P1335" t="s">
        <v>55</v>
      </c>
      <c r="Q1335">
        <v>4</v>
      </c>
      <c r="R1335" t="s">
        <v>49</v>
      </c>
      <c r="S1335" s="6">
        <v>14732</v>
      </c>
      <c r="T1335">
        <v>12414</v>
      </c>
      <c r="U1335">
        <v>2</v>
      </c>
      <c r="V1335" t="s">
        <v>39</v>
      </c>
      <c r="W1335" t="s">
        <v>40</v>
      </c>
      <c r="X1335">
        <v>13</v>
      </c>
      <c r="Y1335">
        <v>3</v>
      </c>
      <c r="Z1335">
        <v>4</v>
      </c>
      <c r="AA1335">
        <v>80</v>
      </c>
      <c r="AB1335">
        <v>2</v>
      </c>
      <c r="AC1335">
        <v>31</v>
      </c>
      <c r="AD1335">
        <v>4</v>
      </c>
      <c r="AE1335">
        <v>4</v>
      </c>
      <c r="AF1335">
        <v>7</v>
      </c>
      <c r="AG1335">
        <v>7</v>
      </c>
      <c r="AH1335">
        <v>0</v>
      </c>
      <c r="AI1335">
        <v>0</v>
      </c>
    </row>
    <row r="1336" spans="1:35" x14ac:dyDescent="0.3">
      <c r="A1336">
        <v>55</v>
      </c>
      <c r="B1336" t="s">
        <v>40</v>
      </c>
      <c r="C1336" t="s">
        <v>33</v>
      </c>
      <c r="D1336">
        <v>836</v>
      </c>
      <c r="E1336" t="s">
        <v>42</v>
      </c>
      <c r="F1336">
        <v>8</v>
      </c>
      <c r="G1336">
        <v>3</v>
      </c>
      <c r="H1336" t="s">
        <v>48</v>
      </c>
      <c r="I1336">
        <v>1</v>
      </c>
      <c r="J1336">
        <v>84</v>
      </c>
      <c r="K1336">
        <v>4</v>
      </c>
      <c r="L1336" s="17" t="s">
        <v>36</v>
      </c>
      <c r="M1336">
        <v>33</v>
      </c>
      <c r="N1336">
        <v>3</v>
      </c>
      <c r="O1336">
        <v>4</v>
      </c>
      <c r="P1336" t="s">
        <v>53</v>
      </c>
      <c r="Q1336">
        <v>3</v>
      </c>
      <c r="R1336" t="s">
        <v>49</v>
      </c>
      <c r="S1336" s="6">
        <v>14756</v>
      </c>
      <c r="T1336">
        <v>19730</v>
      </c>
      <c r="U1336">
        <v>2</v>
      </c>
      <c r="V1336" t="s">
        <v>39</v>
      </c>
      <c r="W1336" t="s">
        <v>32</v>
      </c>
      <c r="X1336">
        <v>14</v>
      </c>
      <c r="Y1336">
        <v>3</v>
      </c>
      <c r="Z1336">
        <v>3</v>
      </c>
      <c r="AA1336">
        <v>80</v>
      </c>
      <c r="AB1336">
        <v>3</v>
      </c>
      <c r="AC1336">
        <v>21</v>
      </c>
      <c r="AD1336">
        <v>2</v>
      </c>
      <c r="AE1336">
        <v>3</v>
      </c>
      <c r="AF1336">
        <v>5</v>
      </c>
      <c r="AG1336">
        <v>0</v>
      </c>
      <c r="AH1336">
        <v>0</v>
      </c>
      <c r="AI1336">
        <v>2</v>
      </c>
    </row>
    <row r="1337" spans="1:35" x14ac:dyDescent="0.3">
      <c r="A1337">
        <v>53</v>
      </c>
      <c r="B1337" t="s">
        <v>40</v>
      </c>
      <c r="C1337" t="s">
        <v>33</v>
      </c>
      <c r="D1337">
        <v>970</v>
      </c>
      <c r="E1337" t="s">
        <v>42</v>
      </c>
      <c r="F1337">
        <v>7</v>
      </c>
      <c r="G1337">
        <v>3</v>
      </c>
      <c r="H1337" t="s">
        <v>35</v>
      </c>
      <c r="I1337">
        <v>1</v>
      </c>
      <c r="J1337">
        <v>730</v>
      </c>
      <c r="K1337">
        <v>3</v>
      </c>
      <c r="L1337" s="17" t="s">
        <v>43</v>
      </c>
      <c r="M1337">
        <v>59</v>
      </c>
      <c r="N1337">
        <v>4</v>
      </c>
      <c r="O1337">
        <v>4</v>
      </c>
      <c r="P1337" t="s">
        <v>55</v>
      </c>
      <c r="Q1337">
        <v>3</v>
      </c>
      <c r="R1337" t="s">
        <v>45</v>
      </c>
      <c r="S1337" s="6">
        <v>14814</v>
      </c>
      <c r="T1337">
        <v>13514</v>
      </c>
      <c r="U1337">
        <v>3</v>
      </c>
      <c r="V1337" t="s">
        <v>39</v>
      </c>
      <c r="W1337" t="s">
        <v>40</v>
      </c>
      <c r="X1337">
        <v>19</v>
      </c>
      <c r="Y1337">
        <v>3</v>
      </c>
      <c r="Z1337">
        <v>3</v>
      </c>
      <c r="AA1337">
        <v>80</v>
      </c>
      <c r="AB1337">
        <v>0</v>
      </c>
      <c r="AC1337">
        <v>32</v>
      </c>
      <c r="AD1337">
        <v>3</v>
      </c>
      <c r="AE1337">
        <v>3</v>
      </c>
      <c r="AF1337">
        <v>5</v>
      </c>
      <c r="AG1337">
        <v>1</v>
      </c>
      <c r="AH1337">
        <v>1</v>
      </c>
      <c r="AI1337">
        <v>3</v>
      </c>
    </row>
    <row r="1338" spans="1:35" x14ac:dyDescent="0.3">
      <c r="A1338">
        <v>53</v>
      </c>
      <c r="B1338" t="s">
        <v>40</v>
      </c>
      <c r="C1338" t="s">
        <v>33</v>
      </c>
      <c r="D1338">
        <v>1376</v>
      </c>
      <c r="E1338" t="s">
        <v>34</v>
      </c>
      <c r="F1338">
        <v>2</v>
      </c>
      <c r="G1338">
        <v>2</v>
      </c>
      <c r="H1338" t="s">
        <v>48</v>
      </c>
      <c r="I1338">
        <v>1</v>
      </c>
      <c r="J1338">
        <v>981</v>
      </c>
      <c r="K1338">
        <v>3</v>
      </c>
      <c r="L1338" s="17" t="s">
        <v>43</v>
      </c>
      <c r="M1338">
        <v>45</v>
      </c>
      <c r="N1338">
        <v>3</v>
      </c>
      <c r="O1338">
        <v>4</v>
      </c>
      <c r="P1338" t="s">
        <v>53</v>
      </c>
      <c r="Q1338">
        <v>3</v>
      </c>
      <c r="R1338" t="s">
        <v>49</v>
      </c>
      <c r="S1338" s="6">
        <v>14852</v>
      </c>
      <c r="T1338">
        <v>13938</v>
      </c>
      <c r="U1338">
        <v>6</v>
      </c>
      <c r="V1338" t="s">
        <v>39</v>
      </c>
      <c r="W1338" t="s">
        <v>40</v>
      </c>
      <c r="X1338">
        <v>13</v>
      </c>
      <c r="Y1338">
        <v>3</v>
      </c>
      <c r="Z1338">
        <v>3</v>
      </c>
      <c r="AA1338">
        <v>80</v>
      </c>
      <c r="AB1338">
        <v>1</v>
      </c>
      <c r="AC1338">
        <v>22</v>
      </c>
      <c r="AD1338">
        <v>3</v>
      </c>
      <c r="AE1338">
        <v>4</v>
      </c>
      <c r="AF1338">
        <v>17</v>
      </c>
      <c r="AG1338">
        <v>13</v>
      </c>
      <c r="AH1338">
        <v>15</v>
      </c>
      <c r="AI1338">
        <v>2</v>
      </c>
    </row>
    <row r="1339" spans="1:35" x14ac:dyDescent="0.3">
      <c r="A1339">
        <v>48</v>
      </c>
      <c r="B1339" t="s">
        <v>40</v>
      </c>
      <c r="C1339" t="s">
        <v>41</v>
      </c>
      <c r="D1339">
        <v>365</v>
      </c>
      <c r="E1339" t="s">
        <v>42</v>
      </c>
      <c r="F1339">
        <v>4</v>
      </c>
      <c r="G1339">
        <v>5</v>
      </c>
      <c r="H1339" t="s">
        <v>48</v>
      </c>
      <c r="I1339">
        <v>1</v>
      </c>
      <c r="J1339">
        <v>1644</v>
      </c>
      <c r="K1339">
        <v>3</v>
      </c>
      <c r="L1339" s="17" t="s">
        <v>43</v>
      </c>
      <c r="M1339">
        <v>89</v>
      </c>
      <c r="N1339">
        <v>2</v>
      </c>
      <c r="O1339">
        <v>4</v>
      </c>
      <c r="P1339" t="s">
        <v>53</v>
      </c>
      <c r="Q1339">
        <v>4</v>
      </c>
      <c r="R1339" t="s">
        <v>45</v>
      </c>
      <c r="S1339" s="6">
        <v>15202</v>
      </c>
      <c r="T1339">
        <v>5602</v>
      </c>
      <c r="U1339">
        <v>2</v>
      </c>
      <c r="V1339" t="s">
        <v>39</v>
      </c>
      <c r="W1339" t="s">
        <v>40</v>
      </c>
      <c r="X1339">
        <v>25</v>
      </c>
      <c r="Y1339">
        <v>4</v>
      </c>
      <c r="Z1339">
        <v>2</v>
      </c>
      <c r="AA1339">
        <v>80</v>
      </c>
      <c r="AB1339">
        <v>1</v>
      </c>
      <c r="AC1339">
        <v>23</v>
      </c>
      <c r="AD1339">
        <v>3</v>
      </c>
      <c r="AE1339">
        <v>3</v>
      </c>
      <c r="AF1339">
        <v>2</v>
      </c>
      <c r="AG1339">
        <v>2</v>
      </c>
      <c r="AH1339">
        <v>2</v>
      </c>
      <c r="AI1339">
        <v>2</v>
      </c>
    </row>
    <row r="1340" spans="1:35" x14ac:dyDescent="0.3">
      <c r="A1340">
        <v>49</v>
      </c>
      <c r="B1340" t="s">
        <v>40</v>
      </c>
      <c r="C1340" t="s">
        <v>33</v>
      </c>
      <c r="D1340">
        <v>809</v>
      </c>
      <c r="E1340" t="s">
        <v>42</v>
      </c>
      <c r="F1340">
        <v>1</v>
      </c>
      <c r="G1340">
        <v>3</v>
      </c>
      <c r="H1340" t="s">
        <v>35</v>
      </c>
      <c r="I1340">
        <v>1</v>
      </c>
      <c r="J1340">
        <v>1677</v>
      </c>
      <c r="K1340">
        <v>3</v>
      </c>
      <c r="L1340" s="17" t="s">
        <v>43</v>
      </c>
      <c r="M1340">
        <v>36</v>
      </c>
      <c r="N1340">
        <v>3</v>
      </c>
      <c r="O1340">
        <v>4</v>
      </c>
      <c r="P1340" t="s">
        <v>53</v>
      </c>
      <c r="Q1340">
        <v>3</v>
      </c>
      <c r="R1340" t="s">
        <v>38</v>
      </c>
      <c r="S1340" s="6">
        <v>15379</v>
      </c>
      <c r="T1340">
        <v>22384</v>
      </c>
      <c r="U1340">
        <v>4</v>
      </c>
      <c r="V1340" t="s">
        <v>39</v>
      </c>
      <c r="W1340" t="s">
        <v>40</v>
      </c>
      <c r="X1340">
        <v>14</v>
      </c>
      <c r="Y1340">
        <v>3</v>
      </c>
      <c r="Z1340">
        <v>1</v>
      </c>
      <c r="AA1340">
        <v>80</v>
      </c>
      <c r="AB1340">
        <v>0</v>
      </c>
      <c r="AC1340">
        <v>23</v>
      </c>
      <c r="AD1340">
        <v>2</v>
      </c>
      <c r="AE1340">
        <v>3</v>
      </c>
      <c r="AF1340">
        <v>8</v>
      </c>
      <c r="AG1340">
        <v>7</v>
      </c>
      <c r="AH1340">
        <v>0</v>
      </c>
      <c r="AI1340">
        <v>0</v>
      </c>
    </row>
    <row r="1341" spans="1:35" x14ac:dyDescent="0.3">
      <c r="A1341">
        <v>48</v>
      </c>
      <c r="B1341" t="s">
        <v>40</v>
      </c>
      <c r="C1341" t="s">
        <v>33</v>
      </c>
      <c r="D1341">
        <v>1236</v>
      </c>
      <c r="E1341" t="s">
        <v>42</v>
      </c>
      <c r="F1341">
        <v>1</v>
      </c>
      <c r="G1341">
        <v>4</v>
      </c>
      <c r="H1341" t="s">
        <v>35</v>
      </c>
      <c r="I1341">
        <v>1</v>
      </c>
      <c r="J1341">
        <v>664</v>
      </c>
      <c r="K1341">
        <v>4</v>
      </c>
      <c r="L1341" s="17" t="s">
        <v>36</v>
      </c>
      <c r="M1341">
        <v>40</v>
      </c>
      <c r="N1341">
        <v>2</v>
      </c>
      <c r="O1341">
        <v>4</v>
      </c>
      <c r="P1341" t="s">
        <v>53</v>
      </c>
      <c r="Q1341">
        <v>1</v>
      </c>
      <c r="R1341" t="s">
        <v>45</v>
      </c>
      <c r="S1341" s="6">
        <v>15402</v>
      </c>
      <c r="T1341">
        <v>17997</v>
      </c>
      <c r="U1341">
        <v>7</v>
      </c>
      <c r="V1341" t="s">
        <v>39</v>
      </c>
      <c r="W1341" t="s">
        <v>40</v>
      </c>
      <c r="X1341">
        <v>11</v>
      </c>
      <c r="Y1341">
        <v>3</v>
      </c>
      <c r="Z1341">
        <v>1</v>
      </c>
      <c r="AA1341">
        <v>80</v>
      </c>
      <c r="AB1341">
        <v>1</v>
      </c>
      <c r="AC1341">
        <v>21</v>
      </c>
      <c r="AD1341">
        <v>3</v>
      </c>
      <c r="AE1341">
        <v>1</v>
      </c>
      <c r="AF1341">
        <v>3</v>
      </c>
      <c r="AG1341">
        <v>2</v>
      </c>
      <c r="AH1341">
        <v>0</v>
      </c>
      <c r="AI1341">
        <v>2</v>
      </c>
    </row>
    <row r="1342" spans="1:35" x14ac:dyDescent="0.3">
      <c r="A1342">
        <v>53</v>
      </c>
      <c r="B1342" t="s">
        <v>40</v>
      </c>
      <c r="C1342" t="s">
        <v>33</v>
      </c>
      <c r="D1342">
        <v>1219</v>
      </c>
      <c r="E1342" t="s">
        <v>34</v>
      </c>
      <c r="F1342">
        <v>2</v>
      </c>
      <c r="G1342">
        <v>4</v>
      </c>
      <c r="H1342" t="s">
        <v>35</v>
      </c>
      <c r="I1342">
        <v>1</v>
      </c>
      <c r="J1342">
        <v>23</v>
      </c>
      <c r="K1342">
        <v>1</v>
      </c>
      <c r="L1342" s="17" t="s">
        <v>36</v>
      </c>
      <c r="M1342">
        <v>78</v>
      </c>
      <c r="N1342">
        <v>2</v>
      </c>
      <c r="O1342">
        <v>4</v>
      </c>
      <c r="P1342" t="s">
        <v>53</v>
      </c>
      <c r="Q1342">
        <v>4</v>
      </c>
      <c r="R1342" t="s">
        <v>45</v>
      </c>
      <c r="S1342" s="6">
        <v>15427</v>
      </c>
      <c r="T1342">
        <v>22021</v>
      </c>
      <c r="U1342">
        <v>2</v>
      </c>
      <c r="V1342" t="s">
        <v>39</v>
      </c>
      <c r="W1342" t="s">
        <v>40</v>
      </c>
      <c r="X1342">
        <v>16</v>
      </c>
      <c r="Y1342">
        <v>3</v>
      </c>
      <c r="Z1342">
        <v>3</v>
      </c>
      <c r="AA1342">
        <v>80</v>
      </c>
      <c r="AB1342">
        <v>0</v>
      </c>
      <c r="AC1342">
        <v>31</v>
      </c>
      <c r="AD1342">
        <v>3</v>
      </c>
      <c r="AE1342">
        <v>3</v>
      </c>
      <c r="AF1342">
        <v>25</v>
      </c>
      <c r="AG1342">
        <v>8</v>
      </c>
      <c r="AH1342">
        <v>3</v>
      </c>
      <c r="AI1342">
        <v>7</v>
      </c>
    </row>
    <row r="1343" spans="1:35" x14ac:dyDescent="0.3">
      <c r="A1343">
        <v>58</v>
      </c>
      <c r="B1343" t="s">
        <v>40</v>
      </c>
      <c r="C1343" t="s">
        <v>41</v>
      </c>
      <c r="D1343">
        <v>1216</v>
      </c>
      <c r="E1343" t="s">
        <v>42</v>
      </c>
      <c r="F1343">
        <v>15</v>
      </c>
      <c r="G1343">
        <v>4</v>
      </c>
      <c r="H1343" t="s">
        <v>35</v>
      </c>
      <c r="I1343">
        <v>1</v>
      </c>
      <c r="J1343">
        <v>1837</v>
      </c>
      <c r="K1343">
        <v>1</v>
      </c>
      <c r="L1343" s="17" t="s">
        <v>43</v>
      </c>
      <c r="M1343">
        <v>87</v>
      </c>
      <c r="N1343">
        <v>3</v>
      </c>
      <c r="O1343">
        <v>4</v>
      </c>
      <c r="P1343" t="s">
        <v>55</v>
      </c>
      <c r="Q1343">
        <v>3</v>
      </c>
      <c r="R1343" t="s">
        <v>45</v>
      </c>
      <c r="S1343" s="6">
        <v>15787</v>
      </c>
      <c r="T1343">
        <v>21624</v>
      </c>
      <c r="U1343">
        <v>2</v>
      </c>
      <c r="V1343" t="s">
        <v>39</v>
      </c>
      <c r="W1343" t="s">
        <v>32</v>
      </c>
      <c r="X1343">
        <v>14</v>
      </c>
      <c r="Y1343">
        <v>3</v>
      </c>
      <c r="Z1343">
        <v>2</v>
      </c>
      <c r="AA1343">
        <v>80</v>
      </c>
      <c r="AB1343">
        <v>0</v>
      </c>
      <c r="AC1343">
        <v>23</v>
      </c>
      <c r="AD1343">
        <v>3</v>
      </c>
      <c r="AE1343">
        <v>3</v>
      </c>
      <c r="AF1343">
        <v>2</v>
      </c>
      <c r="AG1343">
        <v>2</v>
      </c>
      <c r="AH1343">
        <v>2</v>
      </c>
      <c r="AI1343">
        <v>2</v>
      </c>
    </row>
    <row r="1344" spans="1:35" x14ac:dyDescent="0.3">
      <c r="A1344">
        <v>47</v>
      </c>
      <c r="B1344" t="s">
        <v>40</v>
      </c>
      <c r="C1344" t="s">
        <v>33</v>
      </c>
      <c r="D1344">
        <v>1225</v>
      </c>
      <c r="E1344" t="s">
        <v>34</v>
      </c>
      <c r="F1344">
        <v>2</v>
      </c>
      <c r="G1344">
        <v>4</v>
      </c>
      <c r="H1344" t="s">
        <v>35</v>
      </c>
      <c r="I1344">
        <v>1</v>
      </c>
      <c r="J1344">
        <v>1676</v>
      </c>
      <c r="K1344">
        <v>2</v>
      </c>
      <c r="L1344" s="17" t="s">
        <v>36</v>
      </c>
      <c r="M1344">
        <v>47</v>
      </c>
      <c r="N1344">
        <v>4</v>
      </c>
      <c r="O1344">
        <v>4</v>
      </c>
      <c r="P1344" t="s">
        <v>53</v>
      </c>
      <c r="Q1344">
        <v>2</v>
      </c>
      <c r="R1344" t="s">
        <v>49</v>
      </c>
      <c r="S1344" s="6">
        <v>15972</v>
      </c>
      <c r="T1344">
        <v>21086</v>
      </c>
      <c r="U1344">
        <v>6</v>
      </c>
      <c r="V1344" t="s">
        <v>39</v>
      </c>
      <c r="W1344" t="s">
        <v>40</v>
      </c>
      <c r="X1344">
        <v>14</v>
      </c>
      <c r="Y1344">
        <v>3</v>
      </c>
      <c r="Z1344">
        <v>3</v>
      </c>
      <c r="AA1344">
        <v>80</v>
      </c>
      <c r="AB1344">
        <v>3</v>
      </c>
      <c r="AC1344">
        <v>29</v>
      </c>
      <c r="AD1344">
        <v>2</v>
      </c>
      <c r="AE1344">
        <v>3</v>
      </c>
      <c r="AF1344">
        <v>3</v>
      </c>
      <c r="AG1344">
        <v>2</v>
      </c>
      <c r="AH1344">
        <v>1</v>
      </c>
      <c r="AI1344">
        <v>2</v>
      </c>
    </row>
    <row r="1345" spans="1:35" x14ac:dyDescent="0.3">
      <c r="A1345">
        <v>42</v>
      </c>
      <c r="B1345" t="s">
        <v>40</v>
      </c>
      <c r="C1345" t="s">
        <v>33</v>
      </c>
      <c r="D1345">
        <v>810</v>
      </c>
      <c r="E1345" t="s">
        <v>42</v>
      </c>
      <c r="F1345">
        <v>23</v>
      </c>
      <c r="G1345">
        <v>5</v>
      </c>
      <c r="H1345" t="s">
        <v>35</v>
      </c>
      <c r="I1345">
        <v>1</v>
      </c>
      <c r="J1345">
        <v>468</v>
      </c>
      <c r="K1345">
        <v>1</v>
      </c>
      <c r="L1345" s="17" t="s">
        <v>36</v>
      </c>
      <c r="M1345">
        <v>44</v>
      </c>
      <c r="N1345">
        <v>3</v>
      </c>
      <c r="O1345">
        <v>4</v>
      </c>
      <c r="P1345" t="s">
        <v>55</v>
      </c>
      <c r="Q1345">
        <v>4</v>
      </c>
      <c r="R1345" t="s">
        <v>38</v>
      </c>
      <c r="S1345" s="6">
        <v>15992</v>
      </c>
      <c r="T1345">
        <v>15901</v>
      </c>
      <c r="U1345">
        <v>2</v>
      </c>
      <c r="V1345" t="s">
        <v>39</v>
      </c>
      <c r="W1345" t="s">
        <v>40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16</v>
      </c>
      <c r="AD1345">
        <v>2</v>
      </c>
      <c r="AE1345">
        <v>3</v>
      </c>
      <c r="AF1345">
        <v>1</v>
      </c>
      <c r="AG1345">
        <v>0</v>
      </c>
      <c r="AH1345">
        <v>0</v>
      </c>
      <c r="AI1345">
        <v>0</v>
      </c>
    </row>
    <row r="1346" spans="1:35" x14ac:dyDescent="0.3">
      <c r="A1346">
        <v>41</v>
      </c>
      <c r="B1346" t="s">
        <v>40</v>
      </c>
      <c r="C1346" t="s">
        <v>33</v>
      </c>
      <c r="D1346">
        <v>334</v>
      </c>
      <c r="E1346" t="s">
        <v>34</v>
      </c>
      <c r="F1346">
        <v>2</v>
      </c>
      <c r="G1346">
        <v>4</v>
      </c>
      <c r="H1346" t="s">
        <v>35</v>
      </c>
      <c r="I1346">
        <v>1</v>
      </c>
      <c r="J1346">
        <v>410</v>
      </c>
      <c r="K1346">
        <v>4</v>
      </c>
      <c r="L1346" s="17" t="s">
        <v>43</v>
      </c>
      <c r="M1346">
        <v>88</v>
      </c>
      <c r="N1346">
        <v>3</v>
      </c>
      <c r="O1346">
        <v>4</v>
      </c>
      <c r="P1346" t="s">
        <v>53</v>
      </c>
      <c r="Q1346">
        <v>2</v>
      </c>
      <c r="R1346" t="s">
        <v>38</v>
      </c>
      <c r="S1346" s="6">
        <v>16015</v>
      </c>
      <c r="T1346">
        <v>15896</v>
      </c>
      <c r="U1346">
        <v>1</v>
      </c>
      <c r="V1346" t="s">
        <v>39</v>
      </c>
      <c r="W1346" t="s">
        <v>40</v>
      </c>
      <c r="X1346">
        <v>19</v>
      </c>
      <c r="Y1346">
        <v>3</v>
      </c>
      <c r="Z1346">
        <v>2</v>
      </c>
      <c r="AA1346">
        <v>80</v>
      </c>
      <c r="AB1346">
        <v>0</v>
      </c>
      <c r="AC1346">
        <v>22</v>
      </c>
      <c r="AD1346">
        <v>2</v>
      </c>
      <c r="AE1346">
        <v>3</v>
      </c>
      <c r="AF1346">
        <v>22</v>
      </c>
      <c r="AG1346">
        <v>10</v>
      </c>
      <c r="AH1346">
        <v>0</v>
      </c>
      <c r="AI1346">
        <v>4</v>
      </c>
    </row>
    <row r="1347" spans="1:35" x14ac:dyDescent="0.3">
      <c r="A1347">
        <v>54</v>
      </c>
      <c r="B1347" t="s">
        <v>40</v>
      </c>
      <c r="C1347" t="s">
        <v>41</v>
      </c>
      <c r="D1347">
        <v>1050</v>
      </c>
      <c r="E1347" t="s">
        <v>42</v>
      </c>
      <c r="F1347">
        <v>11</v>
      </c>
      <c r="G1347">
        <v>4</v>
      </c>
      <c r="H1347" t="s">
        <v>48</v>
      </c>
      <c r="I1347">
        <v>1</v>
      </c>
      <c r="J1347">
        <v>1520</v>
      </c>
      <c r="K1347">
        <v>2</v>
      </c>
      <c r="L1347" s="17" t="s">
        <v>36</v>
      </c>
      <c r="M1347">
        <v>87</v>
      </c>
      <c r="N1347">
        <v>3</v>
      </c>
      <c r="O1347">
        <v>4</v>
      </c>
      <c r="P1347" t="s">
        <v>53</v>
      </c>
      <c r="Q1347">
        <v>4</v>
      </c>
      <c r="R1347" t="s">
        <v>49</v>
      </c>
      <c r="S1347" s="6">
        <v>16032</v>
      </c>
      <c r="T1347">
        <v>24456</v>
      </c>
      <c r="U1347">
        <v>3</v>
      </c>
      <c r="V1347" t="s">
        <v>39</v>
      </c>
      <c r="W1347" t="s">
        <v>40</v>
      </c>
      <c r="X1347">
        <v>20</v>
      </c>
      <c r="Y1347">
        <v>4</v>
      </c>
      <c r="Z1347">
        <v>1</v>
      </c>
      <c r="AA1347">
        <v>80</v>
      </c>
      <c r="AB1347">
        <v>1</v>
      </c>
      <c r="AC1347">
        <v>26</v>
      </c>
      <c r="AD1347">
        <v>2</v>
      </c>
      <c r="AE1347">
        <v>3</v>
      </c>
      <c r="AF1347">
        <v>14</v>
      </c>
      <c r="AG1347">
        <v>9</v>
      </c>
      <c r="AH1347">
        <v>1</v>
      </c>
      <c r="AI1347">
        <v>12</v>
      </c>
    </row>
    <row r="1348" spans="1:35" x14ac:dyDescent="0.3">
      <c r="A1348">
        <v>43</v>
      </c>
      <c r="B1348" t="s">
        <v>40</v>
      </c>
      <c r="C1348" t="s">
        <v>33</v>
      </c>
      <c r="D1348">
        <v>1034</v>
      </c>
      <c r="E1348" t="s">
        <v>34</v>
      </c>
      <c r="F1348">
        <v>16</v>
      </c>
      <c r="G1348">
        <v>3</v>
      </c>
      <c r="H1348" t="s">
        <v>56</v>
      </c>
      <c r="I1348">
        <v>1</v>
      </c>
      <c r="J1348">
        <v>327</v>
      </c>
      <c r="K1348">
        <v>4</v>
      </c>
      <c r="L1348" s="17" t="s">
        <v>36</v>
      </c>
      <c r="M1348">
        <v>80</v>
      </c>
      <c r="N1348">
        <v>3</v>
      </c>
      <c r="O1348">
        <v>4</v>
      </c>
      <c r="P1348" t="s">
        <v>53</v>
      </c>
      <c r="Q1348">
        <v>4</v>
      </c>
      <c r="R1348" t="s">
        <v>45</v>
      </c>
      <c r="S1348" s="6">
        <v>16064</v>
      </c>
      <c r="T1348">
        <v>7744</v>
      </c>
      <c r="U1348">
        <v>5</v>
      </c>
      <c r="V1348" t="s">
        <v>39</v>
      </c>
      <c r="W1348" t="s">
        <v>32</v>
      </c>
      <c r="X1348">
        <v>22</v>
      </c>
      <c r="Y1348">
        <v>4</v>
      </c>
      <c r="Z1348">
        <v>3</v>
      </c>
      <c r="AA1348">
        <v>80</v>
      </c>
      <c r="AB1348">
        <v>1</v>
      </c>
      <c r="AC1348">
        <v>22</v>
      </c>
      <c r="AD1348">
        <v>3</v>
      </c>
      <c r="AE1348">
        <v>3</v>
      </c>
      <c r="AF1348">
        <v>17</v>
      </c>
      <c r="AG1348">
        <v>13</v>
      </c>
      <c r="AH1348">
        <v>1</v>
      </c>
      <c r="AI1348">
        <v>9</v>
      </c>
    </row>
    <row r="1349" spans="1:35" x14ac:dyDescent="0.3">
      <c r="A1349">
        <v>29</v>
      </c>
      <c r="B1349" t="s">
        <v>40</v>
      </c>
      <c r="C1349" t="s">
        <v>33</v>
      </c>
      <c r="D1349">
        <v>694</v>
      </c>
      <c r="E1349" t="s">
        <v>42</v>
      </c>
      <c r="F1349">
        <v>1</v>
      </c>
      <c r="G1349">
        <v>3</v>
      </c>
      <c r="H1349" t="s">
        <v>35</v>
      </c>
      <c r="I1349">
        <v>1</v>
      </c>
      <c r="J1349">
        <v>1264</v>
      </c>
      <c r="K1349">
        <v>4</v>
      </c>
      <c r="L1349" s="17" t="s">
        <v>36</v>
      </c>
      <c r="M1349">
        <v>87</v>
      </c>
      <c r="N1349">
        <v>2</v>
      </c>
      <c r="O1349">
        <v>4</v>
      </c>
      <c r="P1349" t="s">
        <v>55</v>
      </c>
      <c r="Q1349">
        <v>4</v>
      </c>
      <c r="R1349" t="s">
        <v>49</v>
      </c>
      <c r="S1349" s="6">
        <v>16124</v>
      </c>
      <c r="T1349">
        <v>3423</v>
      </c>
      <c r="U1349">
        <v>3</v>
      </c>
      <c r="V1349" t="s">
        <v>39</v>
      </c>
      <c r="W1349" t="s">
        <v>40</v>
      </c>
      <c r="X1349">
        <v>14</v>
      </c>
      <c r="Y1349">
        <v>3</v>
      </c>
      <c r="Z1349">
        <v>2</v>
      </c>
      <c r="AA1349">
        <v>80</v>
      </c>
      <c r="AB1349">
        <v>2</v>
      </c>
      <c r="AC1349">
        <v>9</v>
      </c>
      <c r="AD1349">
        <v>2</v>
      </c>
      <c r="AE1349">
        <v>2</v>
      </c>
      <c r="AF1349">
        <v>7</v>
      </c>
      <c r="AG1349">
        <v>7</v>
      </c>
      <c r="AH1349">
        <v>1</v>
      </c>
      <c r="AI1349">
        <v>7</v>
      </c>
    </row>
    <row r="1350" spans="1:35" x14ac:dyDescent="0.3">
      <c r="A1350">
        <v>33</v>
      </c>
      <c r="B1350" t="s">
        <v>40</v>
      </c>
      <c r="C1350" t="s">
        <v>33</v>
      </c>
      <c r="D1350">
        <v>922</v>
      </c>
      <c r="E1350" t="s">
        <v>42</v>
      </c>
      <c r="F1350">
        <v>1</v>
      </c>
      <c r="G1350">
        <v>5</v>
      </c>
      <c r="H1350" t="s">
        <v>48</v>
      </c>
      <c r="I1350">
        <v>1</v>
      </c>
      <c r="J1350">
        <v>612</v>
      </c>
      <c r="K1350">
        <v>1</v>
      </c>
      <c r="L1350" s="17" t="s">
        <v>36</v>
      </c>
      <c r="M1350">
        <v>95</v>
      </c>
      <c r="N1350">
        <v>4</v>
      </c>
      <c r="O1350">
        <v>4</v>
      </c>
      <c r="P1350" t="s">
        <v>55</v>
      </c>
      <c r="Q1350">
        <v>3</v>
      </c>
      <c r="R1350" t="s">
        <v>49</v>
      </c>
      <c r="S1350" s="6">
        <v>16184</v>
      </c>
      <c r="T1350">
        <v>22578</v>
      </c>
      <c r="U1350">
        <v>4</v>
      </c>
      <c r="V1350" t="s">
        <v>39</v>
      </c>
      <c r="W1350" t="s">
        <v>40</v>
      </c>
      <c r="X1350">
        <v>19</v>
      </c>
      <c r="Y1350">
        <v>3</v>
      </c>
      <c r="Z1350">
        <v>3</v>
      </c>
      <c r="AA1350">
        <v>80</v>
      </c>
      <c r="AB1350">
        <v>1</v>
      </c>
      <c r="AC1350">
        <v>10</v>
      </c>
      <c r="AD1350">
        <v>2</v>
      </c>
      <c r="AE1350">
        <v>3</v>
      </c>
      <c r="AF1350">
        <v>6</v>
      </c>
      <c r="AG1350">
        <v>1</v>
      </c>
      <c r="AH1350">
        <v>0</v>
      </c>
      <c r="AI1350">
        <v>5</v>
      </c>
    </row>
    <row r="1351" spans="1:35" x14ac:dyDescent="0.3">
      <c r="A1351">
        <v>58</v>
      </c>
      <c r="B1351" t="s">
        <v>40</v>
      </c>
      <c r="C1351" t="s">
        <v>52</v>
      </c>
      <c r="D1351">
        <v>350</v>
      </c>
      <c r="E1351" t="s">
        <v>34</v>
      </c>
      <c r="F1351">
        <v>2</v>
      </c>
      <c r="G1351">
        <v>3</v>
      </c>
      <c r="H1351" t="s">
        <v>48</v>
      </c>
      <c r="I1351">
        <v>1</v>
      </c>
      <c r="J1351">
        <v>1824</v>
      </c>
      <c r="K1351">
        <v>2</v>
      </c>
      <c r="L1351" s="17" t="s">
        <v>43</v>
      </c>
      <c r="M1351">
        <v>52</v>
      </c>
      <c r="N1351">
        <v>3</v>
      </c>
      <c r="O1351">
        <v>4</v>
      </c>
      <c r="P1351" t="s">
        <v>53</v>
      </c>
      <c r="Q1351">
        <v>2</v>
      </c>
      <c r="R1351" t="s">
        <v>49</v>
      </c>
      <c r="S1351" s="6">
        <v>16291</v>
      </c>
      <c r="T1351">
        <v>22577</v>
      </c>
      <c r="U1351">
        <v>4</v>
      </c>
      <c r="V1351" t="s">
        <v>39</v>
      </c>
      <c r="W1351" t="s">
        <v>40</v>
      </c>
      <c r="X1351">
        <v>22</v>
      </c>
      <c r="Y1351">
        <v>4</v>
      </c>
      <c r="Z1351">
        <v>4</v>
      </c>
      <c r="AA1351">
        <v>80</v>
      </c>
      <c r="AB1351">
        <v>1</v>
      </c>
      <c r="AC1351">
        <v>37</v>
      </c>
      <c r="AD1351">
        <v>0</v>
      </c>
      <c r="AE1351">
        <v>2</v>
      </c>
      <c r="AF1351">
        <v>16</v>
      </c>
      <c r="AG1351">
        <v>9</v>
      </c>
      <c r="AH1351">
        <v>14</v>
      </c>
      <c r="AI1351">
        <v>14</v>
      </c>
    </row>
    <row r="1352" spans="1:35" x14ac:dyDescent="0.3">
      <c r="A1352">
        <v>51</v>
      </c>
      <c r="B1352" t="s">
        <v>40</v>
      </c>
      <c r="C1352" t="s">
        <v>33</v>
      </c>
      <c r="D1352">
        <v>1318</v>
      </c>
      <c r="E1352" t="s">
        <v>34</v>
      </c>
      <c r="F1352">
        <v>26</v>
      </c>
      <c r="G1352">
        <v>4</v>
      </c>
      <c r="H1352" t="s">
        <v>56</v>
      </c>
      <c r="I1352">
        <v>1</v>
      </c>
      <c r="J1352">
        <v>851</v>
      </c>
      <c r="K1352">
        <v>1</v>
      </c>
      <c r="L1352" s="17" t="s">
        <v>36</v>
      </c>
      <c r="M1352">
        <v>66</v>
      </c>
      <c r="N1352">
        <v>3</v>
      </c>
      <c r="O1352">
        <v>4</v>
      </c>
      <c r="P1352" t="s">
        <v>53</v>
      </c>
      <c r="Q1352">
        <v>3</v>
      </c>
      <c r="R1352" t="s">
        <v>45</v>
      </c>
      <c r="S1352" s="6">
        <v>16307</v>
      </c>
      <c r="T1352">
        <v>5594</v>
      </c>
      <c r="U1352">
        <v>2</v>
      </c>
      <c r="V1352" t="s">
        <v>39</v>
      </c>
      <c r="W1352" t="s">
        <v>40</v>
      </c>
      <c r="X1352">
        <v>14</v>
      </c>
      <c r="Y1352">
        <v>3</v>
      </c>
      <c r="Z1352">
        <v>3</v>
      </c>
      <c r="AA1352">
        <v>80</v>
      </c>
      <c r="AB1352">
        <v>1</v>
      </c>
      <c r="AC1352">
        <v>29</v>
      </c>
      <c r="AD1352">
        <v>2</v>
      </c>
      <c r="AE1352">
        <v>2</v>
      </c>
      <c r="AF1352">
        <v>20</v>
      </c>
      <c r="AG1352">
        <v>6</v>
      </c>
      <c r="AH1352">
        <v>4</v>
      </c>
      <c r="AI1352">
        <v>17</v>
      </c>
    </row>
    <row r="1353" spans="1:35" x14ac:dyDescent="0.3">
      <c r="A1353">
        <v>44</v>
      </c>
      <c r="B1353" t="s">
        <v>40</v>
      </c>
      <c r="C1353" t="s">
        <v>33</v>
      </c>
      <c r="D1353">
        <v>136</v>
      </c>
      <c r="E1353" t="s">
        <v>42</v>
      </c>
      <c r="F1353">
        <v>28</v>
      </c>
      <c r="G1353">
        <v>3</v>
      </c>
      <c r="H1353" t="s">
        <v>35</v>
      </c>
      <c r="I1353">
        <v>1</v>
      </c>
      <c r="J1353">
        <v>1523</v>
      </c>
      <c r="K1353">
        <v>4</v>
      </c>
      <c r="L1353" s="17" t="s">
        <v>43</v>
      </c>
      <c r="M1353">
        <v>32</v>
      </c>
      <c r="N1353">
        <v>3</v>
      </c>
      <c r="O1353">
        <v>4</v>
      </c>
      <c r="P1353" t="s">
        <v>55</v>
      </c>
      <c r="Q1353">
        <v>1</v>
      </c>
      <c r="R1353" t="s">
        <v>45</v>
      </c>
      <c r="S1353" s="6">
        <v>16328</v>
      </c>
      <c r="T1353">
        <v>22074</v>
      </c>
      <c r="U1353">
        <v>3</v>
      </c>
      <c r="V1353" t="s">
        <v>39</v>
      </c>
      <c r="W1353" t="s">
        <v>40</v>
      </c>
      <c r="X1353">
        <v>13</v>
      </c>
      <c r="Y1353">
        <v>3</v>
      </c>
      <c r="Z1353">
        <v>3</v>
      </c>
      <c r="AA1353">
        <v>80</v>
      </c>
      <c r="AB1353">
        <v>1</v>
      </c>
      <c r="AC1353">
        <v>24</v>
      </c>
      <c r="AD1353">
        <v>1</v>
      </c>
      <c r="AE1353">
        <v>4</v>
      </c>
      <c r="AF1353">
        <v>20</v>
      </c>
      <c r="AG1353">
        <v>6</v>
      </c>
      <c r="AH1353">
        <v>14</v>
      </c>
      <c r="AI1353">
        <v>17</v>
      </c>
    </row>
    <row r="1354" spans="1:35" x14ac:dyDescent="0.3">
      <c r="A1354">
        <v>49</v>
      </c>
      <c r="B1354" t="s">
        <v>40</v>
      </c>
      <c r="C1354" t="s">
        <v>33</v>
      </c>
      <c r="D1354">
        <v>301</v>
      </c>
      <c r="E1354" t="s">
        <v>42</v>
      </c>
      <c r="F1354">
        <v>22</v>
      </c>
      <c r="G1354">
        <v>4</v>
      </c>
      <c r="H1354" t="s">
        <v>46</v>
      </c>
      <c r="I1354">
        <v>1</v>
      </c>
      <c r="J1354">
        <v>1655</v>
      </c>
      <c r="K1354">
        <v>1</v>
      </c>
      <c r="L1354" s="17" t="s">
        <v>36</v>
      </c>
      <c r="M1354">
        <v>72</v>
      </c>
      <c r="N1354">
        <v>3</v>
      </c>
      <c r="O1354">
        <v>4</v>
      </c>
      <c r="P1354" t="s">
        <v>55</v>
      </c>
      <c r="Q1354">
        <v>2</v>
      </c>
      <c r="R1354" t="s">
        <v>45</v>
      </c>
      <c r="S1354" s="6">
        <v>16413</v>
      </c>
      <c r="T1354">
        <v>3498</v>
      </c>
      <c r="U1354">
        <v>3</v>
      </c>
      <c r="V1354" t="s">
        <v>39</v>
      </c>
      <c r="W1354" t="s">
        <v>40</v>
      </c>
      <c r="X1354">
        <v>16</v>
      </c>
      <c r="Y1354">
        <v>3</v>
      </c>
      <c r="Z1354">
        <v>2</v>
      </c>
      <c r="AA1354">
        <v>80</v>
      </c>
      <c r="AB1354">
        <v>2</v>
      </c>
      <c r="AC1354">
        <v>27</v>
      </c>
      <c r="AD1354">
        <v>2</v>
      </c>
      <c r="AE1354">
        <v>3</v>
      </c>
      <c r="AF1354">
        <v>4</v>
      </c>
      <c r="AG1354">
        <v>2</v>
      </c>
      <c r="AH1354">
        <v>1</v>
      </c>
      <c r="AI1354">
        <v>2</v>
      </c>
    </row>
    <row r="1355" spans="1:35" x14ac:dyDescent="0.3">
      <c r="A1355">
        <v>31</v>
      </c>
      <c r="B1355" t="s">
        <v>40</v>
      </c>
      <c r="C1355" t="s">
        <v>33</v>
      </c>
      <c r="D1355">
        <v>182</v>
      </c>
      <c r="E1355" t="s">
        <v>42</v>
      </c>
      <c r="F1355">
        <v>8</v>
      </c>
      <c r="G1355">
        <v>5</v>
      </c>
      <c r="H1355" t="s">
        <v>35</v>
      </c>
      <c r="I1355">
        <v>1</v>
      </c>
      <c r="J1355">
        <v>1430</v>
      </c>
      <c r="K1355">
        <v>1</v>
      </c>
      <c r="L1355" s="17" t="s">
        <v>36</v>
      </c>
      <c r="M1355">
        <v>93</v>
      </c>
      <c r="N1355">
        <v>3</v>
      </c>
      <c r="O1355">
        <v>4</v>
      </c>
      <c r="P1355" t="s">
        <v>55</v>
      </c>
      <c r="Q1355">
        <v>2</v>
      </c>
      <c r="R1355" t="s">
        <v>38</v>
      </c>
      <c r="S1355" s="6">
        <v>16422</v>
      </c>
      <c r="T1355">
        <v>8847</v>
      </c>
      <c r="U1355">
        <v>3</v>
      </c>
      <c r="V1355" t="s">
        <v>39</v>
      </c>
      <c r="W1355" t="s">
        <v>40</v>
      </c>
      <c r="X1355">
        <v>11</v>
      </c>
      <c r="Y1355">
        <v>3</v>
      </c>
      <c r="Z1355">
        <v>3</v>
      </c>
      <c r="AA1355">
        <v>80</v>
      </c>
      <c r="AB1355">
        <v>0</v>
      </c>
      <c r="AC1355">
        <v>9</v>
      </c>
      <c r="AD1355">
        <v>3</v>
      </c>
      <c r="AE1355">
        <v>4</v>
      </c>
      <c r="AF1355">
        <v>3</v>
      </c>
      <c r="AG1355">
        <v>2</v>
      </c>
      <c r="AH1355">
        <v>1</v>
      </c>
      <c r="AI1355">
        <v>0</v>
      </c>
    </row>
    <row r="1356" spans="1:35" x14ac:dyDescent="0.3">
      <c r="A1356">
        <v>40</v>
      </c>
      <c r="B1356" t="s">
        <v>40</v>
      </c>
      <c r="C1356" t="s">
        <v>33</v>
      </c>
      <c r="D1356">
        <v>898</v>
      </c>
      <c r="E1356" t="s">
        <v>58</v>
      </c>
      <c r="F1356">
        <v>6</v>
      </c>
      <c r="G1356">
        <v>2</v>
      </c>
      <c r="H1356" t="s">
        <v>48</v>
      </c>
      <c r="I1356">
        <v>1</v>
      </c>
      <c r="J1356">
        <v>1550</v>
      </c>
      <c r="K1356">
        <v>3</v>
      </c>
      <c r="L1356" s="17" t="s">
        <v>43</v>
      </c>
      <c r="M1356">
        <v>38</v>
      </c>
      <c r="N1356">
        <v>3</v>
      </c>
      <c r="O1356">
        <v>4</v>
      </c>
      <c r="P1356" t="s">
        <v>53</v>
      </c>
      <c r="Q1356">
        <v>4</v>
      </c>
      <c r="R1356" t="s">
        <v>38</v>
      </c>
      <c r="S1356" s="6">
        <v>16437</v>
      </c>
      <c r="T1356">
        <v>17381</v>
      </c>
      <c r="U1356">
        <v>1</v>
      </c>
      <c r="V1356" t="s">
        <v>39</v>
      </c>
      <c r="W1356" t="s">
        <v>32</v>
      </c>
      <c r="X1356">
        <v>21</v>
      </c>
      <c r="Y1356">
        <v>4</v>
      </c>
      <c r="Z1356">
        <v>4</v>
      </c>
      <c r="AA1356">
        <v>80</v>
      </c>
      <c r="AB1356">
        <v>0</v>
      </c>
      <c r="AC1356">
        <v>21</v>
      </c>
      <c r="AD1356">
        <v>2</v>
      </c>
      <c r="AE1356">
        <v>3</v>
      </c>
      <c r="AF1356">
        <v>21</v>
      </c>
      <c r="AG1356">
        <v>7</v>
      </c>
      <c r="AH1356">
        <v>7</v>
      </c>
      <c r="AI1356">
        <v>7</v>
      </c>
    </row>
    <row r="1357" spans="1:35" x14ac:dyDescent="0.3">
      <c r="A1357">
        <v>52</v>
      </c>
      <c r="B1357" t="s">
        <v>40</v>
      </c>
      <c r="C1357" t="s">
        <v>33</v>
      </c>
      <c r="D1357">
        <v>1490</v>
      </c>
      <c r="E1357" t="s">
        <v>42</v>
      </c>
      <c r="F1357">
        <v>4</v>
      </c>
      <c r="G1357">
        <v>2</v>
      </c>
      <c r="H1357" t="s">
        <v>35</v>
      </c>
      <c r="I1357">
        <v>1</v>
      </c>
      <c r="J1357">
        <v>546</v>
      </c>
      <c r="K1357">
        <v>4</v>
      </c>
      <c r="L1357" s="17" t="s">
        <v>36</v>
      </c>
      <c r="M1357">
        <v>30</v>
      </c>
      <c r="N1357">
        <v>3</v>
      </c>
      <c r="O1357">
        <v>4</v>
      </c>
      <c r="P1357" t="s">
        <v>53</v>
      </c>
      <c r="Q1357">
        <v>4</v>
      </c>
      <c r="R1357" t="s">
        <v>45</v>
      </c>
      <c r="S1357" s="6">
        <v>16555</v>
      </c>
      <c r="T1357">
        <v>10310</v>
      </c>
      <c r="U1357">
        <v>2</v>
      </c>
      <c r="V1357" t="s">
        <v>39</v>
      </c>
      <c r="W1357" t="s">
        <v>40</v>
      </c>
      <c r="X1357">
        <v>13</v>
      </c>
      <c r="Y1357">
        <v>3</v>
      </c>
      <c r="Z1357">
        <v>4</v>
      </c>
      <c r="AA1357">
        <v>80</v>
      </c>
      <c r="AB1357">
        <v>0</v>
      </c>
      <c r="AC1357">
        <v>31</v>
      </c>
      <c r="AD1357">
        <v>2</v>
      </c>
      <c r="AE1357">
        <v>1</v>
      </c>
      <c r="AF1357">
        <v>5</v>
      </c>
      <c r="AG1357">
        <v>2</v>
      </c>
      <c r="AH1357">
        <v>1</v>
      </c>
      <c r="AI1357">
        <v>4</v>
      </c>
    </row>
    <row r="1358" spans="1:35" x14ac:dyDescent="0.3">
      <c r="A1358">
        <v>41</v>
      </c>
      <c r="B1358" t="s">
        <v>40</v>
      </c>
      <c r="C1358" t="s">
        <v>33</v>
      </c>
      <c r="D1358">
        <v>1276</v>
      </c>
      <c r="E1358" t="s">
        <v>34</v>
      </c>
      <c r="F1358">
        <v>2</v>
      </c>
      <c r="G1358">
        <v>5</v>
      </c>
      <c r="H1358" t="s">
        <v>35</v>
      </c>
      <c r="I1358">
        <v>1</v>
      </c>
      <c r="J1358">
        <v>625</v>
      </c>
      <c r="K1358">
        <v>2</v>
      </c>
      <c r="L1358" s="17" t="s">
        <v>36</v>
      </c>
      <c r="M1358">
        <v>91</v>
      </c>
      <c r="N1358">
        <v>3</v>
      </c>
      <c r="O1358">
        <v>4</v>
      </c>
      <c r="P1358" t="s">
        <v>53</v>
      </c>
      <c r="Q1358">
        <v>1</v>
      </c>
      <c r="R1358" t="s">
        <v>45</v>
      </c>
      <c r="S1358" s="6">
        <v>16595</v>
      </c>
      <c r="T1358">
        <v>5626</v>
      </c>
      <c r="U1358">
        <v>7</v>
      </c>
      <c r="V1358" t="s">
        <v>39</v>
      </c>
      <c r="W1358" t="s">
        <v>40</v>
      </c>
      <c r="X1358">
        <v>16</v>
      </c>
      <c r="Y1358">
        <v>3</v>
      </c>
      <c r="Z1358">
        <v>2</v>
      </c>
      <c r="AA1358">
        <v>80</v>
      </c>
      <c r="AB1358">
        <v>1</v>
      </c>
      <c r="AC1358">
        <v>22</v>
      </c>
      <c r="AD1358">
        <v>2</v>
      </c>
      <c r="AE1358">
        <v>3</v>
      </c>
      <c r="AF1358">
        <v>18</v>
      </c>
      <c r="AG1358">
        <v>16</v>
      </c>
      <c r="AH1358">
        <v>11</v>
      </c>
      <c r="AI1358">
        <v>8</v>
      </c>
    </row>
    <row r="1359" spans="1:35" x14ac:dyDescent="0.3">
      <c r="A1359">
        <v>53</v>
      </c>
      <c r="B1359" t="s">
        <v>40</v>
      </c>
      <c r="C1359" t="s">
        <v>33</v>
      </c>
      <c r="D1359">
        <v>447</v>
      </c>
      <c r="E1359" t="s">
        <v>42</v>
      </c>
      <c r="F1359">
        <v>2</v>
      </c>
      <c r="G1359">
        <v>3</v>
      </c>
      <c r="H1359" t="s">
        <v>48</v>
      </c>
      <c r="I1359">
        <v>1</v>
      </c>
      <c r="J1359">
        <v>1472</v>
      </c>
      <c r="K1359">
        <v>4</v>
      </c>
      <c r="L1359" s="17" t="s">
        <v>43</v>
      </c>
      <c r="M1359">
        <v>39</v>
      </c>
      <c r="N1359">
        <v>4</v>
      </c>
      <c r="O1359">
        <v>4</v>
      </c>
      <c r="P1359" t="s">
        <v>55</v>
      </c>
      <c r="Q1359">
        <v>2</v>
      </c>
      <c r="R1359" t="s">
        <v>38</v>
      </c>
      <c r="S1359" s="6">
        <v>16598</v>
      </c>
      <c r="T1359">
        <v>19764</v>
      </c>
      <c r="U1359">
        <v>4</v>
      </c>
      <c r="V1359" t="s">
        <v>39</v>
      </c>
      <c r="W1359" t="s">
        <v>40</v>
      </c>
      <c r="X1359">
        <v>12</v>
      </c>
      <c r="Y1359">
        <v>3</v>
      </c>
      <c r="Z1359">
        <v>2</v>
      </c>
      <c r="AA1359">
        <v>80</v>
      </c>
      <c r="AB1359">
        <v>0</v>
      </c>
      <c r="AC1359">
        <v>35</v>
      </c>
      <c r="AD1359">
        <v>2</v>
      </c>
      <c r="AE1359">
        <v>2</v>
      </c>
      <c r="AF1359">
        <v>9</v>
      </c>
      <c r="AG1359">
        <v>8</v>
      </c>
      <c r="AH1359">
        <v>8</v>
      </c>
      <c r="AI1359">
        <v>8</v>
      </c>
    </row>
    <row r="1360" spans="1:35" x14ac:dyDescent="0.3">
      <c r="A1360">
        <v>46</v>
      </c>
      <c r="B1360" t="s">
        <v>40</v>
      </c>
      <c r="C1360" t="s">
        <v>33</v>
      </c>
      <c r="D1360">
        <v>228</v>
      </c>
      <c r="E1360" t="s">
        <v>34</v>
      </c>
      <c r="F1360">
        <v>3</v>
      </c>
      <c r="G1360">
        <v>3</v>
      </c>
      <c r="H1360" t="s">
        <v>35</v>
      </c>
      <c r="I1360">
        <v>1</v>
      </c>
      <c r="J1360">
        <v>1527</v>
      </c>
      <c r="K1360">
        <v>3</v>
      </c>
      <c r="L1360" s="17" t="s">
        <v>36</v>
      </c>
      <c r="M1360">
        <v>51</v>
      </c>
      <c r="N1360">
        <v>3</v>
      </c>
      <c r="O1360">
        <v>4</v>
      </c>
      <c r="P1360" t="s">
        <v>53</v>
      </c>
      <c r="Q1360">
        <v>2</v>
      </c>
      <c r="R1360" t="s">
        <v>45</v>
      </c>
      <c r="S1360" s="6">
        <v>16606</v>
      </c>
      <c r="T1360">
        <v>11380</v>
      </c>
      <c r="U1360">
        <v>8</v>
      </c>
      <c r="V1360" t="s">
        <v>39</v>
      </c>
      <c r="W1360" t="s">
        <v>40</v>
      </c>
      <c r="X1360">
        <v>12</v>
      </c>
      <c r="Y1360">
        <v>3</v>
      </c>
      <c r="Z1360">
        <v>4</v>
      </c>
      <c r="AA1360">
        <v>80</v>
      </c>
      <c r="AB1360">
        <v>1</v>
      </c>
      <c r="AC1360">
        <v>23</v>
      </c>
      <c r="AD1360">
        <v>2</v>
      </c>
      <c r="AE1360">
        <v>4</v>
      </c>
      <c r="AF1360">
        <v>13</v>
      </c>
      <c r="AG1360">
        <v>12</v>
      </c>
      <c r="AH1360">
        <v>5</v>
      </c>
      <c r="AI1360">
        <v>1</v>
      </c>
    </row>
    <row r="1361" spans="1:35" x14ac:dyDescent="0.3">
      <c r="A1361">
        <v>43</v>
      </c>
      <c r="B1361" t="s">
        <v>40</v>
      </c>
      <c r="C1361" t="s">
        <v>33</v>
      </c>
      <c r="D1361">
        <v>782</v>
      </c>
      <c r="E1361" t="s">
        <v>42</v>
      </c>
      <c r="F1361">
        <v>6</v>
      </c>
      <c r="G1361">
        <v>4</v>
      </c>
      <c r="H1361" t="s">
        <v>46</v>
      </c>
      <c r="I1361">
        <v>1</v>
      </c>
      <c r="J1361">
        <v>661</v>
      </c>
      <c r="K1361">
        <v>2</v>
      </c>
      <c r="L1361" s="17" t="s">
        <v>43</v>
      </c>
      <c r="M1361">
        <v>50</v>
      </c>
      <c r="N1361">
        <v>2</v>
      </c>
      <c r="O1361">
        <v>4</v>
      </c>
      <c r="P1361" t="s">
        <v>55</v>
      </c>
      <c r="Q1361">
        <v>4</v>
      </c>
      <c r="R1361" t="s">
        <v>49</v>
      </c>
      <c r="S1361" s="6">
        <v>16627</v>
      </c>
      <c r="T1361">
        <v>2671</v>
      </c>
      <c r="U1361">
        <v>4</v>
      </c>
      <c r="V1361" t="s">
        <v>39</v>
      </c>
      <c r="W1361" t="s">
        <v>32</v>
      </c>
      <c r="X1361">
        <v>14</v>
      </c>
      <c r="Y1361">
        <v>3</v>
      </c>
      <c r="Z1361">
        <v>3</v>
      </c>
      <c r="AA1361">
        <v>80</v>
      </c>
      <c r="AB1361">
        <v>1</v>
      </c>
      <c r="AC1361">
        <v>21</v>
      </c>
      <c r="AD1361">
        <v>3</v>
      </c>
      <c r="AE1361">
        <v>2</v>
      </c>
      <c r="AF1361">
        <v>1</v>
      </c>
      <c r="AG1361">
        <v>0</v>
      </c>
      <c r="AH1361">
        <v>0</v>
      </c>
      <c r="AI1361">
        <v>0</v>
      </c>
    </row>
    <row r="1362" spans="1:35" x14ac:dyDescent="0.3">
      <c r="A1362">
        <v>55</v>
      </c>
      <c r="B1362" t="s">
        <v>40</v>
      </c>
      <c r="C1362" t="s">
        <v>33</v>
      </c>
      <c r="D1362">
        <v>1311</v>
      </c>
      <c r="E1362" t="s">
        <v>42</v>
      </c>
      <c r="F1362">
        <v>2</v>
      </c>
      <c r="G1362">
        <v>3</v>
      </c>
      <c r="H1362" t="s">
        <v>35</v>
      </c>
      <c r="I1362">
        <v>1</v>
      </c>
      <c r="J1362">
        <v>505</v>
      </c>
      <c r="K1362">
        <v>3</v>
      </c>
      <c r="L1362" s="17" t="s">
        <v>36</v>
      </c>
      <c r="M1362">
        <v>97</v>
      </c>
      <c r="N1362">
        <v>3</v>
      </c>
      <c r="O1362">
        <v>4</v>
      </c>
      <c r="P1362" t="s">
        <v>53</v>
      </c>
      <c r="Q1362">
        <v>4</v>
      </c>
      <c r="R1362" t="s">
        <v>38</v>
      </c>
      <c r="S1362" s="6">
        <v>16659</v>
      </c>
      <c r="T1362">
        <v>23258</v>
      </c>
      <c r="U1362">
        <v>2</v>
      </c>
      <c r="V1362" t="s">
        <v>39</v>
      </c>
      <c r="W1362" t="s">
        <v>32</v>
      </c>
      <c r="X1362">
        <v>13</v>
      </c>
      <c r="Y1362">
        <v>3</v>
      </c>
      <c r="Z1362">
        <v>3</v>
      </c>
      <c r="AA1362">
        <v>80</v>
      </c>
      <c r="AB1362">
        <v>0</v>
      </c>
      <c r="AC1362">
        <v>30</v>
      </c>
      <c r="AD1362">
        <v>2</v>
      </c>
      <c r="AE1362">
        <v>3</v>
      </c>
      <c r="AF1362">
        <v>5</v>
      </c>
      <c r="AG1362">
        <v>4</v>
      </c>
      <c r="AH1362">
        <v>1</v>
      </c>
      <c r="AI1362">
        <v>2</v>
      </c>
    </row>
    <row r="1363" spans="1:35" x14ac:dyDescent="0.3">
      <c r="A1363">
        <v>45</v>
      </c>
      <c r="B1363" t="s">
        <v>40</v>
      </c>
      <c r="C1363" t="s">
        <v>33</v>
      </c>
      <c r="D1363">
        <v>1005</v>
      </c>
      <c r="E1363" t="s">
        <v>42</v>
      </c>
      <c r="F1363">
        <v>28</v>
      </c>
      <c r="G1363">
        <v>2</v>
      </c>
      <c r="H1363" t="s">
        <v>57</v>
      </c>
      <c r="I1363">
        <v>1</v>
      </c>
      <c r="J1363">
        <v>1719</v>
      </c>
      <c r="K1363">
        <v>4</v>
      </c>
      <c r="L1363" s="17" t="s">
        <v>36</v>
      </c>
      <c r="M1363">
        <v>48</v>
      </c>
      <c r="N1363">
        <v>2</v>
      </c>
      <c r="O1363">
        <v>4</v>
      </c>
      <c r="P1363" t="s">
        <v>55</v>
      </c>
      <c r="Q1363">
        <v>2</v>
      </c>
      <c r="R1363" t="s">
        <v>38</v>
      </c>
      <c r="S1363" s="6">
        <v>16704</v>
      </c>
      <c r="T1363">
        <v>17119</v>
      </c>
      <c r="U1363">
        <v>1</v>
      </c>
      <c r="V1363" t="s">
        <v>39</v>
      </c>
      <c r="W1363" t="s">
        <v>40</v>
      </c>
      <c r="X1363">
        <v>11</v>
      </c>
      <c r="Y1363">
        <v>3</v>
      </c>
      <c r="Z1363">
        <v>3</v>
      </c>
      <c r="AA1363">
        <v>80</v>
      </c>
      <c r="AB1363">
        <v>0</v>
      </c>
      <c r="AC1363">
        <v>21</v>
      </c>
      <c r="AD1363">
        <v>2</v>
      </c>
      <c r="AE1363">
        <v>3</v>
      </c>
      <c r="AF1363">
        <v>21</v>
      </c>
      <c r="AG1363">
        <v>6</v>
      </c>
      <c r="AH1363">
        <v>8</v>
      </c>
      <c r="AI1363">
        <v>6</v>
      </c>
    </row>
    <row r="1364" spans="1:35" x14ac:dyDescent="0.3">
      <c r="A1364">
        <v>47</v>
      </c>
      <c r="B1364" t="s">
        <v>40</v>
      </c>
      <c r="C1364" t="s">
        <v>33</v>
      </c>
      <c r="D1364">
        <v>202</v>
      </c>
      <c r="E1364" t="s">
        <v>42</v>
      </c>
      <c r="F1364">
        <v>2</v>
      </c>
      <c r="G1364">
        <v>2</v>
      </c>
      <c r="H1364" t="s">
        <v>46</v>
      </c>
      <c r="I1364">
        <v>1</v>
      </c>
      <c r="J1364">
        <v>820</v>
      </c>
      <c r="K1364">
        <v>3</v>
      </c>
      <c r="L1364" s="17" t="s">
        <v>36</v>
      </c>
      <c r="M1364">
        <v>33</v>
      </c>
      <c r="N1364">
        <v>3</v>
      </c>
      <c r="O1364">
        <v>4</v>
      </c>
      <c r="P1364" t="s">
        <v>53</v>
      </c>
      <c r="Q1364">
        <v>4</v>
      </c>
      <c r="R1364" t="s">
        <v>45</v>
      </c>
      <c r="S1364" s="6">
        <v>16752</v>
      </c>
      <c r="T1364">
        <v>12982</v>
      </c>
      <c r="U1364">
        <v>1</v>
      </c>
      <c r="V1364" t="s">
        <v>39</v>
      </c>
      <c r="W1364" t="s">
        <v>32</v>
      </c>
      <c r="X1364">
        <v>11</v>
      </c>
      <c r="Y1364">
        <v>3</v>
      </c>
      <c r="Z1364">
        <v>3</v>
      </c>
      <c r="AA1364">
        <v>80</v>
      </c>
      <c r="AB1364">
        <v>1</v>
      </c>
      <c r="AC1364">
        <v>26</v>
      </c>
      <c r="AD1364">
        <v>3</v>
      </c>
      <c r="AE1364">
        <v>2</v>
      </c>
      <c r="AF1364">
        <v>26</v>
      </c>
      <c r="AG1364">
        <v>14</v>
      </c>
      <c r="AH1364">
        <v>3</v>
      </c>
      <c r="AI1364">
        <v>0</v>
      </c>
    </row>
    <row r="1365" spans="1:35" x14ac:dyDescent="0.3">
      <c r="A1365">
        <v>55</v>
      </c>
      <c r="B1365" t="s">
        <v>40</v>
      </c>
      <c r="C1365" t="s">
        <v>52</v>
      </c>
      <c r="D1365">
        <v>444</v>
      </c>
      <c r="E1365" t="s">
        <v>42</v>
      </c>
      <c r="F1365">
        <v>2</v>
      </c>
      <c r="G1365">
        <v>1</v>
      </c>
      <c r="H1365" t="s">
        <v>48</v>
      </c>
      <c r="I1365">
        <v>1</v>
      </c>
      <c r="J1365">
        <v>1074</v>
      </c>
      <c r="K1365">
        <v>3</v>
      </c>
      <c r="L1365" s="17" t="s">
        <v>43</v>
      </c>
      <c r="M1365">
        <v>40</v>
      </c>
      <c r="N1365">
        <v>2</v>
      </c>
      <c r="O1365">
        <v>4</v>
      </c>
      <c r="P1365" t="s">
        <v>53</v>
      </c>
      <c r="Q1365">
        <v>1</v>
      </c>
      <c r="R1365" t="s">
        <v>38</v>
      </c>
      <c r="S1365" s="6">
        <v>16756</v>
      </c>
      <c r="T1365">
        <v>17323</v>
      </c>
      <c r="U1365">
        <v>7</v>
      </c>
      <c r="V1365" t="s">
        <v>39</v>
      </c>
      <c r="W1365" t="s">
        <v>40</v>
      </c>
      <c r="X1365">
        <v>15</v>
      </c>
      <c r="Y1365">
        <v>3</v>
      </c>
      <c r="Z1365">
        <v>2</v>
      </c>
      <c r="AA1365">
        <v>80</v>
      </c>
      <c r="AB1365">
        <v>0</v>
      </c>
      <c r="AC1365">
        <v>31</v>
      </c>
      <c r="AD1365">
        <v>3</v>
      </c>
      <c r="AE1365">
        <v>4</v>
      </c>
      <c r="AF1365">
        <v>9</v>
      </c>
      <c r="AG1365">
        <v>7</v>
      </c>
      <c r="AH1365">
        <v>6</v>
      </c>
      <c r="AI1365">
        <v>2</v>
      </c>
    </row>
    <row r="1366" spans="1:35" x14ac:dyDescent="0.3">
      <c r="A1366">
        <v>45</v>
      </c>
      <c r="B1366" t="s">
        <v>40</v>
      </c>
      <c r="C1366" t="s">
        <v>52</v>
      </c>
      <c r="D1366">
        <v>1195</v>
      </c>
      <c r="E1366" t="s">
        <v>42</v>
      </c>
      <c r="F1366">
        <v>2</v>
      </c>
      <c r="G1366">
        <v>2</v>
      </c>
      <c r="H1366" t="s">
        <v>48</v>
      </c>
      <c r="I1366">
        <v>1</v>
      </c>
      <c r="J1366">
        <v>264</v>
      </c>
      <c r="K1366">
        <v>1</v>
      </c>
      <c r="L1366" s="17" t="s">
        <v>43</v>
      </c>
      <c r="M1366">
        <v>65</v>
      </c>
      <c r="N1366">
        <v>2</v>
      </c>
      <c r="O1366">
        <v>4</v>
      </c>
      <c r="P1366" t="s">
        <v>53</v>
      </c>
      <c r="Q1366">
        <v>4</v>
      </c>
      <c r="R1366" t="s">
        <v>45</v>
      </c>
      <c r="S1366" s="6">
        <v>16792</v>
      </c>
      <c r="T1366">
        <v>20462</v>
      </c>
      <c r="U1366">
        <v>9</v>
      </c>
      <c r="V1366" t="s">
        <v>39</v>
      </c>
      <c r="W1366" t="s">
        <v>40</v>
      </c>
      <c r="X1366">
        <v>23</v>
      </c>
      <c r="Y1366">
        <v>4</v>
      </c>
      <c r="Z1366">
        <v>4</v>
      </c>
      <c r="AA1366">
        <v>80</v>
      </c>
      <c r="AB1366">
        <v>1</v>
      </c>
      <c r="AC1366">
        <v>22</v>
      </c>
      <c r="AD1366">
        <v>1</v>
      </c>
      <c r="AE1366">
        <v>3</v>
      </c>
      <c r="AF1366">
        <v>20</v>
      </c>
      <c r="AG1366">
        <v>8</v>
      </c>
      <c r="AH1366">
        <v>11</v>
      </c>
      <c r="AI1366">
        <v>8</v>
      </c>
    </row>
    <row r="1367" spans="1:35" x14ac:dyDescent="0.3">
      <c r="A1367">
        <v>42</v>
      </c>
      <c r="B1367" t="s">
        <v>40</v>
      </c>
      <c r="C1367" t="s">
        <v>33</v>
      </c>
      <c r="D1367">
        <v>1147</v>
      </c>
      <c r="E1367" t="s">
        <v>58</v>
      </c>
      <c r="F1367">
        <v>10</v>
      </c>
      <c r="G1367">
        <v>3</v>
      </c>
      <c r="H1367" t="s">
        <v>58</v>
      </c>
      <c r="I1367">
        <v>1</v>
      </c>
      <c r="J1367">
        <v>1408</v>
      </c>
      <c r="K1367">
        <v>3</v>
      </c>
      <c r="L1367" s="17" t="s">
        <v>36</v>
      </c>
      <c r="M1367">
        <v>31</v>
      </c>
      <c r="N1367">
        <v>3</v>
      </c>
      <c r="O1367">
        <v>4</v>
      </c>
      <c r="P1367" t="s">
        <v>53</v>
      </c>
      <c r="Q1367">
        <v>1</v>
      </c>
      <c r="R1367" t="s">
        <v>45</v>
      </c>
      <c r="S1367" s="6">
        <v>16799</v>
      </c>
      <c r="T1367">
        <v>16616</v>
      </c>
      <c r="U1367">
        <v>0</v>
      </c>
      <c r="V1367" t="s">
        <v>39</v>
      </c>
      <c r="W1367" t="s">
        <v>40</v>
      </c>
      <c r="X1367">
        <v>14</v>
      </c>
      <c r="Y1367">
        <v>3</v>
      </c>
      <c r="Z1367">
        <v>3</v>
      </c>
      <c r="AA1367">
        <v>80</v>
      </c>
      <c r="AB1367">
        <v>1</v>
      </c>
      <c r="AC1367">
        <v>21</v>
      </c>
      <c r="AD1367">
        <v>5</v>
      </c>
      <c r="AE1367">
        <v>3</v>
      </c>
      <c r="AF1367">
        <v>20</v>
      </c>
      <c r="AG1367">
        <v>7</v>
      </c>
      <c r="AH1367">
        <v>0</v>
      </c>
      <c r="AI1367">
        <v>9</v>
      </c>
    </row>
    <row r="1368" spans="1:35" x14ac:dyDescent="0.3">
      <c r="A1368">
        <v>40</v>
      </c>
      <c r="B1368" t="s">
        <v>40</v>
      </c>
      <c r="C1368" t="s">
        <v>33</v>
      </c>
      <c r="D1368">
        <v>1137</v>
      </c>
      <c r="E1368" t="s">
        <v>42</v>
      </c>
      <c r="F1368">
        <v>1</v>
      </c>
      <c r="G1368">
        <v>4</v>
      </c>
      <c r="H1368" t="s">
        <v>35</v>
      </c>
      <c r="I1368">
        <v>1</v>
      </c>
      <c r="J1368">
        <v>1892</v>
      </c>
      <c r="K1368">
        <v>1</v>
      </c>
      <c r="L1368" s="17" t="s">
        <v>43</v>
      </c>
      <c r="M1368">
        <v>98</v>
      </c>
      <c r="N1368">
        <v>3</v>
      </c>
      <c r="O1368">
        <v>4</v>
      </c>
      <c r="P1368" t="s">
        <v>53</v>
      </c>
      <c r="Q1368">
        <v>1</v>
      </c>
      <c r="R1368" t="s">
        <v>49</v>
      </c>
      <c r="S1368" s="6">
        <v>16823</v>
      </c>
      <c r="T1368">
        <v>18991</v>
      </c>
      <c r="U1368">
        <v>2</v>
      </c>
      <c r="V1368" t="s">
        <v>39</v>
      </c>
      <c r="W1368" t="s">
        <v>40</v>
      </c>
      <c r="X1368">
        <v>11</v>
      </c>
      <c r="Y1368">
        <v>3</v>
      </c>
      <c r="Z1368">
        <v>1</v>
      </c>
      <c r="AA1368">
        <v>80</v>
      </c>
      <c r="AB1368">
        <v>1</v>
      </c>
      <c r="AC1368">
        <v>22</v>
      </c>
      <c r="AD1368">
        <v>3</v>
      </c>
      <c r="AE1368">
        <v>3</v>
      </c>
      <c r="AF1368">
        <v>19</v>
      </c>
      <c r="AG1368">
        <v>7</v>
      </c>
      <c r="AH1368">
        <v>11</v>
      </c>
      <c r="AI1368">
        <v>16</v>
      </c>
    </row>
    <row r="1369" spans="1:35" x14ac:dyDescent="0.3">
      <c r="A1369">
        <v>55</v>
      </c>
      <c r="B1369" t="s">
        <v>40</v>
      </c>
      <c r="C1369" t="s">
        <v>33</v>
      </c>
      <c r="D1369">
        <v>1117</v>
      </c>
      <c r="E1369" t="s">
        <v>34</v>
      </c>
      <c r="F1369">
        <v>18</v>
      </c>
      <c r="G1369">
        <v>5</v>
      </c>
      <c r="H1369" t="s">
        <v>35</v>
      </c>
      <c r="I1369">
        <v>1</v>
      </c>
      <c r="J1369">
        <v>597</v>
      </c>
      <c r="K1369">
        <v>1</v>
      </c>
      <c r="L1369" s="17" t="s">
        <v>36</v>
      </c>
      <c r="M1369">
        <v>83</v>
      </c>
      <c r="N1369">
        <v>3</v>
      </c>
      <c r="O1369">
        <v>4</v>
      </c>
      <c r="P1369" t="s">
        <v>53</v>
      </c>
      <c r="Q1369">
        <v>2</v>
      </c>
      <c r="R1369" t="s">
        <v>38</v>
      </c>
      <c r="S1369" s="6">
        <v>16835</v>
      </c>
      <c r="T1369">
        <v>9873</v>
      </c>
      <c r="U1369">
        <v>3</v>
      </c>
      <c r="V1369" t="s">
        <v>39</v>
      </c>
      <c r="W1369" t="s">
        <v>40</v>
      </c>
      <c r="X1369">
        <v>23</v>
      </c>
      <c r="Y1369">
        <v>4</v>
      </c>
      <c r="Z1369">
        <v>4</v>
      </c>
      <c r="AA1369">
        <v>80</v>
      </c>
      <c r="AB1369">
        <v>0</v>
      </c>
      <c r="AC1369">
        <v>37</v>
      </c>
      <c r="AD1369">
        <v>2</v>
      </c>
      <c r="AE1369">
        <v>3</v>
      </c>
      <c r="AF1369">
        <v>10</v>
      </c>
      <c r="AG1369">
        <v>9</v>
      </c>
      <c r="AH1369">
        <v>7</v>
      </c>
      <c r="AI1369">
        <v>7</v>
      </c>
    </row>
    <row r="1370" spans="1:35" x14ac:dyDescent="0.3">
      <c r="A1370">
        <v>52</v>
      </c>
      <c r="B1370" t="s">
        <v>40</v>
      </c>
      <c r="C1370" t="s">
        <v>33</v>
      </c>
      <c r="D1370">
        <v>621</v>
      </c>
      <c r="E1370" t="s">
        <v>34</v>
      </c>
      <c r="F1370">
        <v>3</v>
      </c>
      <c r="G1370">
        <v>4</v>
      </c>
      <c r="H1370" t="s">
        <v>56</v>
      </c>
      <c r="I1370">
        <v>1</v>
      </c>
      <c r="J1370">
        <v>776</v>
      </c>
      <c r="K1370">
        <v>3</v>
      </c>
      <c r="L1370" s="17" t="s">
        <v>43</v>
      </c>
      <c r="M1370">
        <v>31</v>
      </c>
      <c r="N1370">
        <v>2</v>
      </c>
      <c r="O1370">
        <v>4</v>
      </c>
      <c r="P1370" t="s">
        <v>53</v>
      </c>
      <c r="Q1370">
        <v>1</v>
      </c>
      <c r="R1370" t="s">
        <v>45</v>
      </c>
      <c r="S1370" s="6">
        <v>16856</v>
      </c>
      <c r="T1370">
        <v>10084</v>
      </c>
      <c r="U1370">
        <v>1</v>
      </c>
      <c r="V1370" t="s">
        <v>39</v>
      </c>
      <c r="W1370" t="s">
        <v>40</v>
      </c>
      <c r="X1370">
        <v>11</v>
      </c>
      <c r="Y1370">
        <v>3</v>
      </c>
      <c r="Z1370">
        <v>1</v>
      </c>
      <c r="AA1370">
        <v>80</v>
      </c>
      <c r="AB1370">
        <v>0</v>
      </c>
      <c r="AC1370">
        <v>34</v>
      </c>
      <c r="AD1370">
        <v>3</v>
      </c>
      <c r="AE1370">
        <v>4</v>
      </c>
      <c r="AF1370">
        <v>34</v>
      </c>
      <c r="AG1370">
        <v>6</v>
      </c>
      <c r="AH1370">
        <v>1</v>
      </c>
      <c r="AI1370">
        <v>16</v>
      </c>
    </row>
    <row r="1371" spans="1:35" x14ac:dyDescent="0.3">
      <c r="A1371">
        <v>46</v>
      </c>
      <c r="B1371" t="s">
        <v>40</v>
      </c>
      <c r="C1371" t="s">
        <v>33</v>
      </c>
      <c r="D1371">
        <v>488</v>
      </c>
      <c r="E1371" t="s">
        <v>34</v>
      </c>
      <c r="F1371">
        <v>2</v>
      </c>
      <c r="G1371">
        <v>3</v>
      </c>
      <c r="H1371" t="s">
        <v>57</v>
      </c>
      <c r="I1371">
        <v>1</v>
      </c>
      <c r="J1371">
        <v>363</v>
      </c>
      <c r="K1371">
        <v>3</v>
      </c>
      <c r="L1371" s="17" t="s">
        <v>36</v>
      </c>
      <c r="M1371">
        <v>75</v>
      </c>
      <c r="N1371">
        <v>1</v>
      </c>
      <c r="O1371">
        <v>4</v>
      </c>
      <c r="P1371" t="s">
        <v>53</v>
      </c>
      <c r="Q1371">
        <v>2</v>
      </c>
      <c r="R1371" t="s">
        <v>45</v>
      </c>
      <c r="S1371" s="6">
        <v>16872</v>
      </c>
      <c r="T1371">
        <v>14977</v>
      </c>
      <c r="U1371">
        <v>3</v>
      </c>
      <c r="V1371" t="s">
        <v>39</v>
      </c>
      <c r="W1371" t="s">
        <v>32</v>
      </c>
      <c r="X1371">
        <v>12</v>
      </c>
      <c r="Y1371">
        <v>3</v>
      </c>
      <c r="Z1371">
        <v>2</v>
      </c>
      <c r="AA1371">
        <v>80</v>
      </c>
      <c r="AB1371">
        <v>1</v>
      </c>
      <c r="AC1371">
        <v>28</v>
      </c>
      <c r="AD1371">
        <v>2</v>
      </c>
      <c r="AE1371">
        <v>2</v>
      </c>
      <c r="AF1371">
        <v>7</v>
      </c>
      <c r="AG1371">
        <v>7</v>
      </c>
      <c r="AH1371">
        <v>7</v>
      </c>
      <c r="AI1371">
        <v>7</v>
      </c>
    </row>
    <row r="1372" spans="1:35" x14ac:dyDescent="0.3">
      <c r="A1372">
        <v>50</v>
      </c>
      <c r="B1372" t="s">
        <v>40</v>
      </c>
      <c r="C1372" t="s">
        <v>33</v>
      </c>
      <c r="D1372">
        <v>1322</v>
      </c>
      <c r="E1372" t="s">
        <v>42</v>
      </c>
      <c r="F1372">
        <v>28</v>
      </c>
      <c r="G1372">
        <v>3</v>
      </c>
      <c r="H1372" t="s">
        <v>35</v>
      </c>
      <c r="I1372">
        <v>1</v>
      </c>
      <c r="J1372">
        <v>1317</v>
      </c>
      <c r="K1372">
        <v>4</v>
      </c>
      <c r="L1372" s="17" t="s">
        <v>36</v>
      </c>
      <c r="M1372">
        <v>43</v>
      </c>
      <c r="N1372">
        <v>3</v>
      </c>
      <c r="O1372">
        <v>4</v>
      </c>
      <c r="P1372" t="s">
        <v>55</v>
      </c>
      <c r="Q1372">
        <v>1</v>
      </c>
      <c r="R1372" t="s">
        <v>45</v>
      </c>
      <c r="S1372" s="6">
        <v>16880</v>
      </c>
      <c r="T1372">
        <v>22422</v>
      </c>
      <c r="U1372">
        <v>4</v>
      </c>
      <c r="V1372" t="s">
        <v>39</v>
      </c>
      <c r="W1372" t="s">
        <v>32</v>
      </c>
      <c r="X1372">
        <v>11</v>
      </c>
      <c r="Y1372">
        <v>3</v>
      </c>
      <c r="Z1372">
        <v>2</v>
      </c>
      <c r="AA1372">
        <v>80</v>
      </c>
      <c r="AB1372">
        <v>0</v>
      </c>
      <c r="AC1372">
        <v>25</v>
      </c>
      <c r="AD1372">
        <v>2</v>
      </c>
      <c r="AE1372">
        <v>3</v>
      </c>
      <c r="AF1372">
        <v>3</v>
      </c>
      <c r="AG1372">
        <v>2</v>
      </c>
      <c r="AH1372">
        <v>1</v>
      </c>
      <c r="AI1372">
        <v>2</v>
      </c>
    </row>
    <row r="1373" spans="1:35" x14ac:dyDescent="0.3">
      <c r="A1373">
        <v>48</v>
      </c>
      <c r="B1373" t="s">
        <v>40</v>
      </c>
      <c r="C1373" t="s">
        <v>52</v>
      </c>
      <c r="D1373">
        <v>1262</v>
      </c>
      <c r="E1373" t="s">
        <v>42</v>
      </c>
      <c r="F1373">
        <v>1</v>
      </c>
      <c r="G1373">
        <v>4</v>
      </c>
      <c r="H1373" t="s">
        <v>48</v>
      </c>
      <c r="I1373">
        <v>1</v>
      </c>
      <c r="J1373">
        <v>1116</v>
      </c>
      <c r="K1373">
        <v>1</v>
      </c>
      <c r="L1373" s="17" t="s">
        <v>43</v>
      </c>
      <c r="M1373">
        <v>35</v>
      </c>
      <c r="N1373">
        <v>4</v>
      </c>
      <c r="O1373">
        <v>4</v>
      </c>
      <c r="P1373" t="s">
        <v>53</v>
      </c>
      <c r="Q1373">
        <v>4</v>
      </c>
      <c r="R1373" t="s">
        <v>38</v>
      </c>
      <c r="S1373" s="6">
        <v>16885</v>
      </c>
      <c r="T1373">
        <v>16154</v>
      </c>
      <c r="U1373">
        <v>2</v>
      </c>
      <c r="V1373" t="s">
        <v>39</v>
      </c>
      <c r="W1373" t="s">
        <v>40</v>
      </c>
      <c r="X1373">
        <v>22</v>
      </c>
      <c r="Y1373">
        <v>4</v>
      </c>
      <c r="Z1373">
        <v>3</v>
      </c>
      <c r="AA1373">
        <v>80</v>
      </c>
      <c r="AB1373">
        <v>0</v>
      </c>
      <c r="AC1373">
        <v>27</v>
      </c>
      <c r="AD1373">
        <v>3</v>
      </c>
      <c r="AE1373">
        <v>2</v>
      </c>
      <c r="AF1373">
        <v>5</v>
      </c>
      <c r="AG1373">
        <v>4</v>
      </c>
      <c r="AH1373">
        <v>2</v>
      </c>
      <c r="AI1373">
        <v>1</v>
      </c>
    </row>
    <row r="1374" spans="1:35" x14ac:dyDescent="0.3">
      <c r="A1374">
        <v>43</v>
      </c>
      <c r="B1374" t="s">
        <v>40</v>
      </c>
      <c r="C1374" t="s">
        <v>41</v>
      </c>
      <c r="D1374">
        <v>394</v>
      </c>
      <c r="E1374" t="s">
        <v>34</v>
      </c>
      <c r="F1374">
        <v>26</v>
      </c>
      <c r="G1374">
        <v>2</v>
      </c>
      <c r="H1374" t="s">
        <v>35</v>
      </c>
      <c r="I1374">
        <v>1</v>
      </c>
      <c r="J1374">
        <v>158</v>
      </c>
      <c r="K1374">
        <v>3</v>
      </c>
      <c r="L1374" s="17" t="s">
        <v>43</v>
      </c>
      <c r="M1374">
        <v>92</v>
      </c>
      <c r="N1374">
        <v>3</v>
      </c>
      <c r="O1374">
        <v>4</v>
      </c>
      <c r="P1374" t="s">
        <v>53</v>
      </c>
      <c r="Q1374">
        <v>4</v>
      </c>
      <c r="R1374" t="s">
        <v>45</v>
      </c>
      <c r="S1374" s="6">
        <v>16959</v>
      </c>
      <c r="T1374">
        <v>19494</v>
      </c>
      <c r="U1374">
        <v>1</v>
      </c>
      <c r="V1374" t="s">
        <v>39</v>
      </c>
      <c r="W1374" t="s">
        <v>32</v>
      </c>
      <c r="X1374">
        <v>12</v>
      </c>
      <c r="Y1374">
        <v>3</v>
      </c>
      <c r="Z1374">
        <v>4</v>
      </c>
      <c r="AA1374">
        <v>80</v>
      </c>
      <c r="AB1374">
        <v>2</v>
      </c>
      <c r="AC1374">
        <v>25</v>
      </c>
      <c r="AD1374">
        <v>3</v>
      </c>
      <c r="AE1374">
        <v>4</v>
      </c>
      <c r="AF1374">
        <v>25</v>
      </c>
      <c r="AG1374">
        <v>12</v>
      </c>
      <c r="AH1374">
        <v>4</v>
      </c>
      <c r="AI1374">
        <v>12</v>
      </c>
    </row>
    <row r="1375" spans="1:35" x14ac:dyDescent="0.3">
      <c r="A1375">
        <v>34</v>
      </c>
      <c r="B1375" t="s">
        <v>40</v>
      </c>
      <c r="C1375" t="s">
        <v>41</v>
      </c>
      <c r="D1375">
        <v>829</v>
      </c>
      <c r="E1375" t="s">
        <v>42</v>
      </c>
      <c r="F1375">
        <v>15</v>
      </c>
      <c r="G1375">
        <v>3</v>
      </c>
      <c r="H1375" t="s">
        <v>48</v>
      </c>
      <c r="I1375">
        <v>1</v>
      </c>
      <c r="J1375">
        <v>1485</v>
      </c>
      <c r="K1375">
        <v>2</v>
      </c>
      <c r="L1375" s="17" t="s">
        <v>43</v>
      </c>
      <c r="M1375">
        <v>71</v>
      </c>
      <c r="N1375">
        <v>3</v>
      </c>
      <c r="O1375">
        <v>4</v>
      </c>
      <c r="P1375" t="s">
        <v>55</v>
      </c>
      <c r="Q1375">
        <v>1</v>
      </c>
      <c r="R1375" t="s">
        <v>49</v>
      </c>
      <c r="S1375" s="6">
        <v>17007</v>
      </c>
      <c r="T1375">
        <v>11929</v>
      </c>
      <c r="U1375">
        <v>7</v>
      </c>
      <c r="V1375" t="s">
        <v>39</v>
      </c>
      <c r="W1375" t="s">
        <v>40</v>
      </c>
      <c r="X1375">
        <v>14</v>
      </c>
      <c r="Y1375">
        <v>3</v>
      </c>
      <c r="Z1375">
        <v>4</v>
      </c>
      <c r="AA1375">
        <v>80</v>
      </c>
      <c r="AB1375">
        <v>2</v>
      </c>
      <c r="AC1375">
        <v>16</v>
      </c>
      <c r="AD1375">
        <v>3</v>
      </c>
      <c r="AE1375">
        <v>2</v>
      </c>
      <c r="AF1375">
        <v>14</v>
      </c>
      <c r="AG1375">
        <v>8</v>
      </c>
      <c r="AH1375">
        <v>6</v>
      </c>
      <c r="AI1375">
        <v>9</v>
      </c>
    </row>
    <row r="1376" spans="1:35" x14ac:dyDescent="0.3">
      <c r="A1376">
        <v>50</v>
      </c>
      <c r="B1376" t="s">
        <v>40</v>
      </c>
      <c r="C1376" t="s">
        <v>33</v>
      </c>
      <c r="D1376">
        <v>1099</v>
      </c>
      <c r="E1376" t="s">
        <v>42</v>
      </c>
      <c r="F1376">
        <v>29</v>
      </c>
      <c r="G1376">
        <v>4</v>
      </c>
      <c r="H1376" t="s">
        <v>35</v>
      </c>
      <c r="I1376">
        <v>1</v>
      </c>
      <c r="J1376">
        <v>569</v>
      </c>
      <c r="K1376">
        <v>2</v>
      </c>
      <c r="L1376" s="17" t="s">
        <v>43</v>
      </c>
      <c r="M1376">
        <v>88</v>
      </c>
      <c r="N1376">
        <v>2</v>
      </c>
      <c r="O1376">
        <v>4</v>
      </c>
      <c r="P1376" t="s">
        <v>53</v>
      </c>
      <c r="Q1376">
        <v>3</v>
      </c>
      <c r="R1376" t="s">
        <v>45</v>
      </c>
      <c r="S1376" s="6">
        <v>17046</v>
      </c>
      <c r="T1376">
        <v>9314</v>
      </c>
      <c r="U1376">
        <v>0</v>
      </c>
      <c r="V1376" t="s">
        <v>39</v>
      </c>
      <c r="W1376" t="s">
        <v>40</v>
      </c>
      <c r="X1376">
        <v>15</v>
      </c>
      <c r="Y1376">
        <v>3</v>
      </c>
      <c r="Z1376">
        <v>2</v>
      </c>
      <c r="AA1376">
        <v>80</v>
      </c>
      <c r="AB1376">
        <v>1</v>
      </c>
      <c r="AC1376">
        <v>28</v>
      </c>
      <c r="AD1376">
        <v>2</v>
      </c>
      <c r="AE1376">
        <v>3</v>
      </c>
      <c r="AF1376">
        <v>27</v>
      </c>
      <c r="AG1376">
        <v>10</v>
      </c>
      <c r="AH1376">
        <v>15</v>
      </c>
      <c r="AI1376">
        <v>7</v>
      </c>
    </row>
    <row r="1377" spans="1:35" x14ac:dyDescent="0.3">
      <c r="A1377">
        <v>46</v>
      </c>
      <c r="B1377" t="s">
        <v>40</v>
      </c>
      <c r="C1377" t="s">
        <v>33</v>
      </c>
      <c r="D1377">
        <v>1402</v>
      </c>
      <c r="E1377" t="s">
        <v>34</v>
      </c>
      <c r="F1377">
        <v>2</v>
      </c>
      <c r="G1377">
        <v>3</v>
      </c>
      <c r="H1377" t="s">
        <v>56</v>
      </c>
      <c r="I1377">
        <v>1</v>
      </c>
      <c r="J1377">
        <v>1204</v>
      </c>
      <c r="K1377">
        <v>3</v>
      </c>
      <c r="L1377" s="17" t="s">
        <v>36</v>
      </c>
      <c r="M1377">
        <v>69</v>
      </c>
      <c r="N1377">
        <v>3</v>
      </c>
      <c r="O1377">
        <v>4</v>
      </c>
      <c r="P1377" t="s">
        <v>53</v>
      </c>
      <c r="Q1377">
        <v>1</v>
      </c>
      <c r="R1377" t="s">
        <v>45</v>
      </c>
      <c r="S1377" s="6">
        <v>17048</v>
      </c>
      <c r="T1377">
        <v>24097</v>
      </c>
      <c r="U1377">
        <v>8</v>
      </c>
      <c r="V1377" t="s">
        <v>39</v>
      </c>
      <c r="W1377" t="s">
        <v>40</v>
      </c>
      <c r="X1377">
        <v>23</v>
      </c>
      <c r="Y1377">
        <v>4</v>
      </c>
      <c r="Z1377">
        <v>1</v>
      </c>
      <c r="AA1377">
        <v>80</v>
      </c>
      <c r="AB1377">
        <v>0</v>
      </c>
      <c r="AC1377">
        <v>28</v>
      </c>
      <c r="AD1377">
        <v>2</v>
      </c>
      <c r="AE1377">
        <v>3</v>
      </c>
      <c r="AF1377">
        <v>26</v>
      </c>
      <c r="AG1377">
        <v>15</v>
      </c>
      <c r="AH1377">
        <v>15</v>
      </c>
      <c r="AI1377">
        <v>9</v>
      </c>
    </row>
    <row r="1378" spans="1:35" x14ac:dyDescent="0.3">
      <c r="A1378">
        <v>39</v>
      </c>
      <c r="B1378" t="s">
        <v>40</v>
      </c>
      <c r="C1378" t="s">
        <v>33</v>
      </c>
      <c r="D1378">
        <v>117</v>
      </c>
      <c r="E1378" t="s">
        <v>42</v>
      </c>
      <c r="F1378">
        <v>10</v>
      </c>
      <c r="G1378">
        <v>1</v>
      </c>
      <c r="H1378" t="s">
        <v>48</v>
      </c>
      <c r="I1378">
        <v>1</v>
      </c>
      <c r="J1378">
        <v>429</v>
      </c>
      <c r="K1378">
        <v>3</v>
      </c>
      <c r="L1378" s="17" t="s">
        <v>43</v>
      </c>
      <c r="M1378">
        <v>99</v>
      </c>
      <c r="N1378">
        <v>3</v>
      </c>
      <c r="O1378">
        <v>4</v>
      </c>
      <c r="P1378" t="s">
        <v>53</v>
      </c>
      <c r="Q1378">
        <v>1</v>
      </c>
      <c r="R1378" t="s">
        <v>45</v>
      </c>
      <c r="S1378" s="6">
        <v>17068</v>
      </c>
      <c r="T1378">
        <v>5355</v>
      </c>
      <c r="U1378">
        <v>1</v>
      </c>
      <c r="V1378" t="s">
        <v>39</v>
      </c>
      <c r="W1378" t="s">
        <v>32</v>
      </c>
      <c r="X1378">
        <v>14</v>
      </c>
      <c r="Y1378">
        <v>3</v>
      </c>
      <c r="Z1378">
        <v>4</v>
      </c>
      <c r="AA1378">
        <v>80</v>
      </c>
      <c r="AB1378">
        <v>0</v>
      </c>
      <c r="AC1378">
        <v>21</v>
      </c>
      <c r="AD1378">
        <v>3</v>
      </c>
      <c r="AE1378">
        <v>3</v>
      </c>
      <c r="AF1378">
        <v>21</v>
      </c>
      <c r="AG1378">
        <v>9</v>
      </c>
      <c r="AH1378">
        <v>11</v>
      </c>
      <c r="AI1378">
        <v>10</v>
      </c>
    </row>
    <row r="1379" spans="1:35" x14ac:dyDescent="0.3">
      <c r="A1379">
        <v>52</v>
      </c>
      <c r="B1379" t="s">
        <v>40</v>
      </c>
      <c r="C1379" t="s">
        <v>33</v>
      </c>
      <c r="D1379">
        <v>1053</v>
      </c>
      <c r="E1379" t="s">
        <v>42</v>
      </c>
      <c r="F1379">
        <v>1</v>
      </c>
      <c r="G1379">
        <v>2</v>
      </c>
      <c r="H1379" t="s">
        <v>35</v>
      </c>
      <c r="I1379">
        <v>1</v>
      </c>
      <c r="J1379">
        <v>976</v>
      </c>
      <c r="K1379">
        <v>4</v>
      </c>
      <c r="L1379" s="17" t="s">
        <v>43</v>
      </c>
      <c r="M1379">
        <v>70</v>
      </c>
      <c r="N1379">
        <v>3</v>
      </c>
      <c r="O1379">
        <v>4</v>
      </c>
      <c r="P1379" t="s">
        <v>53</v>
      </c>
      <c r="Q1379">
        <v>4</v>
      </c>
      <c r="R1379" t="s">
        <v>45</v>
      </c>
      <c r="S1379" s="6">
        <v>17099</v>
      </c>
      <c r="T1379">
        <v>13829</v>
      </c>
      <c r="U1379">
        <v>2</v>
      </c>
      <c r="V1379" t="s">
        <v>39</v>
      </c>
      <c r="W1379" t="s">
        <v>40</v>
      </c>
      <c r="X1379">
        <v>15</v>
      </c>
      <c r="Y1379">
        <v>3</v>
      </c>
      <c r="Z1379">
        <v>2</v>
      </c>
      <c r="AA1379">
        <v>80</v>
      </c>
      <c r="AB1379">
        <v>1</v>
      </c>
      <c r="AC1379">
        <v>26</v>
      </c>
      <c r="AD1379">
        <v>2</v>
      </c>
      <c r="AE1379">
        <v>2</v>
      </c>
      <c r="AF1379">
        <v>9</v>
      </c>
      <c r="AG1379">
        <v>8</v>
      </c>
      <c r="AH1379">
        <v>7</v>
      </c>
      <c r="AI1379">
        <v>8</v>
      </c>
    </row>
    <row r="1380" spans="1:35" x14ac:dyDescent="0.3">
      <c r="A1380">
        <v>39</v>
      </c>
      <c r="B1380" t="s">
        <v>40</v>
      </c>
      <c r="C1380" t="s">
        <v>33</v>
      </c>
      <c r="D1380">
        <v>412</v>
      </c>
      <c r="E1380" t="s">
        <v>42</v>
      </c>
      <c r="F1380">
        <v>13</v>
      </c>
      <c r="G1380">
        <v>4</v>
      </c>
      <c r="H1380" t="s">
        <v>48</v>
      </c>
      <c r="I1380">
        <v>1</v>
      </c>
      <c r="J1380">
        <v>1307</v>
      </c>
      <c r="K1380">
        <v>3</v>
      </c>
      <c r="L1380" s="17" t="s">
        <v>36</v>
      </c>
      <c r="M1380">
        <v>94</v>
      </c>
      <c r="N1380">
        <v>2</v>
      </c>
      <c r="O1380">
        <v>4</v>
      </c>
      <c r="P1380" t="s">
        <v>53</v>
      </c>
      <c r="Q1380">
        <v>2</v>
      </c>
      <c r="R1380" t="s">
        <v>49</v>
      </c>
      <c r="S1380" s="6">
        <v>17123</v>
      </c>
      <c r="T1380">
        <v>17334</v>
      </c>
      <c r="U1380">
        <v>6</v>
      </c>
      <c r="V1380" t="s">
        <v>39</v>
      </c>
      <c r="W1380" t="s">
        <v>32</v>
      </c>
      <c r="X1380">
        <v>13</v>
      </c>
      <c r="Y1380">
        <v>3</v>
      </c>
      <c r="Z1380">
        <v>4</v>
      </c>
      <c r="AA1380">
        <v>80</v>
      </c>
      <c r="AB1380">
        <v>2</v>
      </c>
      <c r="AC1380">
        <v>21</v>
      </c>
      <c r="AD1380">
        <v>4</v>
      </c>
      <c r="AE1380">
        <v>3</v>
      </c>
      <c r="AF1380">
        <v>19</v>
      </c>
      <c r="AG1380">
        <v>9</v>
      </c>
      <c r="AH1380">
        <v>15</v>
      </c>
      <c r="AI1380">
        <v>2</v>
      </c>
    </row>
    <row r="1381" spans="1:35" x14ac:dyDescent="0.3">
      <c r="A1381">
        <v>43</v>
      </c>
      <c r="B1381" t="s">
        <v>40</v>
      </c>
      <c r="C1381" t="s">
        <v>33</v>
      </c>
      <c r="D1381">
        <v>589</v>
      </c>
      <c r="E1381" t="s">
        <v>42</v>
      </c>
      <c r="F1381">
        <v>14</v>
      </c>
      <c r="G1381">
        <v>2</v>
      </c>
      <c r="H1381" t="s">
        <v>35</v>
      </c>
      <c r="I1381">
        <v>1</v>
      </c>
      <c r="J1381">
        <v>843</v>
      </c>
      <c r="K1381">
        <v>2</v>
      </c>
      <c r="L1381" s="17" t="s">
        <v>43</v>
      </c>
      <c r="M1381">
        <v>94</v>
      </c>
      <c r="N1381">
        <v>3</v>
      </c>
      <c r="O1381">
        <v>4</v>
      </c>
      <c r="P1381" t="s">
        <v>55</v>
      </c>
      <c r="Q1381">
        <v>1</v>
      </c>
      <c r="R1381" t="s">
        <v>45</v>
      </c>
      <c r="S1381" s="6">
        <v>17159</v>
      </c>
      <c r="T1381">
        <v>5200</v>
      </c>
      <c r="U1381">
        <v>6</v>
      </c>
      <c r="V1381" t="s">
        <v>39</v>
      </c>
      <c r="W1381" t="s">
        <v>40</v>
      </c>
      <c r="X1381">
        <v>24</v>
      </c>
      <c r="Y1381">
        <v>4</v>
      </c>
      <c r="Z1381">
        <v>3</v>
      </c>
      <c r="AA1381">
        <v>80</v>
      </c>
      <c r="AB1381">
        <v>1</v>
      </c>
      <c r="AC1381">
        <v>22</v>
      </c>
      <c r="AD1381">
        <v>3</v>
      </c>
      <c r="AE1381">
        <v>3</v>
      </c>
      <c r="AF1381">
        <v>4</v>
      </c>
      <c r="AG1381">
        <v>1</v>
      </c>
      <c r="AH1381">
        <v>1</v>
      </c>
      <c r="AI1381">
        <v>0</v>
      </c>
    </row>
    <row r="1382" spans="1:35" x14ac:dyDescent="0.3">
      <c r="A1382">
        <v>47</v>
      </c>
      <c r="B1382" t="s">
        <v>40</v>
      </c>
      <c r="C1382" t="s">
        <v>33</v>
      </c>
      <c r="D1382">
        <v>359</v>
      </c>
      <c r="E1382" t="s">
        <v>42</v>
      </c>
      <c r="F1382">
        <v>2</v>
      </c>
      <c r="G1382">
        <v>4</v>
      </c>
      <c r="H1382" t="s">
        <v>48</v>
      </c>
      <c r="I1382">
        <v>1</v>
      </c>
      <c r="J1382">
        <v>1443</v>
      </c>
      <c r="K1382">
        <v>1</v>
      </c>
      <c r="L1382" s="17" t="s">
        <v>36</v>
      </c>
      <c r="M1382">
        <v>82</v>
      </c>
      <c r="N1382">
        <v>3</v>
      </c>
      <c r="O1382">
        <v>4</v>
      </c>
      <c r="P1382" t="s">
        <v>55</v>
      </c>
      <c r="Q1382">
        <v>3</v>
      </c>
      <c r="R1382" t="s">
        <v>45</v>
      </c>
      <c r="S1382" s="6">
        <v>17169</v>
      </c>
      <c r="T1382">
        <v>26703</v>
      </c>
      <c r="U1382">
        <v>3</v>
      </c>
      <c r="V1382" t="s">
        <v>39</v>
      </c>
      <c r="W1382" t="s">
        <v>40</v>
      </c>
      <c r="X1382">
        <v>19</v>
      </c>
      <c r="Y1382">
        <v>3</v>
      </c>
      <c r="Z1382">
        <v>2</v>
      </c>
      <c r="AA1382">
        <v>80</v>
      </c>
      <c r="AB1382">
        <v>2</v>
      </c>
      <c r="AC1382">
        <v>26</v>
      </c>
      <c r="AD1382">
        <v>2</v>
      </c>
      <c r="AE1382">
        <v>4</v>
      </c>
      <c r="AF1382">
        <v>20</v>
      </c>
      <c r="AG1382">
        <v>17</v>
      </c>
      <c r="AH1382">
        <v>5</v>
      </c>
      <c r="AI1382">
        <v>6</v>
      </c>
    </row>
    <row r="1383" spans="1:35" x14ac:dyDescent="0.3">
      <c r="A1383">
        <v>48</v>
      </c>
      <c r="B1383" t="s">
        <v>40</v>
      </c>
      <c r="C1383" t="s">
        <v>41</v>
      </c>
      <c r="D1383">
        <v>117</v>
      </c>
      <c r="E1383" t="s">
        <v>42</v>
      </c>
      <c r="F1383">
        <v>22</v>
      </c>
      <c r="G1383">
        <v>3</v>
      </c>
      <c r="H1383" t="s">
        <v>48</v>
      </c>
      <c r="I1383">
        <v>1</v>
      </c>
      <c r="J1383">
        <v>1900</v>
      </c>
      <c r="K1383">
        <v>4</v>
      </c>
      <c r="L1383" s="17" t="s">
        <v>36</v>
      </c>
      <c r="M1383">
        <v>58</v>
      </c>
      <c r="N1383">
        <v>3</v>
      </c>
      <c r="O1383">
        <v>4</v>
      </c>
      <c r="P1383" t="s">
        <v>53</v>
      </c>
      <c r="Q1383">
        <v>4</v>
      </c>
      <c r="R1383" t="s">
        <v>49</v>
      </c>
      <c r="S1383" s="6">
        <v>17174</v>
      </c>
      <c r="T1383">
        <v>2437</v>
      </c>
      <c r="U1383">
        <v>3</v>
      </c>
      <c r="V1383" t="s">
        <v>39</v>
      </c>
      <c r="W1383" t="s">
        <v>40</v>
      </c>
      <c r="X1383">
        <v>11</v>
      </c>
      <c r="Y1383">
        <v>3</v>
      </c>
      <c r="Z1383">
        <v>2</v>
      </c>
      <c r="AA1383">
        <v>80</v>
      </c>
      <c r="AB1383">
        <v>1</v>
      </c>
      <c r="AC1383">
        <v>24</v>
      </c>
      <c r="AD1383">
        <v>3</v>
      </c>
      <c r="AE1383">
        <v>3</v>
      </c>
      <c r="AF1383">
        <v>22</v>
      </c>
      <c r="AG1383">
        <v>17</v>
      </c>
      <c r="AH1383">
        <v>4</v>
      </c>
      <c r="AI1383">
        <v>7</v>
      </c>
    </row>
    <row r="1384" spans="1:35" x14ac:dyDescent="0.3">
      <c r="A1384">
        <v>41</v>
      </c>
      <c r="B1384" t="s">
        <v>40</v>
      </c>
      <c r="C1384" t="s">
        <v>41</v>
      </c>
      <c r="D1384">
        <v>857</v>
      </c>
      <c r="E1384" t="s">
        <v>42</v>
      </c>
      <c r="F1384">
        <v>10</v>
      </c>
      <c r="G1384">
        <v>3</v>
      </c>
      <c r="H1384" t="s">
        <v>35</v>
      </c>
      <c r="I1384">
        <v>1</v>
      </c>
      <c r="J1384">
        <v>199</v>
      </c>
      <c r="K1384">
        <v>4</v>
      </c>
      <c r="L1384" s="17" t="s">
        <v>43</v>
      </c>
      <c r="M1384">
        <v>91</v>
      </c>
      <c r="N1384">
        <v>2</v>
      </c>
      <c r="O1384">
        <v>4</v>
      </c>
      <c r="P1384" t="s">
        <v>53</v>
      </c>
      <c r="Q1384">
        <v>1</v>
      </c>
      <c r="R1384" t="s">
        <v>49</v>
      </c>
      <c r="S1384" s="6">
        <v>17181</v>
      </c>
      <c r="T1384">
        <v>12888</v>
      </c>
      <c r="U1384">
        <v>4</v>
      </c>
      <c r="V1384" t="s">
        <v>39</v>
      </c>
      <c r="W1384" t="s">
        <v>40</v>
      </c>
      <c r="X1384">
        <v>13</v>
      </c>
      <c r="Y1384">
        <v>3</v>
      </c>
      <c r="Z1384">
        <v>2</v>
      </c>
      <c r="AA1384">
        <v>80</v>
      </c>
      <c r="AB1384">
        <v>1</v>
      </c>
      <c r="AC1384">
        <v>21</v>
      </c>
      <c r="AD1384">
        <v>2</v>
      </c>
      <c r="AE1384">
        <v>2</v>
      </c>
      <c r="AF1384">
        <v>7</v>
      </c>
      <c r="AG1384">
        <v>6</v>
      </c>
      <c r="AH1384">
        <v>7</v>
      </c>
      <c r="AI1384">
        <v>7</v>
      </c>
    </row>
    <row r="1385" spans="1:35" x14ac:dyDescent="0.3">
      <c r="A1385">
        <v>54</v>
      </c>
      <c r="B1385" t="s">
        <v>40</v>
      </c>
      <c r="C1385" t="s">
        <v>52</v>
      </c>
      <c r="D1385">
        <v>142</v>
      </c>
      <c r="E1385" t="s">
        <v>58</v>
      </c>
      <c r="F1385">
        <v>26</v>
      </c>
      <c r="G1385">
        <v>3</v>
      </c>
      <c r="H1385" t="s">
        <v>58</v>
      </c>
      <c r="I1385">
        <v>1</v>
      </c>
      <c r="J1385">
        <v>148</v>
      </c>
      <c r="K1385">
        <v>4</v>
      </c>
      <c r="L1385" s="17" t="s">
        <v>36</v>
      </c>
      <c r="M1385">
        <v>30</v>
      </c>
      <c r="N1385">
        <v>4</v>
      </c>
      <c r="O1385">
        <v>4</v>
      </c>
      <c r="P1385" t="s">
        <v>53</v>
      </c>
      <c r="Q1385">
        <v>4</v>
      </c>
      <c r="R1385" t="s">
        <v>38</v>
      </c>
      <c r="S1385" s="6">
        <v>17328</v>
      </c>
      <c r="T1385">
        <v>13871</v>
      </c>
      <c r="U1385">
        <v>2</v>
      </c>
      <c r="V1385" t="s">
        <v>39</v>
      </c>
      <c r="W1385" t="s">
        <v>32</v>
      </c>
      <c r="X1385">
        <v>12</v>
      </c>
      <c r="Y1385">
        <v>3</v>
      </c>
      <c r="Z1385">
        <v>3</v>
      </c>
      <c r="AA1385">
        <v>80</v>
      </c>
      <c r="AB1385">
        <v>0</v>
      </c>
      <c r="AC1385">
        <v>23</v>
      </c>
      <c r="AD1385">
        <v>3</v>
      </c>
      <c r="AE1385">
        <v>3</v>
      </c>
      <c r="AF1385">
        <v>5</v>
      </c>
      <c r="AG1385">
        <v>3</v>
      </c>
      <c r="AH1385">
        <v>4</v>
      </c>
      <c r="AI1385">
        <v>4</v>
      </c>
    </row>
    <row r="1386" spans="1:35" x14ac:dyDescent="0.3">
      <c r="A1386">
        <v>54</v>
      </c>
      <c r="B1386" t="s">
        <v>40</v>
      </c>
      <c r="C1386" t="s">
        <v>33</v>
      </c>
      <c r="D1386">
        <v>971</v>
      </c>
      <c r="E1386" t="s">
        <v>42</v>
      </c>
      <c r="F1386">
        <v>1</v>
      </c>
      <c r="G1386">
        <v>3</v>
      </c>
      <c r="H1386" t="s">
        <v>48</v>
      </c>
      <c r="I1386">
        <v>1</v>
      </c>
      <c r="J1386">
        <v>1422</v>
      </c>
      <c r="K1386">
        <v>4</v>
      </c>
      <c r="L1386" s="17" t="s">
        <v>36</v>
      </c>
      <c r="M1386">
        <v>54</v>
      </c>
      <c r="N1386">
        <v>3</v>
      </c>
      <c r="O1386">
        <v>4</v>
      </c>
      <c r="P1386" t="s">
        <v>55</v>
      </c>
      <c r="Q1386">
        <v>4</v>
      </c>
      <c r="R1386" t="s">
        <v>38</v>
      </c>
      <c r="S1386" s="6">
        <v>17328</v>
      </c>
      <c r="T1386">
        <v>5652</v>
      </c>
      <c r="U1386">
        <v>6</v>
      </c>
      <c r="V1386" t="s">
        <v>39</v>
      </c>
      <c r="W1386" t="s">
        <v>40</v>
      </c>
      <c r="X1386">
        <v>19</v>
      </c>
      <c r="Y1386">
        <v>3</v>
      </c>
      <c r="Z1386">
        <v>4</v>
      </c>
      <c r="AA1386">
        <v>80</v>
      </c>
      <c r="AB1386">
        <v>0</v>
      </c>
      <c r="AC1386">
        <v>29</v>
      </c>
      <c r="AD1386">
        <v>3</v>
      </c>
      <c r="AE1386">
        <v>2</v>
      </c>
      <c r="AF1386">
        <v>20</v>
      </c>
      <c r="AG1386">
        <v>7</v>
      </c>
      <c r="AH1386">
        <v>12</v>
      </c>
      <c r="AI1386">
        <v>7</v>
      </c>
    </row>
    <row r="1387" spans="1:35" x14ac:dyDescent="0.3">
      <c r="A1387">
        <v>50</v>
      </c>
      <c r="B1387" t="s">
        <v>40</v>
      </c>
      <c r="C1387" t="s">
        <v>33</v>
      </c>
      <c r="D1387">
        <v>1126</v>
      </c>
      <c r="E1387" t="s">
        <v>42</v>
      </c>
      <c r="F1387">
        <v>1</v>
      </c>
      <c r="G1387">
        <v>2</v>
      </c>
      <c r="H1387" t="s">
        <v>48</v>
      </c>
      <c r="I1387">
        <v>1</v>
      </c>
      <c r="J1387">
        <v>997</v>
      </c>
      <c r="K1387">
        <v>4</v>
      </c>
      <c r="L1387" s="17" t="s">
        <v>43</v>
      </c>
      <c r="M1387">
        <v>66</v>
      </c>
      <c r="N1387">
        <v>3</v>
      </c>
      <c r="O1387">
        <v>4</v>
      </c>
      <c r="P1387" t="s">
        <v>55</v>
      </c>
      <c r="Q1387">
        <v>4</v>
      </c>
      <c r="R1387" t="s">
        <v>49</v>
      </c>
      <c r="S1387" s="6">
        <v>17399</v>
      </c>
      <c r="T1387">
        <v>6615</v>
      </c>
      <c r="U1387">
        <v>9</v>
      </c>
      <c r="V1387" t="s">
        <v>39</v>
      </c>
      <c r="W1387" t="s">
        <v>40</v>
      </c>
      <c r="X1387">
        <v>22</v>
      </c>
      <c r="Y1387">
        <v>4</v>
      </c>
      <c r="Z1387">
        <v>3</v>
      </c>
      <c r="AA1387">
        <v>80</v>
      </c>
      <c r="AB1387">
        <v>1</v>
      </c>
      <c r="AC1387">
        <v>32</v>
      </c>
      <c r="AD1387">
        <v>1</v>
      </c>
      <c r="AE1387">
        <v>2</v>
      </c>
      <c r="AF1387">
        <v>5</v>
      </c>
      <c r="AG1387">
        <v>4</v>
      </c>
      <c r="AH1387">
        <v>1</v>
      </c>
      <c r="AI1387">
        <v>3</v>
      </c>
    </row>
    <row r="1388" spans="1:35" x14ac:dyDescent="0.3">
      <c r="A1388">
        <v>54</v>
      </c>
      <c r="B1388" t="s">
        <v>40</v>
      </c>
      <c r="C1388" t="s">
        <v>33</v>
      </c>
      <c r="D1388">
        <v>584</v>
      </c>
      <c r="E1388" t="s">
        <v>42</v>
      </c>
      <c r="F1388">
        <v>22</v>
      </c>
      <c r="G1388">
        <v>5</v>
      </c>
      <c r="H1388" t="s">
        <v>48</v>
      </c>
      <c r="I1388">
        <v>1</v>
      </c>
      <c r="J1388">
        <v>1665</v>
      </c>
      <c r="K1388">
        <v>2</v>
      </c>
      <c r="L1388" s="17" t="s">
        <v>36</v>
      </c>
      <c r="M1388">
        <v>91</v>
      </c>
      <c r="N1388">
        <v>3</v>
      </c>
      <c r="O1388">
        <v>4</v>
      </c>
      <c r="P1388" t="s">
        <v>53</v>
      </c>
      <c r="Q1388">
        <v>3</v>
      </c>
      <c r="R1388" t="s">
        <v>45</v>
      </c>
      <c r="S1388" s="6">
        <v>17426</v>
      </c>
      <c r="T1388">
        <v>18685</v>
      </c>
      <c r="U1388">
        <v>3</v>
      </c>
      <c r="V1388" t="s">
        <v>39</v>
      </c>
      <c r="W1388" t="s">
        <v>40</v>
      </c>
      <c r="X1388">
        <v>25</v>
      </c>
      <c r="Y1388">
        <v>4</v>
      </c>
      <c r="Z1388">
        <v>3</v>
      </c>
      <c r="AA1388">
        <v>80</v>
      </c>
      <c r="AB1388">
        <v>1</v>
      </c>
      <c r="AC1388">
        <v>36</v>
      </c>
      <c r="AD1388">
        <v>6</v>
      </c>
      <c r="AE1388">
        <v>3</v>
      </c>
      <c r="AF1388">
        <v>10</v>
      </c>
      <c r="AG1388">
        <v>8</v>
      </c>
      <c r="AH1388">
        <v>4</v>
      </c>
      <c r="AI1388">
        <v>7</v>
      </c>
    </row>
    <row r="1389" spans="1:35" x14ac:dyDescent="0.3">
      <c r="A1389">
        <v>33</v>
      </c>
      <c r="B1389" t="s">
        <v>40</v>
      </c>
      <c r="C1389" t="s">
        <v>52</v>
      </c>
      <c r="D1389">
        <v>722</v>
      </c>
      <c r="E1389" t="s">
        <v>34</v>
      </c>
      <c r="F1389">
        <v>17</v>
      </c>
      <c r="G1389">
        <v>3</v>
      </c>
      <c r="H1389" t="s">
        <v>35</v>
      </c>
      <c r="I1389">
        <v>1</v>
      </c>
      <c r="J1389">
        <v>992</v>
      </c>
      <c r="K1389">
        <v>4</v>
      </c>
      <c r="L1389" s="17" t="s">
        <v>43</v>
      </c>
      <c r="M1389">
        <v>38</v>
      </c>
      <c r="N1389">
        <v>3</v>
      </c>
      <c r="O1389">
        <v>4</v>
      </c>
      <c r="P1389" t="s">
        <v>53</v>
      </c>
      <c r="Q1389">
        <v>3</v>
      </c>
      <c r="R1389" t="s">
        <v>38</v>
      </c>
      <c r="S1389" s="6">
        <v>17444</v>
      </c>
      <c r="T1389">
        <v>20489</v>
      </c>
      <c r="U1389">
        <v>1</v>
      </c>
      <c r="V1389" t="s">
        <v>39</v>
      </c>
      <c r="W1389" t="s">
        <v>40</v>
      </c>
      <c r="X1389">
        <v>11</v>
      </c>
      <c r="Y1389">
        <v>3</v>
      </c>
      <c r="Z1389">
        <v>4</v>
      </c>
      <c r="AA1389">
        <v>80</v>
      </c>
      <c r="AB1389">
        <v>0</v>
      </c>
      <c r="AC1389">
        <v>10</v>
      </c>
      <c r="AD1389">
        <v>2</v>
      </c>
      <c r="AE1389">
        <v>3</v>
      </c>
      <c r="AF1389">
        <v>10</v>
      </c>
      <c r="AG1389">
        <v>8</v>
      </c>
      <c r="AH1389">
        <v>6</v>
      </c>
      <c r="AI1389">
        <v>0</v>
      </c>
    </row>
    <row r="1390" spans="1:35" x14ac:dyDescent="0.3">
      <c r="A1390">
        <v>46</v>
      </c>
      <c r="B1390" t="s">
        <v>40</v>
      </c>
      <c r="C1390" t="s">
        <v>33</v>
      </c>
      <c r="D1390">
        <v>406</v>
      </c>
      <c r="E1390" t="s">
        <v>34</v>
      </c>
      <c r="F1390">
        <v>3</v>
      </c>
      <c r="G1390">
        <v>1</v>
      </c>
      <c r="H1390" t="s">
        <v>56</v>
      </c>
      <c r="I1390">
        <v>1</v>
      </c>
      <c r="J1390">
        <v>1124</v>
      </c>
      <c r="K1390">
        <v>1</v>
      </c>
      <c r="L1390" s="17" t="s">
        <v>43</v>
      </c>
      <c r="M1390">
        <v>52</v>
      </c>
      <c r="N1390">
        <v>3</v>
      </c>
      <c r="O1390">
        <v>4</v>
      </c>
      <c r="P1390" t="s">
        <v>53</v>
      </c>
      <c r="Q1390">
        <v>3</v>
      </c>
      <c r="R1390" t="s">
        <v>45</v>
      </c>
      <c r="S1390" s="6">
        <v>17465</v>
      </c>
      <c r="T1390">
        <v>15596</v>
      </c>
      <c r="U1390">
        <v>3</v>
      </c>
      <c r="V1390" t="s">
        <v>39</v>
      </c>
      <c r="W1390" t="s">
        <v>40</v>
      </c>
      <c r="X1390">
        <v>12</v>
      </c>
      <c r="Y1390">
        <v>3</v>
      </c>
      <c r="Z1390">
        <v>4</v>
      </c>
      <c r="AA1390">
        <v>80</v>
      </c>
      <c r="AB1390">
        <v>1</v>
      </c>
      <c r="AC1390">
        <v>23</v>
      </c>
      <c r="AD1390">
        <v>3</v>
      </c>
      <c r="AE1390">
        <v>3</v>
      </c>
      <c r="AF1390">
        <v>12</v>
      </c>
      <c r="AG1390">
        <v>9</v>
      </c>
      <c r="AH1390">
        <v>4</v>
      </c>
      <c r="AI1390">
        <v>9</v>
      </c>
    </row>
    <row r="1391" spans="1:35" x14ac:dyDescent="0.3">
      <c r="A1391">
        <v>46</v>
      </c>
      <c r="B1391" t="s">
        <v>40</v>
      </c>
      <c r="C1391" t="s">
        <v>33</v>
      </c>
      <c r="D1391">
        <v>563</v>
      </c>
      <c r="E1391" t="s">
        <v>34</v>
      </c>
      <c r="F1391">
        <v>1</v>
      </c>
      <c r="G1391">
        <v>4</v>
      </c>
      <c r="H1391" t="s">
        <v>35</v>
      </c>
      <c r="I1391">
        <v>1</v>
      </c>
      <c r="J1391">
        <v>1602</v>
      </c>
      <c r="K1391">
        <v>4</v>
      </c>
      <c r="L1391" s="17" t="s">
        <v>43</v>
      </c>
      <c r="M1391">
        <v>56</v>
      </c>
      <c r="N1391">
        <v>4</v>
      </c>
      <c r="O1391">
        <v>4</v>
      </c>
      <c r="P1391" t="s">
        <v>53</v>
      </c>
      <c r="Q1391">
        <v>1</v>
      </c>
      <c r="R1391" t="s">
        <v>38</v>
      </c>
      <c r="S1391" s="6">
        <v>17567</v>
      </c>
      <c r="T1391">
        <v>3156</v>
      </c>
      <c r="U1391">
        <v>1</v>
      </c>
      <c r="V1391" t="s">
        <v>39</v>
      </c>
      <c r="W1391" t="s">
        <v>40</v>
      </c>
      <c r="X1391">
        <v>15</v>
      </c>
      <c r="Y1391">
        <v>3</v>
      </c>
      <c r="Z1391">
        <v>2</v>
      </c>
      <c r="AA1391">
        <v>80</v>
      </c>
      <c r="AB1391">
        <v>0</v>
      </c>
      <c r="AC1391">
        <v>27</v>
      </c>
      <c r="AD1391">
        <v>5</v>
      </c>
      <c r="AE1391">
        <v>1</v>
      </c>
      <c r="AF1391">
        <v>26</v>
      </c>
      <c r="AG1391">
        <v>0</v>
      </c>
      <c r="AH1391">
        <v>0</v>
      </c>
      <c r="AI1391">
        <v>12</v>
      </c>
    </row>
    <row r="1392" spans="1:35" x14ac:dyDescent="0.3">
      <c r="A1392">
        <v>53</v>
      </c>
      <c r="B1392" t="s">
        <v>40</v>
      </c>
      <c r="C1392" t="s">
        <v>33</v>
      </c>
      <c r="D1392">
        <v>1070</v>
      </c>
      <c r="E1392" t="s">
        <v>42</v>
      </c>
      <c r="F1392">
        <v>3</v>
      </c>
      <c r="G1392">
        <v>4</v>
      </c>
      <c r="H1392" t="s">
        <v>48</v>
      </c>
      <c r="I1392">
        <v>1</v>
      </c>
      <c r="J1392">
        <v>386</v>
      </c>
      <c r="K1392">
        <v>3</v>
      </c>
      <c r="L1392" s="17" t="s">
        <v>43</v>
      </c>
      <c r="M1392">
        <v>45</v>
      </c>
      <c r="N1392">
        <v>3</v>
      </c>
      <c r="O1392">
        <v>4</v>
      </c>
      <c r="P1392" t="s">
        <v>55</v>
      </c>
      <c r="Q1392">
        <v>3</v>
      </c>
      <c r="R1392" t="s">
        <v>45</v>
      </c>
      <c r="S1392" s="6">
        <v>17584</v>
      </c>
      <c r="T1392">
        <v>21016</v>
      </c>
      <c r="U1392">
        <v>3</v>
      </c>
      <c r="V1392" t="s">
        <v>39</v>
      </c>
      <c r="W1392" t="s">
        <v>32</v>
      </c>
      <c r="X1392">
        <v>16</v>
      </c>
      <c r="Y1392">
        <v>3</v>
      </c>
      <c r="Z1392">
        <v>4</v>
      </c>
      <c r="AA1392">
        <v>80</v>
      </c>
      <c r="AB1392">
        <v>3</v>
      </c>
      <c r="AC1392">
        <v>21</v>
      </c>
      <c r="AD1392">
        <v>5</v>
      </c>
      <c r="AE1392">
        <v>2</v>
      </c>
      <c r="AF1392">
        <v>5</v>
      </c>
      <c r="AG1392">
        <v>3</v>
      </c>
      <c r="AH1392">
        <v>1</v>
      </c>
      <c r="AI1392">
        <v>3</v>
      </c>
    </row>
    <row r="1393" spans="1:35" x14ac:dyDescent="0.3">
      <c r="A1393">
        <v>43</v>
      </c>
      <c r="B1393" t="s">
        <v>40</v>
      </c>
      <c r="C1393" t="s">
        <v>33</v>
      </c>
      <c r="D1393">
        <v>1291</v>
      </c>
      <c r="E1393" t="s">
        <v>42</v>
      </c>
      <c r="F1393">
        <v>15</v>
      </c>
      <c r="G1393">
        <v>2</v>
      </c>
      <c r="H1393" t="s">
        <v>35</v>
      </c>
      <c r="I1393">
        <v>1</v>
      </c>
      <c r="J1393">
        <v>1666</v>
      </c>
      <c r="K1393">
        <v>3</v>
      </c>
      <c r="L1393" s="17" t="s">
        <v>43</v>
      </c>
      <c r="M1393">
        <v>65</v>
      </c>
      <c r="N1393">
        <v>2</v>
      </c>
      <c r="O1393">
        <v>4</v>
      </c>
      <c r="P1393" t="s">
        <v>55</v>
      </c>
      <c r="Q1393">
        <v>3</v>
      </c>
      <c r="R1393" t="s">
        <v>45</v>
      </c>
      <c r="S1393" s="6">
        <v>17603</v>
      </c>
      <c r="T1393">
        <v>3525</v>
      </c>
      <c r="U1393">
        <v>1</v>
      </c>
      <c r="V1393" t="s">
        <v>39</v>
      </c>
      <c r="W1393" t="s">
        <v>40</v>
      </c>
      <c r="X1393">
        <v>24</v>
      </c>
      <c r="Y1393">
        <v>4</v>
      </c>
      <c r="Z1393">
        <v>1</v>
      </c>
      <c r="AA1393">
        <v>80</v>
      </c>
      <c r="AB1393">
        <v>1</v>
      </c>
      <c r="AC1393">
        <v>14</v>
      </c>
      <c r="AD1393">
        <v>3</v>
      </c>
      <c r="AE1393">
        <v>3</v>
      </c>
      <c r="AF1393">
        <v>14</v>
      </c>
      <c r="AG1393">
        <v>10</v>
      </c>
      <c r="AH1393">
        <v>6</v>
      </c>
      <c r="AI1393">
        <v>11</v>
      </c>
    </row>
    <row r="1394" spans="1:35" x14ac:dyDescent="0.3">
      <c r="A1394">
        <v>50</v>
      </c>
      <c r="B1394" t="s">
        <v>40</v>
      </c>
      <c r="C1394" t="s">
        <v>33</v>
      </c>
      <c r="D1394">
        <v>691</v>
      </c>
      <c r="E1394" t="s">
        <v>42</v>
      </c>
      <c r="F1394">
        <v>2</v>
      </c>
      <c r="G1394">
        <v>3</v>
      </c>
      <c r="H1394" t="s">
        <v>48</v>
      </c>
      <c r="I1394">
        <v>1</v>
      </c>
      <c r="J1394">
        <v>815</v>
      </c>
      <c r="K1394">
        <v>3</v>
      </c>
      <c r="L1394" s="17" t="s">
        <v>43</v>
      </c>
      <c r="M1394">
        <v>64</v>
      </c>
      <c r="N1394">
        <v>3</v>
      </c>
      <c r="O1394">
        <v>4</v>
      </c>
      <c r="P1394" t="s">
        <v>55</v>
      </c>
      <c r="Q1394">
        <v>3</v>
      </c>
      <c r="R1394" t="s">
        <v>45</v>
      </c>
      <c r="S1394" s="6">
        <v>17639</v>
      </c>
      <c r="T1394">
        <v>6881</v>
      </c>
      <c r="U1394">
        <v>5</v>
      </c>
      <c r="V1394" t="s">
        <v>39</v>
      </c>
      <c r="W1394" t="s">
        <v>40</v>
      </c>
      <c r="X1394">
        <v>16</v>
      </c>
      <c r="Y1394">
        <v>3</v>
      </c>
      <c r="Z1394">
        <v>4</v>
      </c>
      <c r="AA1394">
        <v>80</v>
      </c>
      <c r="AB1394">
        <v>0</v>
      </c>
      <c r="AC1394">
        <v>30</v>
      </c>
      <c r="AD1394">
        <v>3</v>
      </c>
      <c r="AE1394">
        <v>3</v>
      </c>
      <c r="AF1394">
        <v>4</v>
      </c>
      <c r="AG1394">
        <v>3</v>
      </c>
      <c r="AH1394">
        <v>0</v>
      </c>
      <c r="AI1394">
        <v>3</v>
      </c>
    </row>
    <row r="1395" spans="1:35" x14ac:dyDescent="0.3">
      <c r="A1395">
        <v>45</v>
      </c>
      <c r="B1395" t="s">
        <v>40</v>
      </c>
      <c r="C1395" t="s">
        <v>33</v>
      </c>
      <c r="D1395">
        <v>1234</v>
      </c>
      <c r="E1395" t="s">
        <v>34</v>
      </c>
      <c r="F1395">
        <v>11</v>
      </c>
      <c r="G1395">
        <v>2</v>
      </c>
      <c r="H1395" t="s">
        <v>35</v>
      </c>
      <c r="I1395">
        <v>1</v>
      </c>
      <c r="J1395">
        <v>1045</v>
      </c>
      <c r="K1395">
        <v>4</v>
      </c>
      <c r="L1395" s="17" t="s">
        <v>36</v>
      </c>
      <c r="M1395">
        <v>90</v>
      </c>
      <c r="N1395">
        <v>3</v>
      </c>
      <c r="O1395">
        <v>4</v>
      </c>
      <c r="P1395" t="s">
        <v>53</v>
      </c>
      <c r="Q1395">
        <v>4</v>
      </c>
      <c r="R1395" t="s">
        <v>45</v>
      </c>
      <c r="S1395" s="6">
        <v>17650</v>
      </c>
      <c r="T1395">
        <v>5404</v>
      </c>
      <c r="U1395">
        <v>3</v>
      </c>
      <c r="V1395" t="s">
        <v>39</v>
      </c>
      <c r="W1395" t="s">
        <v>40</v>
      </c>
      <c r="X1395">
        <v>13</v>
      </c>
      <c r="Y1395">
        <v>3</v>
      </c>
      <c r="Z1395">
        <v>2</v>
      </c>
      <c r="AA1395">
        <v>80</v>
      </c>
      <c r="AB1395">
        <v>1</v>
      </c>
      <c r="AC1395">
        <v>26</v>
      </c>
      <c r="AD1395">
        <v>4</v>
      </c>
      <c r="AE1395">
        <v>4</v>
      </c>
      <c r="AF1395">
        <v>9</v>
      </c>
      <c r="AG1395">
        <v>3</v>
      </c>
      <c r="AH1395">
        <v>1</v>
      </c>
      <c r="AI1395">
        <v>1</v>
      </c>
    </row>
    <row r="1396" spans="1:35" x14ac:dyDescent="0.3">
      <c r="A1396">
        <v>42</v>
      </c>
      <c r="B1396" t="s">
        <v>40</v>
      </c>
      <c r="C1396" t="s">
        <v>33</v>
      </c>
      <c r="D1396">
        <v>469</v>
      </c>
      <c r="E1396" t="s">
        <v>42</v>
      </c>
      <c r="F1396">
        <v>2</v>
      </c>
      <c r="G1396">
        <v>2</v>
      </c>
      <c r="H1396" t="s">
        <v>48</v>
      </c>
      <c r="I1396">
        <v>1</v>
      </c>
      <c r="J1396">
        <v>1109</v>
      </c>
      <c r="K1396">
        <v>4</v>
      </c>
      <c r="L1396" s="17" t="s">
        <v>43</v>
      </c>
      <c r="M1396">
        <v>35</v>
      </c>
      <c r="N1396">
        <v>3</v>
      </c>
      <c r="O1396">
        <v>4</v>
      </c>
      <c r="P1396" t="s">
        <v>53</v>
      </c>
      <c r="Q1396">
        <v>1</v>
      </c>
      <c r="R1396" t="s">
        <v>45</v>
      </c>
      <c r="S1396" s="6">
        <v>17665</v>
      </c>
      <c r="T1396">
        <v>14399</v>
      </c>
      <c r="U1396">
        <v>0</v>
      </c>
      <c r="V1396" t="s">
        <v>39</v>
      </c>
      <c r="W1396" t="s">
        <v>40</v>
      </c>
      <c r="X1396">
        <v>17</v>
      </c>
      <c r="Y1396">
        <v>3</v>
      </c>
      <c r="Z1396">
        <v>4</v>
      </c>
      <c r="AA1396">
        <v>80</v>
      </c>
      <c r="AB1396">
        <v>1</v>
      </c>
      <c r="AC1396">
        <v>23</v>
      </c>
      <c r="AD1396">
        <v>3</v>
      </c>
      <c r="AE1396">
        <v>3</v>
      </c>
      <c r="AF1396">
        <v>22</v>
      </c>
      <c r="AG1396">
        <v>6</v>
      </c>
      <c r="AH1396">
        <v>13</v>
      </c>
      <c r="AI1396">
        <v>7</v>
      </c>
    </row>
    <row r="1397" spans="1:35" x14ac:dyDescent="0.3">
      <c r="A1397">
        <v>54</v>
      </c>
      <c r="B1397" t="s">
        <v>40</v>
      </c>
      <c r="C1397" t="s">
        <v>33</v>
      </c>
      <c r="D1397">
        <v>685</v>
      </c>
      <c r="E1397" t="s">
        <v>42</v>
      </c>
      <c r="F1397">
        <v>3</v>
      </c>
      <c r="G1397">
        <v>3</v>
      </c>
      <c r="H1397" t="s">
        <v>35</v>
      </c>
      <c r="I1397">
        <v>1</v>
      </c>
      <c r="J1397">
        <v>1250</v>
      </c>
      <c r="K1397">
        <v>4</v>
      </c>
      <c r="L1397" s="17" t="s">
        <v>43</v>
      </c>
      <c r="M1397">
        <v>85</v>
      </c>
      <c r="N1397">
        <v>3</v>
      </c>
      <c r="O1397">
        <v>4</v>
      </c>
      <c r="P1397" t="s">
        <v>55</v>
      </c>
      <c r="Q1397">
        <v>4</v>
      </c>
      <c r="R1397" t="s">
        <v>45</v>
      </c>
      <c r="S1397" s="6">
        <v>17779</v>
      </c>
      <c r="T1397">
        <v>23474</v>
      </c>
      <c r="U1397">
        <v>3</v>
      </c>
      <c r="V1397" t="s">
        <v>39</v>
      </c>
      <c r="W1397" t="s">
        <v>40</v>
      </c>
      <c r="X1397">
        <v>14</v>
      </c>
      <c r="Y1397">
        <v>3</v>
      </c>
      <c r="Z1397">
        <v>1</v>
      </c>
      <c r="AA1397">
        <v>80</v>
      </c>
      <c r="AB1397">
        <v>0</v>
      </c>
      <c r="AC1397">
        <v>36</v>
      </c>
      <c r="AD1397">
        <v>2</v>
      </c>
      <c r="AE1397">
        <v>3</v>
      </c>
      <c r="AF1397">
        <v>10</v>
      </c>
      <c r="AG1397">
        <v>9</v>
      </c>
      <c r="AH1397">
        <v>0</v>
      </c>
      <c r="AI1397">
        <v>9</v>
      </c>
    </row>
    <row r="1398" spans="1:35" x14ac:dyDescent="0.3">
      <c r="A1398">
        <v>50</v>
      </c>
      <c r="B1398" t="s">
        <v>40</v>
      </c>
      <c r="C1398" t="s">
        <v>41</v>
      </c>
      <c r="D1398">
        <v>1421</v>
      </c>
      <c r="E1398" t="s">
        <v>42</v>
      </c>
      <c r="F1398">
        <v>2</v>
      </c>
      <c r="G1398">
        <v>3</v>
      </c>
      <c r="H1398" t="s">
        <v>48</v>
      </c>
      <c r="I1398">
        <v>1</v>
      </c>
      <c r="J1398">
        <v>1215</v>
      </c>
      <c r="K1398">
        <v>4</v>
      </c>
      <c r="L1398" s="17" t="s">
        <v>36</v>
      </c>
      <c r="M1398">
        <v>30</v>
      </c>
      <c r="N1398">
        <v>3</v>
      </c>
      <c r="O1398">
        <v>4</v>
      </c>
      <c r="P1398" t="s">
        <v>53</v>
      </c>
      <c r="Q1398">
        <v>1</v>
      </c>
      <c r="R1398" t="s">
        <v>45</v>
      </c>
      <c r="S1398" s="6">
        <v>17856</v>
      </c>
      <c r="T1398">
        <v>9490</v>
      </c>
      <c r="U1398">
        <v>2</v>
      </c>
      <c r="V1398" t="s">
        <v>39</v>
      </c>
      <c r="W1398" t="s">
        <v>40</v>
      </c>
      <c r="X1398">
        <v>22</v>
      </c>
      <c r="Y1398">
        <v>4</v>
      </c>
      <c r="Z1398">
        <v>3</v>
      </c>
      <c r="AA1398">
        <v>80</v>
      </c>
      <c r="AB1398">
        <v>1</v>
      </c>
      <c r="AC1398">
        <v>32</v>
      </c>
      <c r="AD1398">
        <v>3</v>
      </c>
      <c r="AE1398">
        <v>3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46</v>
      </c>
      <c r="B1399" t="s">
        <v>40</v>
      </c>
      <c r="C1399" t="s">
        <v>33</v>
      </c>
      <c r="D1399">
        <v>1009</v>
      </c>
      <c r="E1399" t="s">
        <v>42</v>
      </c>
      <c r="F1399">
        <v>2</v>
      </c>
      <c r="G1399">
        <v>3</v>
      </c>
      <c r="H1399" t="s">
        <v>35</v>
      </c>
      <c r="I1399">
        <v>1</v>
      </c>
      <c r="J1399">
        <v>575</v>
      </c>
      <c r="K1399">
        <v>1</v>
      </c>
      <c r="L1399" s="17" t="s">
        <v>43</v>
      </c>
      <c r="M1399">
        <v>51</v>
      </c>
      <c r="N1399">
        <v>3</v>
      </c>
      <c r="O1399">
        <v>4</v>
      </c>
      <c r="P1399" t="s">
        <v>55</v>
      </c>
      <c r="Q1399">
        <v>3</v>
      </c>
      <c r="R1399" t="s">
        <v>45</v>
      </c>
      <c r="S1399" s="6">
        <v>17861</v>
      </c>
      <c r="T1399">
        <v>2288</v>
      </c>
      <c r="U1399">
        <v>6</v>
      </c>
      <c r="V1399" t="s">
        <v>39</v>
      </c>
      <c r="W1399" t="s">
        <v>40</v>
      </c>
      <c r="X1399">
        <v>13</v>
      </c>
      <c r="Y1399">
        <v>3</v>
      </c>
      <c r="Z1399">
        <v>3</v>
      </c>
      <c r="AA1399">
        <v>80</v>
      </c>
      <c r="AB1399">
        <v>0</v>
      </c>
      <c r="AC1399">
        <v>26</v>
      </c>
      <c r="AD1399">
        <v>2</v>
      </c>
      <c r="AE1399">
        <v>1</v>
      </c>
      <c r="AF1399">
        <v>3</v>
      </c>
      <c r="AG1399">
        <v>2</v>
      </c>
      <c r="AH1399">
        <v>0</v>
      </c>
      <c r="AI1399">
        <v>1</v>
      </c>
    </row>
    <row r="1400" spans="1:35" x14ac:dyDescent="0.3">
      <c r="A1400">
        <v>42</v>
      </c>
      <c r="B1400" t="s">
        <v>40</v>
      </c>
      <c r="C1400" t="s">
        <v>52</v>
      </c>
      <c r="D1400">
        <v>495</v>
      </c>
      <c r="E1400" t="s">
        <v>42</v>
      </c>
      <c r="F1400">
        <v>2</v>
      </c>
      <c r="G1400">
        <v>1</v>
      </c>
      <c r="H1400" t="s">
        <v>35</v>
      </c>
      <c r="I1400">
        <v>1</v>
      </c>
      <c r="J1400">
        <v>1334</v>
      </c>
      <c r="K1400">
        <v>3</v>
      </c>
      <c r="L1400" s="17" t="s">
        <v>43</v>
      </c>
      <c r="M1400">
        <v>37</v>
      </c>
      <c r="N1400">
        <v>3</v>
      </c>
      <c r="O1400">
        <v>4</v>
      </c>
      <c r="P1400" t="s">
        <v>53</v>
      </c>
      <c r="Q1400">
        <v>3</v>
      </c>
      <c r="R1400" t="s">
        <v>45</v>
      </c>
      <c r="S1400" s="6">
        <v>17861</v>
      </c>
      <c r="T1400">
        <v>26582</v>
      </c>
      <c r="U1400">
        <v>0</v>
      </c>
      <c r="V1400" t="s">
        <v>39</v>
      </c>
      <c r="W1400" t="s">
        <v>32</v>
      </c>
      <c r="X1400">
        <v>13</v>
      </c>
      <c r="Y1400">
        <v>3</v>
      </c>
      <c r="Z1400">
        <v>4</v>
      </c>
      <c r="AA1400">
        <v>80</v>
      </c>
      <c r="AB1400">
        <v>0</v>
      </c>
      <c r="AC1400">
        <v>21</v>
      </c>
      <c r="AD1400">
        <v>3</v>
      </c>
      <c r="AE1400">
        <v>2</v>
      </c>
      <c r="AF1400">
        <v>20</v>
      </c>
      <c r="AG1400">
        <v>8</v>
      </c>
      <c r="AH1400">
        <v>2</v>
      </c>
      <c r="AI1400">
        <v>10</v>
      </c>
    </row>
    <row r="1401" spans="1:35" x14ac:dyDescent="0.3">
      <c r="A1401">
        <v>58</v>
      </c>
      <c r="B1401" t="s">
        <v>40</v>
      </c>
      <c r="C1401" t="s">
        <v>33</v>
      </c>
      <c r="D1401">
        <v>605</v>
      </c>
      <c r="E1401" t="s">
        <v>34</v>
      </c>
      <c r="F1401">
        <v>21</v>
      </c>
      <c r="G1401">
        <v>3</v>
      </c>
      <c r="H1401" t="s">
        <v>35</v>
      </c>
      <c r="I1401">
        <v>1</v>
      </c>
      <c r="J1401">
        <v>1938</v>
      </c>
      <c r="K1401">
        <v>4</v>
      </c>
      <c r="L1401" s="17" t="s">
        <v>36</v>
      </c>
      <c r="M1401">
        <v>72</v>
      </c>
      <c r="N1401">
        <v>3</v>
      </c>
      <c r="O1401">
        <v>4</v>
      </c>
      <c r="P1401" t="s">
        <v>53</v>
      </c>
      <c r="Q1401">
        <v>4</v>
      </c>
      <c r="R1401" t="s">
        <v>45</v>
      </c>
      <c r="S1401" s="6">
        <v>17875</v>
      </c>
      <c r="T1401">
        <v>11761</v>
      </c>
      <c r="U1401">
        <v>4</v>
      </c>
      <c r="V1401" t="s">
        <v>39</v>
      </c>
      <c r="W1401" t="s">
        <v>32</v>
      </c>
      <c r="X1401">
        <v>13</v>
      </c>
      <c r="Y1401">
        <v>3</v>
      </c>
      <c r="Z1401">
        <v>3</v>
      </c>
      <c r="AA1401">
        <v>80</v>
      </c>
      <c r="AB1401">
        <v>1</v>
      </c>
      <c r="AC1401">
        <v>29</v>
      </c>
      <c r="AD1401">
        <v>2</v>
      </c>
      <c r="AE1401">
        <v>2</v>
      </c>
      <c r="AF1401">
        <v>1</v>
      </c>
      <c r="AG1401">
        <v>0</v>
      </c>
      <c r="AH1401">
        <v>0</v>
      </c>
      <c r="AI1401">
        <v>0</v>
      </c>
    </row>
    <row r="1402" spans="1:35" x14ac:dyDescent="0.3">
      <c r="A1402">
        <v>50</v>
      </c>
      <c r="B1402" t="s">
        <v>40</v>
      </c>
      <c r="C1402" t="s">
        <v>52</v>
      </c>
      <c r="D1402">
        <v>881</v>
      </c>
      <c r="E1402" t="s">
        <v>42</v>
      </c>
      <c r="F1402">
        <v>2</v>
      </c>
      <c r="G1402">
        <v>4</v>
      </c>
      <c r="H1402" t="s">
        <v>35</v>
      </c>
      <c r="I1402">
        <v>1</v>
      </c>
      <c r="J1402">
        <v>905</v>
      </c>
      <c r="K1402">
        <v>1</v>
      </c>
      <c r="L1402" s="17" t="s">
        <v>43</v>
      </c>
      <c r="M1402">
        <v>98</v>
      </c>
      <c r="N1402">
        <v>3</v>
      </c>
      <c r="O1402">
        <v>4</v>
      </c>
      <c r="P1402" t="s">
        <v>53</v>
      </c>
      <c r="Q1402">
        <v>1</v>
      </c>
      <c r="R1402" t="s">
        <v>49</v>
      </c>
      <c r="S1402" s="6">
        <v>17924</v>
      </c>
      <c r="T1402">
        <v>4544</v>
      </c>
      <c r="U1402">
        <v>1</v>
      </c>
      <c r="V1402" t="s">
        <v>39</v>
      </c>
      <c r="W1402" t="s">
        <v>40</v>
      </c>
      <c r="X1402">
        <v>11</v>
      </c>
      <c r="Y1402">
        <v>3</v>
      </c>
      <c r="Z1402">
        <v>4</v>
      </c>
      <c r="AA1402">
        <v>80</v>
      </c>
      <c r="AB1402">
        <v>1</v>
      </c>
      <c r="AC1402">
        <v>31</v>
      </c>
      <c r="AD1402">
        <v>3</v>
      </c>
      <c r="AE1402">
        <v>3</v>
      </c>
      <c r="AF1402">
        <v>31</v>
      </c>
      <c r="AG1402">
        <v>6</v>
      </c>
      <c r="AH1402">
        <v>14</v>
      </c>
      <c r="AI1402">
        <v>7</v>
      </c>
    </row>
    <row r="1403" spans="1:35" x14ac:dyDescent="0.3">
      <c r="A1403">
        <v>40</v>
      </c>
      <c r="B1403" t="s">
        <v>40</v>
      </c>
      <c r="C1403" t="s">
        <v>33</v>
      </c>
      <c r="D1403">
        <v>1398</v>
      </c>
      <c r="E1403" t="s">
        <v>34</v>
      </c>
      <c r="F1403">
        <v>2</v>
      </c>
      <c r="G1403">
        <v>4</v>
      </c>
      <c r="H1403" t="s">
        <v>35</v>
      </c>
      <c r="I1403">
        <v>1</v>
      </c>
      <c r="J1403">
        <v>558</v>
      </c>
      <c r="K1403">
        <v>3</v>
      </c>
      <c r="L1403" s="17" t="s">
        <v>36</v>
      </c>
      <c r="M1403">
        <v>79</v>
      </c>
      <c r="N1403">
        <v>3</v>
      </c>
      <c r="O1403">
        <v>5</v>
      </c>
      <c r="P1403" t="s">
        <v>53</v>
      </c>
      <c r="Q1403">
        <v>3</v>
      </c>
      <c r="R1403" t="s">
        <v>45</v>
      </c>
      <c r="S1403" s="6">
        <v>18041</v>
      </c>
      <c r="T1403">
        <v>13022</v>
      </c>
      <c r="U1403">
        <v>0</v>
      </c>
      <c r="V1403" t="s">
        <v>39</v>
      </c>
      <c r="W1403" t="s">
        <v>40</v>
      </c>
      <c r="X1403">
        <v>14</v>
      </c>
      <c r="Y1403">
        <v>3</v>
      </c>
      <c r="Z1403">
        <v>4</v>
      </c>
      <c r="AA1403">
        <v>80</v>
      </c>
      <c r="AB1403">
        <v>0</v>
      </c>
      <c r="AC1403">
        <v>21</v>
      </c>
      <c r="AD1403">
        <v>2</v>
      </c>
      <c r="AE1403">
        <v>3</v>
      </c>
      <c r="AF1403">
        <v>20</v>
      </c>
      <c r="AG1403">
        <v>15</v>
      </c>
      <c r="AH1403">
        <v>1</v>
      </c>
      <c r="AI1403">
        <v>12</v>
      </c>
    </row>
    <row r="1404" spans="1:35" x14ac:dyDescent="0.3">
      <c r="A1404">
        <v>45</v>
      </c>
      <c r="B1404" t="s">
        <v>40</v>
      </c>
      <c r="C1404" t="s">
        <v>41</v>
      </c>
      <c r="D1404">
        <v>364</v>
      </c>
      <c r="E1404" t="s">
        <v>42</v>
      </c>
      <c r="F1404">
        <v>25</v>
      </c>
      <c r="G1404">
        <v>3</v>
      </c>
      <c r="H1404" t="s">
        <v>48</v>
      </c>
      <c r="I1404">
        <v>1</v>
      </c>
      <c r="J1404">
        <v>1306</v>
      </c>
      <c r="K1404">
        <v>2</v>
      </c>
      <c r="L1404" s="17" t="s">
        <v>36</v>
      </c>
      <c r="M1404">
        <v>83</v>
      </c>
      <c r="N1404">
        <v>3</v>
      </c>
      <c r="O1404">
        <v>5</v>
      </c>
      <c r="P1404" t="s">
        <v>53</v>
      </c>
      <c r="Q1404">
        <v>2</v>
      </c>
      <c r="R1404" t="s">
        <v>38</v>
      </c>
      <c r="S1404" s="6">
        <v>18061</v>
      </c>
      <c r="T1404">
        <v>13035</v>
      </c>
      <c r="U1404">
        <v>3</v>
      </c>
      <c r="V1404" t="s">
        <v>39</v>
      </c>
      <c r="W1404" t="s">
        <v>40</v>
      </c>
      <c r="X1404">
        <v>22</v>
      </c>
      <c r="Y1404">
        <v>4</v>
      </c>
      <c r="Z1404">
        <v>3</v>
      </c>
      <c r="AA1404">
        <v>80</v>
      </c>
      <c r="AB1404">
        <v>0</v>
      </c>
      <c r="AC1404">
        <v>22</v>
      </c>
      <c r="AD1404">
        <v>4</v>
      </c>
      <c r="AE1404">
        <v>3</v>
      </c>
      <c r="AF1404">
        <v>0</v>
      </c>
      <c r="AG1404">
        <v>0</v>
      </c>
      <c r="AH1404">
        <v>0</v>
      </c>
      <c r="AI1404">
        <v>0</v>
      </c>
    </row>
    <row r="1405" spans="1:35" x14ac:dyDescent="0.3">
      <c r="A1405">
        <v>50</v>
      </c>
      <c r="B1405" t="s">
        <v>40</v>
      </c>
      <c r="C1405" t="s">
        <v>41</v>
      </c>
      <c r="D1405">
        <v>1115</v>
      </c>
      <c r="E1405" t="s">
        <v>42</v>
      </c>
      <c r="F1405">
        <v>1</v>
      </c>
      <c r="G1405">
        <v>3</v>
      </c>
      <c r="H1405" t="s">
        <v>35</v>
      </c>
      <c r="I1405">
        <v>1</v>
      </c>
      <c r="J1405">
        <v>141</v>
      </c>
      <c r="K1405">
        <v>1</v>
      </c>
      <c r="L1405" s="17" t="s">
        <v>36</v>
      </c>
      <c r="M1405">
        <v>73</v>
      </c>
      <c r="N1405">
        <v>3</v>
      </c>
      <c r="O1405">
        <v>5</v>
      </c>
      <c r="P1405" t="s">
        <v>55</v>
      </c>
      <c r="Q1405">
        <v>2</v>
      </c>
      <c r="R1405" t="s">
        <v>45</v>
      </c>
      <c r="S1405" s="6">
        <v>18172</v>
      </c>
      <c r="T1405">
        <v>9755</v>
      </c>
      <c r="U1405">
        <v>3</v>
      </c>
      <c r="V1405" t="s">
        <v>39</v>
      </c>
      <c r="W1405" t="s">
        <v>32</v>
      </c>
      <c r="X1405">
        <v>19</v>
      </c>
      <c r="Y1405">
        <v>3</v>
      </c>
      <c r="Z1405">
        <v>1</v>
      </c>
      <c r="AA1405">
        <v>80</v>
      </c>
      <c r="AB1405">
        <v>0</v>
      </c>
      <c r="AC1405">
        <v>28</v>
      </c>
      <c r="AD1405">
        <v>1</v>
      </c>
      <c r="AE1405">
        <v>2</v>
      </c>
      <c r="AF1405">
        <v>8</v>
      </c>
      <c r="AG1405">
        <v>3</v>
      </c>
      <c r="AH1405">
        <v>0</v>
      </c>
      <c r="AI1405">
        <v>7</v>
      </c>
    </row>
    <row r="1406" spans="1:35" x14ac:dyDescent="0.3">
      <c r="A1406">
        <v>50</v>
      </c>
      <c r="B1406" t="s">
        <v>40</v>
      </c>
      <c r="C1406" t="s">
        <v>41</v>
      </c>
      <c r="D1406">
        <v>1246</v>
      </c>
      <c r="E1406" t="s">
        <v>58</v>
      </c>
      <c r="F1406">
        <v>3</v>
      </c>
      <c r="G1406">
        <v>3</v>
      </c>
      <c r="H1406" t="s">
        <v>48</v>
      </c>
      <c r="I1406">
        <v>1</v>
      </c>
      <c r="J1406">
        <v>644</v>
      </c>
      <c r="K1406">
        <v>1</v>
      </c>
      <c r="L1406" s="17" t="s">
        <v>43</v>
      </c>
      <c r="M1406">
        <v>99</v>
      </c>
      <c r="N1406">
        <v>3</v>
      </c>
      <c r="O1406">
        <v>5</v>
      </c>
      <c r="P1406" t="s">
        <v>53</v>
      </c>
      <c r="Q1406">
        <v>2</v>
      </c>
      <c r="R1406" t="s">
        <v>45</v>
      </c>
      <c r="S1406" s="6">
        <v>18200</v>
      </c>
      <c r="T1406">
        <v>7999</v>
      </c>
      <c r="U1406">
        <v>1</v>
      </c>
      <c r="V1406" t="s">
        <v>39</v>
      </c>
      <c r="W1406" t="s">
        <v>40</v>
      </c>
      <c r="X1406">
        <v>11</v>
      </c>
      <c r="Y1406">
        <v>3</v>
      </c>
      <c r="Z1406">
        <v>3</v>
      </c>
      <c r="AA1406">
        <v>80</v>
      </c>
      <c r="AB1406">
        <v>1</v>
      </c>
      <c r="AC1406">
        <v>32</v>
      </c>
      <c r="AD1406">
        <v>2</v>
      </c>
      <c r="AE1406">
        <v>3</v>
      </c>
      <c r="AF1406">
        <v>32</v>
      </c>
      <c r="AG1406">
        <v>5</v>
      </c>
      <c r="AH1406">
        <v>10</v>
      </c>
      <c r="AI1406">
        <v>7</v>
      </c>
    </row>
    <row r="1407" spans="1:35" x14ac:dyDescent="0.3">
      <c r="A1407">
        <v>44</v>
      </c>
      <c r="B1407" t="s">
        <v>40</v>
      </c>
      <c r="C1407" t="s">
        <v>33</v>
      </c>
      <c r="D1407">
        <v>1099</v>
      </c>
      <c r="E1407" t="s">
        <v>34</v>
      </c>
      <c r="F1407">
        <v>5</v>
      </c>
      <c r="G1407">
        <v>3</v>
      </c>
      <c r="H1407" t="s">
        <v>56</v>
      </c>
      <c r="I1407">
        <v>1</v>
      </c>
      <c r="J1407">
        <v>1267</v>
      </c>
      <c r="K1407">
        <v>2</v>
      </c>
      <c r="L1407" s="17" t="s">
        <v>43</v>
      </c>
      <c r="M1407">
        <v>88</v>
      </c>
      <c r="N1407">
        <v>3</v>
      </c>
      <c r="O1407">
        <v>5</v>
      </c>
      <c r="P1407" t="s">
        <v>53</v>
      </c>
      <c r="Q1407">
        <v>2</v>
      </c>
      <c r="R1407" t="s">
        <v>45</v>
      </c>
      <c r="S1407" s="6">
        <v>18213</v>
      </c>
      <c r="T1407">
        <v>8751</v>
      </c>
      <c r="U1407">
        <v>7</v>
      </c>
      <c r="V1407" t="s">
        <v>39</v>
      </c>
      <c r="W1407" t="s">
        <v>40</v>
      </c>
      <c r="X1407">
        <v>11</v>
      </c>
      <c r="Y1407">
        <v>3</v>
      </c>
      <c r="Z1407">
        <v>3</v>
      </c>
      <c r="AA1407">
        <v>80</v>
      </c>
      <c r="AB1407">
        <v>1</v>
      </c>
      <c r="AC1407">
        <v>26</v>
      </c>
      <c r="AD1407">
        <v>5</v>
      </c>
      <c r="AE1407">
        <v>3</v>
      </c>
      <c r="AF1407">
        <v>22</v>
      </c>
      <c r="AG1407">
        <v>9</v>
      </c>
      <c r="AH1407">
        <v>3</v>
      </c>
      <c r="AI1407">
        <v>10</v>
      </c>
    </row>
    <row r="1408" spans="1:35" x14ac:dyDescent="0.3">
      <c r="A1408">
        <v>48</v>
      </c>
      <c r="B1408" t="s">
        <v>40</v>
      </c>
      <c r="C1408" t="s">
        <v>33</v>
      </c>
      <c r="D1408">
        <v>715</v>
      </c>
      <c r="E1408" t="s">
        <v>42</v>
      </c>
      <c r="F1408">
        <v>1</v>
      </c>
      <c r="G1408">
        <v>3</v>
      </c>
      <c r="H1408" t="s">
        <v>35</v>
      </c>
      <c r="I1408">
        <v>1</v>
      </c>
      <c r="J1408">
        <v>1263</v>
      </c>
      <c r="K1408">
        <v>4</v>
      </c>
      <c r="L1408" s="17" t="s">
        <v>43</v>
      </c>
      <c r="M1408">
        <v>76</v>
      </c>
      <c r="N1408">
        <v>2</v>
      </c>
      <c r="O1408">
        <v>5</v>
      </c>
      <c r="P1408" t="s">
        <v>55</v>
      </c>
      <c r="Q1408">
        <v>4</v>
      </c>
      <c r="R1408" t="s">
        <v>38</v>
      </c>
      <c r="S1408" s="6">
        <v>18265</v>
      </c>
      <c r="T1408">
        <v>8733</v>
      </c>
      <c r="U1408">
        <v>6</v>
      </c>
      <c r="V1408" t="s">
        <v>39</v>
      </c>
      <c r="W1408" t="s">
        <v>40</v>
      </c>
      <c r="X1408">
        <v>12</v>
      </c>
      <c r="Y1408">
        <v>3</v>
      </c>
      <c r="Z1408">
        <v>3</v>
      </c>
      <c r="AA1408">
        <v>80</v>
      </c>
      <c r="AB1408">
        <v>0</v>
      </c>
      <c r="AC1408">
        <v>25</v>
      </c>
      <c r="AD1408">
        <v>3</v>
      </c>
      <c r="AE1408">
        <v>4</v>
      </c>
      <c r="AF1408">
        <v>1</v>
      </c>
      <c r="AG1408">
        <v>0</v>
      </c>
      <c r="AH1408">
        <v>0</v>
      </c>
      <c r="AI1408">
        <v>0</v>
      </c>
    </row>
    <row r="1409" spans="1:35" x14ac:dyDescent="0.3">
      <c r="A1409">
        <v>47</v>
      </c>
      <c r="B1409" t="s">
        <v>40</v>
      </c>
      <c r="C1409" t="s">
        <v>33</v>
      </c>
      <c r="D1409">
        <v>1482</v>
      </c>
      <c r="E1409" t="s">
        <v>42</v>
      </c>
      <c r="F1409">
        <v>5</v>
      </c>
      <c r="G1409">
        <v>5</v>
      </c>
      <c r="H1409" t="s">
        <v>35</v>
      </c>
      <c r="I1409">
        <v>1</v>
      </c>
      <c r="J1409">
        <v>447</v>
      </c>
      <c r="K1409">
        <v>4</v>
      </c>
      <c r="L1409" s="17" t="s">
        <v>43</v>
      </c>
      <c r="M1409">
        <v>42</v>
      </c>
      <c r="N1409">
        <v>3</v>
      </c>
      <c r="O1409">
        <v>5</v>
      </c>
      <c r="P1409" t="s">
        <v>55</v>
      </c>
      <c r="Q1409">
        <v>3</v>
      </c>
      <c r="R1409" t="s">
        <v>45</v>
      </c>
      <c r="S1409" s="6">
        <v>18300</v>
      </c>
      <c r="T1409">
        <v>16375</v>
      </c>
      <c r="U1409">
        <v>4</v>
      </c>
      <c r="V1409" t="s">
        <v>39</v>
      </c>
      <c r="W1409" t="s">
        <v>40</v>
      </c>
      <c r="X1409">
        <v>11</v>
      </c>
      <c r="Y1409">
        <v>3</v>
      </c>
      <c r="Z1409">
        <v>2</v>
      </c>
      <c r="AA1409">
        <v>80</v>
      </c>
      <c r="AB1409">
        <v>1</v>
      </c>
      <c r="AC1409">
        <v>21</v>
      </c>
      <c r="AD1409">
        <v>2</v>
      </c>
      <c r="AE1409">
        <v>3</v>
      </c>
      <c r="AF1409">
        <v>3</v>
      </c>
      <c r="AG1409">
        <v>2</v>
      </c>
      <c r="AH1409">
        <v>1</v>
      </c>
      <c r="AI1409">
        <v>1</v>
      </c>
    </row>
    <row r="1410" spans="1:35" x14ac:dyDescent="0.3">
      <c r="A1410">
        <v>42</v>
      </c>
      <c r="B1410" t="s">
        <v>40</v>
      </c>
      <c r="C1410" t="s">
        <v>33</v>
      </c>
      <c r="D1410">
        <v>265</v>
      </c>
      <c r="E1410" t="s">
        <v>34</v>
      </c>
      <c r="F1410">
        <v>5</v>
      </c>
      <c r="G1410">
        <v>2</v>
      </c>
      <c r="H1410" t="s">
        <v>56</v>
      </c>
      <c r="I1410">
        <v>1</v>
      </c>
      <c r="J1410">
        <v>1029</v>
      </c>
      <c r="K1410">
        <v>4</v>
      </c>
      <c r="L1410" s="17" t="s">
        <v>43</v>
      </c>
      <c r="M1410">
        <v>90</v>
      </c>
      <c r="N1410">
        <v>3</v>
      </c>
      <c r="O1410">
        <v>5</v>
      </c>
      <c r="P1410" t="s">
        <v>53</v>
      </c>
      <c r="Q1410">
        <v>3</v>
      </c>
      <c r="R1410" t="s">
        <v>45</v>
      </c>
      <c r="S1410" s="6">
        <v>18303</v>
      </c>
      <c r="T1410">
        <v>7770</v>
      </c>
      <c r="U1410">
        <v>6</v>
      </c>
      <c r="V1410" t="s">
        <v>39</v>
      </c>
      <c r="W1410" t="s">
        <v>40</v>
      </c>
      <c r="X1410">
        <v>13</v>
      </c>
      <c r="Y1410">
        <v>3</v>
      </c>
      <c r="Z1410">
        <v>2</v>
      </c>
      <c r="AA1410">
        <v>80</v>
      </c>
      <c r="AB1410">
        <v>0</v>
      </c>
      <c r="AC1410">
        <v>21</v>
      </c>
      <c r="AD1410">
        <v>3</v>
      </c>
      <c r="AE1410">
        <v>4</v>
      </c>
      <c r="AF1410">
        <v>1</v>
      </c>
      <c r="AG1410">
        <v>0</v>
      </c>
      <c r="AH1410">
        <v>0</v>
      </c>
      <c r="AI1410">
        <v>0</v>
      </c>
    </row>
    <row r="1411" spans="1:35" x14ac:dyDescent="0.3">
      <c r="A1411">
        <v>42</v>
      </c>
      <c r="B1411" t="s">
        <v>40</v>
      </c>
      <c r="C1411" t="s">
        <v>41</v>
      </c>
      <c r="D1411">
        <v>570</v>
      </c>
      <c r="E1411" t="s">
        <v>42</v>
      </c>
      <c r="F1411">
        <v>8</v>
      </c>
      <c r="G1411">
        <v>3</v>
      </c>
      <c r="H1411" t="s">
        <v>35</v>
      </c>
      <c r="I1411">
        <v>1</v>
      </c>
      <c r="J1411">
        <v>809</v>
      </c>
      <c r="K1411">
        <v>2</v>
      </c>
      <c r="L1411" s="17" t="s">
        <v>43</v>
      </c>
      <c r="M1411">
        <v>66</v>
      </c>
      <c r="N1411">
        <v>3</v>
      </c>
      <c r="O1411">
        <v>5</v>
      </c>
      <c r="P1411" t="s">
        <v>53</v>
      </c>
      <c r="Q1411">
        <v>4</v>
      </c>
      <c r="R1411" t="s">
        <v>49</v>
      </c>
      <c r="S1411" s="6">
        <v>18430</v>
      </c>
      <c r="T1411">
        <v>16225</v>
      </c>
      <c r="U1411">
        <v>1</v>
      </c>
      <c r="V1411" t="s">
        <v>39</v>
      </c>
      <c r="W1411" t="s">
        <v>40</v>
      </c>
      <c r="X1411">
        <v>13</v>
      </c>
      <c r="Y1411">
        <v>3</v>
      </c>
      <c r="Z1411">
        <v>2</v>
      </c>
      <c r="AA1411">
        <v>80</v>
      </c>
      <c r="AB1411">
        <v>1</v>
      </c>
      <c r="AC1411">
        <v>24</v>
      </c>
      <c r="AD1411">
        <v>4</v>
      </c>
      <c r="AE1411">
        <v>2</v>
      </c>
      <c r="AF1411">
        <v>24</v>
      </c>
      <c r="AG1411">
        <v>7</v>
      </c>
      <c r="AH1411">
        <v>14</v>
      </c>
      <c r="AI1411">
        <v>9</v>
      </c>
    </row>
    <row r="1412" spans="1:35" x14ac:dyDescent="0.3">
      <c r="A1412">
        <v>53</v>
      </c>
      <c r="B1412" t="s">
        <v>40</v>
      </c>
      <c r="C1412" t="s">
        <v>33</v>
      </c>
      <c r="D1412">
        <v>1223</v>
      </c>
      <c r="E1412" t="s">
        <v>42</v>
      </c>
      <c r="F1412">
        <v>7</v>
      </c>
      <c r="G1412">
        <v>2</v>
      </c>
      <c r="H1412" t="s">
        <v>48</v>
      </c>
      <c r="I1412">
        <v>1</v>
      </c>
      <c r="J1412">
        <v>1201</v>
      </c>
      <c r="K1412">
        <v>4</v>
      </c>
      <c r="L1412" s="17" t="s">
        <v>36</v>
      </c>
      <c r="M1412">
        <v>50</v>
      </c>
      <c r="N1412">
        <v>3</v>
      </c>
      <c r="O1412">
        <v>5</v>
      </c>
      <c r="P1412" t="s">
        <v>53</v>
      </c>
      <c r="Q1412">
        <v>3</v>
      </c>
      <c r="R1412" t="s">
        <v>49</v>
      </c>
      <c r="S1412" s="6">
        <v>18606</v>
      </c>
      <c r="T1412">
        <v>18640</v>
      </c>
      <c r="U1412">
        <v>3</v>
      </c>
      <c r="V1412" t="s">
        <v>39</v>
      </c>
      <c r="W1412" t="s">
        <v>40</v>
      </c>
      <c r="X1412">
        <v>18</v>
      </c>
      <c r="Y1412">
        <v>3</v>
      </c>
      <c r="Z1412">
        <v>2</v>
      </c>
      <c r="AA1412">
        <v>80</v>
      </c>
      <c r="AB1412">
        <v>1</v>
      </c>
      <c r="AC1412">
        <v>26</v>
      </c>
      <c r="AD1412">
        <v>6</v>
      </c>
      <c r="AE1412">
        <v>3</v>
      </c>
      <c r="AF1412">
        <v>7</v>
      </c>
      <c r="AG1412">
        <v>7</v>
      </c>
      <c r="AH1412">
        <v>4</v>
      </c>
      <c r="AI1412">
        <v>7</v>
      </c>
    </row>
    <row r="1413" spans="1:35" x14ac:dyDescent="0.3">
      <c r="A1413">
        <v>49</v>
      </c>
      <c r="B1413" t="s">
        <v>40</v>
      </c>
      <c r="C1413" t="s">
        <v>41</v>
      </c>
      <c r="D1413">
        <v>636</v>
      </c>
      <c r="E1413" t="s">
        <v>42</v>
      </c>
      <c r="F1413">
        <v>10</v>
      </c>
      <c r="G1413">
        <v>4</v>
      </c>
      <c r="H1413" t="s">
        <v>35</v>
      </c>
      <c r="I1413">
        <v>1</v>
      </c>
      <c r="J1413">
        <v>396</v>
      </c>
      <c r="K1413">
        <v>3</v>
      </c>
      <c r="L1413" s="17" t="s">
        <v>36</v>
      </c>
      <c r="M1413">
        <v>35</v>
      </c>
      <c r="N1413">
        <v>3</v>
      </c>
      <c r="O1413">
        <v>5</v>
      </c>
      <c r="P1413" t="s">
        <v>55</v>
      </c>
      <c r="Q1413">
        <v>1</v>
      </c>
      <c r="R1413" t="s">
        <v>38</v>
      </c>
      <c r="S1413" s="6">
        <v>18665</v>
      </c>
      <c r="T1413">
        <v>25594</v>
      </c>
      <c r="U1413">
        <v>9</v>
      </c>
      <c r="V1413" t="s">
        <v>39</v>
      </c>
      <c r="W1413" t="s">
        <v>32</v>
      </c>
      <c r="X1413">
        <v>11</v>
      </c>
      <c r="Y1413">
        <v>3</v>
      </c>
      <c r="Z1413">
        <v>4</v>
      </c>
      <c r="AA1413">
        <v>80</v>
      </c>
      <c r="AB1413">
        <v>0</v>
      </c>
      <c r="AC1413">
        <v>22</v>
      </c>
      <c r="AD1413">
        <v>4</v>
      </c>
      <c r="AE1413">
        <v>3</v>
      </c>
      <c r="AF1413">
        <v>3</v>
      </c>
      <c r="AG1413">
        <v>2</v>
      </c>
      <c r="AH1413">
        <v>1</v>
      </c>
      <c r="AI1413">
        <v>2</v>
      </c>
    </row>
    <row r="1414" spans="1:35" x14ac:dyDescent="0.3">
      <c r="A1414">
        <v>49</v>
      </c>
      <c r="B1414" t="s">
        <v>40</v>
      </c>
      <c r="C1414" t="s">
        <v>33</v>
      </c>
      <c r="D1414">
        <v>1098</v>
      </c>
      <c r="E1414" t="s">
        <v>42</v>
      </c>
      <c r="F1414">
        <v>4</v>
      </c>
      <c r="G1414">
        <v>2</v>
      </c>
      <c r="H1414" t="s">
        <v>48</v>
      </c>
      <c r="I1414">
        <v>1</v>
      </c>
      <c r="J1414">
        <v>1256</v>
      </c>
      <c r="K1414">
        <v>1</v>
      </c>
      <c r="L1414" s="17" t="s">
        <v>43</v>
      </c>
      <c r="M1414">
        <v>85</v>
      </c>
      <c r="N1414">
        <v>2</v>
      </c>
      <c r="O1414">
        <v>5</v>
      </c>
      <c r="P1414" t="s">
        <v>53</v>
      </c>
      <c r="Q1414">
        <v>3</v>
      </c>
      <c r="R1414" t="s">
        <v>45</v>
      </c>
      <c r="S1414" s="6">
        <v>18711</v>
      </c>
      <c r="T1414">
        <v>12124</v>
      </c>
      <c r="U1414">
        <v>2</v>
      </c>
      <c r="V1414" t="s">
        <v>39</v>
      </c>
      <c r="W1414" t="s">
        <v>40</v>
      </c>
      <c r="X1414">
        <v>13</v>
      </c>
      <c r="Y1414">
        <v>3</v>
      </c>
      <c r="Z1414">
        <v>3</v>
      </c>
      <c r="AA1414">
        <v>80</v>
      </c>
      <c r="AB1414">
        <v>1</v>
      </c>
      <c r="AC1414">
        <v>23</v>
      </c>
      <c r="AD1414">
        <v>2</v>
      </c>
      <c r="AE1414">
        <v>4</v>
      </c>
      <c r="AF1414">
        <v>1</v>
      </c>
      <c r="AG1414">
        <v>0</v>
      </c>
      <c r="AH1414">
        <v>0</v>
      </c>
      <c r="AI1414">
        <v>0</v>
      </c>
    </row>
    <row r="1415" spans="1:35" x14ac:dyDescent="0.3">
      <c r="A1415">
        <v>55</v>
      </c>
      <c r="B1415" t="s">
        <v>40</v>
      </c>
      <c r="C1415" t="s">
        <v>33</v>
      </c>
      <c r="D1415">
        <v>692</v>
      </c>
      <c r="E1415" t="s">
        <v>42</v>
      </c>
      <c r="F1415">
        <v>14</v>
      </c>
      <c r="G1415">
        <v>4</v>
      </c>
      <c r="H1415" t="s">
        <v>48</v>
      </c>
      <c r="I1415">
        <v>1</v>
      </c>
      <c r="J1415">
        <v>254</v>
      </c>
      <c r="K1415">
        <v>3</v>
      </c>
      <c r="L1415" s="17" t="s">
        <v>43</v>
      </c>
      <c r="M1415">
        <v>61</v>
      </c>
      <c r="N1415">
        <v>4</v>
      </c>
      <c r="O1415">
        <v>5</v>
      </c>
      <c r="P1415" t="s">
        <v>55</v>
      </c>
      <c r="Q1415">
        <v>2</v>
      </c>
      <c r="R1415" t="s">
        <v>38</v>
      </c>
      <c r="S1415" s="6">
        <v>18722</v>
      </c>
      <c r="T1415">
        <v>13339</v>
      </c>
      <c r="U1415">
        <v>8</v>
      </c>
      <c r="V1415" t="s">
        <v>39</v>
      </c>
      <c r="W1415" t="s">
        <v>40</v>
      </c>
      <c r="X1415">
        <v>11</v>
      </c>
      <c r="Y1415">
        <v>3</v>
      </c>
      <c r="Z1415">
        <v>4</v>
      </c>
      <c r="AA1415">
        <v>80</v>
      </c>
      <c r="AB1415">
        <v>0</v>
      </c>
      <c r="AC1415">
        <v>36</v>
      </c>
      <c r="AD1415">
        <v>3</v>
      </c>
      <c r="AE1415">
        <v>3</v>
      </c>
      <c r="AF1415">
        <v>24</v>
      </c>
      <c r="AG1415">
        <v>15</v>
      </c>
      <c r="AH1415">
        <v>2</v>
      </c>
      <c r="AI1415">
        <v>15</v>
      </c>
    </row>
    <row r="1416" spans="1:35" x14ac:dyDescent="0.3">
      <c r="A1416">
        <v>50</v>
      </c>
      <c r="B1416" t="s">
        <v>40</v>
      </c>
      <c r="C1416" t="s">
        <v>33</v>
      </c>
      <c r="D1416">
        <v>989</v>
      </c>
      <c r="E1416" t="s">
        <v>42</v>
      </c>
      <c r="F1416">
        <v>7</v>
      </c>
      <c r="G1416">
        <v>2</v>
      </c>
      <c r="H1416" t="s">
        <v>48</v>
      </c>
      <c r="I1416">
        <v>1</v>
      </c>
      <c r="J1416">
        <v>80</v>
      </c>
      <c r="K1416">
        <v>2</v>
      </c>
      <c r="L1416" s="17" t="s">
        <v>36</v>
      </c>
      <c r="M1416">
        <v>43</v>
      </c>
      <c r="N1416">
        <v>2</v>
      </c>
      <c r="O1416">
        <v>5</v>
      </c>
      <c r="P1416" t="s">
        <v>55</v>
      </c>
      <c r="Q1416">
        <v>3</v>
      </c>
      <c r="R1416" t="s">
        <v>49</v>
      </c>
      <c r="S1416" s="6">
        <v>18740</v>
      </c>
      <c r="T1416">
        <v>16701</v>
      </c>
      <c r="U1416">
        <v>5</v>
      </c>
      <c r="V1416" t="s">
        <v>39</v>
      </c>
      <c r="W1416" t="s">
        <v>32</v>
      </c>
      <c r="X1416">
        <v>12</v>
      </c>
      <c r="Y1416">
        <v>3</v>
      </c>
      <c r="Z1416">
        <v>4</v>
      </c>
      <c r="AA1416">
        <v>80</v>
      </c>
      <c r="AB1416">
        <v>1</v>
      </c>
      <c r="AC1416">
        <v>29</v>
      </c>
      <c r="AD1416">
        <v>2</v>
      </c>
      <c r="AE1416">
        <v>2</v>
      </c>
      <c r="AF1416">
        <v>27</v>
      </c>
      <c r="AG1416">
        <v>3</v>
      </c>
      <c r="AH1416">
        <v>13</v>
      </c>
      <c r="AI1416">
        <v>8</v>
      </c>
    </row>
    <row r="1417" spans="1:35" x14ac:dyDescent="0.3">
      <c r="A1417">
        <v>46</v>
      </c>
      <c r="B1417" t="s">
        <v>40</v>
      </c>
      <c r="C1417" t="s">
        <v>33</v>
      </c>
      <c r="D1417">
        <v>168</v>
      </c>
      <c r="E1417" t="s">
        <v>34</v>
      </c>
      <c r="F1417">
        <v>4</v>
      </c>
      <c r="G1417">
        <v>2</v>
      </c>
      <c r="H1417" t="s">
        <v>56</v>
      </c>
      <c r="I1417">
        <v>1</v>
      </c>
      <c r="J1417">
        <v>1280</v>
      </c>
      <c r="K1417">
        <v>4</v>
      </c>
      <c r="L1417" s="17" t="s">
        <v>36</v>
      </c>
      <c r="M1417">
        <v>33</v>
      </c>
      <c r="N1417">
        <v>2</v>
      </c>
      <c r="O1417">
        <v>5</v>
      </c>
      <c r="P1417" t="s">
        <v>53</v>
      </c>
      <c r="Q1417">
        <v>2</v>
      </c>
      <c r="R1417" t="s">
        <v>45</v>
      </c>
      <c r="S1417" s="6">
        <v>18789</v>
      </c>
      <c r="T1417">
        <v>9946</v>
      </c>
      <c r="U1417">
        <v>2</v>
      </c>
      <c r="V1417" t="s">
        <v>39</v>
      </c>
      <c r="W1417" t="s">
        <v>40</v>
      </c>
      <c r="X1417">
        <v>14</v>
      </c>
      <c r="Y1417">
        <v>3</v>
      </c>
      <c r="Z1417">
        <v>3</v>
      </c>
      <c r="AA1417">
        <v>80</v>
      </c>
      <c r="AB1417">
        <v>1</v>
      </c>
      <c r="AC1417">
        <v>26</v>
      </c>
      <c r="AD1417">
        <v>2</v>
      </c>
      <c r="AE1417">
        <v>3</v>
      </c>
      <c r="AF1417">
        <v>11</v>
      </c>
      <c r="AG1417">
        <v>4</v>
      </c>
      <c r="AH1417">
        <v>0</v>
      </c>
      <c r="AI1417">
        <v>8</v>
      </c>
    </row>
    <row r="1418" spans="1:35" x14ac:dyDescent="0.3">
      <c r="A1418">
        <v>45</v>
      </c>
      <c r="B1418" t="s">
        <v>32</v>
      </c>
      <c r="C1418" t="s">
        <v>33</v>
      </c>
      <c r="D1418">
        <v>1449</v>
      </c>
      <c r="E1418" t="s">
        <v>34</v>
      </c>
      <c r="F1418">
        <v>2</v>
      </c>
      <c r="G1418">
        <v>3</v>
      </c>
      <c r="H1418" t="s">
        <v>56</v>
      </c>
      <c r="I1418">
        <v>1</v>
      </c>
      <c r="J1418">
        <v>1277</v>
      </c>
      <c r="K1418">
        <v>1</v>
      </c>
      <c r="L1418" s="17" t="s">
        <v>36</v>
      </c>
      <c r="M1418">
        <v>94</v>
      </c>
      <c r="N1418">
        <v>1</v>
      </c>
      <c r="O1418">
        <v>5</v>
      </c>
      <c r="P1418" t="s">
        <v>53</v>
      </c>
      <c r="Q1418">
        <v>2</v>
      </c>
      <c r="R1418" t="s">
        <v>38</v>
      </c>
      <c r="S1418" s="6">
        <v>18824</v>
      </c>
      <c r="T1418">
        <v>2493</v>
      </c>
      <c r="U1418">
        <v>2</v>
      </c>
      <c r="V1418" t="s">
        <v>39</v>
      </c>
      <c r="W1418" t="s">
        <v>32</v>
      </c>
      <c r="X1418">
        <v>16</v>
      </c>
      <c r="Y1418">
        <v>3</v>
      </c>
      <c r="Z1418">
        <v>1</v>
      </c>
      <c r="AA1418">
        <v>80</v>
      </c>
      <c r="AB1418">
        <v>0</v>
      </c>
      <c r="AC1418">
        <v>26</v>
      </c>
      <c r="AD1418">
        <v>2</v>
      </c>
      <c r="AE1418">
        <v>3</v>
      </c>
      <c r="AF1418">
        <v>24</v>
      </c>
      <c r="AG1418">
        <v>10</v>
      </c>
      <c r="AH1418">
        <v>1</v>
      </c>
      <c r="AI1418">
        <v>11</v>
      </c>
    </row>
    <row r="1419" spans="1:35" x14ac:dyDescent="0.3">
      <c r="A1419">
        <v>59</v>
      </c>
      <c r="B1419" t="s">
        <v>40</v>
      </c>
      <c r="C1419" t="s">
        <v>52</v>
      </c>
      <c r="D1419">
        <v>1420</v>
      </c>
      <c r="E1419" t="s">
        <v>58</v>
      </c>
      <c r="F1419">
        <v>2</v>
      </c>
      <c r="G1419">
        <v>4</v>
      </c>
      <c r="H1419" t="s">
        <v>58</v>
      </c>
      <c r="I1419">
        <v>1</v>
      </c>
      <c r="J1419">
        <v>140</v>
      </c>
      <c r="K1419">
        <v>3</v>
      </c>
      <c r="L1419" s="17" t="s">
        <v>36</v>
      </c>
      <c r="M1419">
        <v>32</v>
      </c>
      <c r="N1419">
        <v>2</v>
      </c>
      <c r="O1419">
        <v>5</v>
      </c>
      <c r="P1419" t="s">
        <v>53</v>
      </c>
      <c r="Q1419">
        <v>4</v>
      </c>
      <c r="R1419" t="s">
        <v>45</v>
      </c>
      <c r="S1419" s="6">
        <v>18844</v>
      </c>
      <c r="T1419">
        <v>21922</v>
      </c>
      <c r="U1419">
        <v>9</v>
      </c>
      <c r="V1419" t="s">
        <v>39</v>
      </c>
      <c r="W1419" t="s">
        <v>40</v>
      </c>
      <c r="X1419">
        <v>21</v>
      </c>
      <c r="Y1419">
        <v>4</v>
      </c>
      <c r="Z1419">
        <v>4</v>
      </c>
      <c r="AA1419">
        <v>80</v>
      </c>
      <c r="AB1419">
        <v>1</v>
      </c>
      <c r="AC1419">
        <v>30</v>
      </c>
      <c r="AD1419">
        <v>3</v>
      </c>
      <c r="AE1419">
        <v>3</v>
      </c>
      <c r="AF1419">
        <v>3</v>
      </c>
      <c r="AG1419">
        <v>2</v>
      </c>
      <c r="AH1419">
        <v>2</v>
      </c>
      <c r="AI1419">
        <v>2</v>
      </c>
    </row>
    <row r="1420" spans="1:35" x14ac:dyDescent="0.3">
      <c r="A1420">
        <v>42</v>
      </c>
      <c r="B1420" t="s">
        <v>40</v>
      </c>
      <c r="C1420" t="s">
        <v>33</v>
      </c>
      <c r="D1420">
        <v>300</v>
      </c>
      <c r="E1420" t="s">
        <v>42</v>
      </c>
      <c r="F1420">
        <v>2</v>
      </c>
      <c r="G1420">
        <v>3</v>
      </c>
      <c r="H1420" t="s">
        <v>35</v>
      </c>
      <c r="I1420">
        <v>1</v>
      </c>
      <c r="J1420">
        <v>2031</v>
      </c>
      <c r="K1420">
        <v>1</v>
      </c>
      <c r="L1420" s="17" t="s">
        <v>43</v>
      </c>
      <c r="M1420">
        <v>56</v>
      </c>
      <c r="N1420">
        <v>3</v>
      </c>
      <c r="O1420">
        <v>5</v>
      </c>
      <c r="P1420" t="s">
        <v>53</v>
      </c>
      <c r="Q1420">
        <v>3</v>
      </c>
      <c r="R1420" t="s">
        <v>45</v>
      </c>
      <c r="S1420" s="6">
        <v>18880</v>
      </c>
      <c r="T1420">
        <v>17312</v>
      </c>
      <c r="U1420">
        <v>5</v>
      </c>
      <c r="V1420" t="s">
        <v>39</v>
      </c>
      <c r="W1420" t="s">
        <v>40</v>
      </c>
      <c r="X1420">
        <v>11</v>
      </c>
      <c r="Y1420">
        <v>3</v>
      </c>
      <c r="Z1420">
        <v>1</v>
      </c>
      <c r="AA1420">
        <v>80</v>
      </c>
      <c r="AB1420">
        <v>0</v>
      </c>
      <c r="AC1420">
        <v>24</v>
      </c>
      <c r="AD1420">
        <v>2</v>
      </c>
      <c r="AE1420">
        <v>2</v>
      </c>
      <c r="AF1420">
        <v>22</v>
      </c>
      <c r="AG1420">
        <v>6</v>
      </c>
      <c r="AH1420">
        <v>4</v>
      </c>
      <c r="AI1420">
        <v>14</v>
      </c>
    </row>
    <row r="1421" spans="1:35" x14ac:dyDescent="0.3">
      <c r="A1421">
        <v>46</v>
      </c>
      <c r="B1421" t="s">
        <v>40</v>
      </c>
      <c r="C1421" t="s">
        <v>33</v>
      </c>
      <c r="D1421">
        <v>705</v>
      </c>
      <c r="E1421" t="s">
        <v>34</v>
      </c>
      <c r="F1421">
        <v>2</v>
      </c>
      <c r="G1421">
        <v>4</v>
      </c>
      <c r="H1421" t="s">
        <v>56</v>
      </c>
      <c r="I1421">
        <v>1</v>
      </c>
      <c r="J1421">
        <v>38</v>
      </c>
      <c r="K1421">
        <v>2</v>
      </c>
      <c r="L1421" s="17" t="s">
        <v>36</v>
      </c>
      <c r="M1421">
        <v>83</v>
      </c>
      <c r="N1421">
        <v>3</v>
      </c>
      <c r="O1421">
        <v>5</v>
      </c>
      <c r="P1421" t="s">
        <v>53</v>
      </c>
      <c r="Q1421">
        <v>1</v>
      </c>
      <c r="R1421" t="s">
        <v>38</v>
      </c>
      <c r="S1421" s="6">
        <v>18947</v>
      </c>
      <c r="T1421">
        <v>22822</v>
      </c>
      <c r="U1421">
        <v>3</v>
      </c>
      <c r="V1421" t="s">
        <v>39</v>
      </c>
      <c r="W1421" t="s">
        <v>40</v>
      </c>
      <c r="X1421">
        <v>12</v>
      </c>
      <c r="Y1421">
        <v>3</v>
      </c>
      <c r="Z1421">
        <v>4</v>
      </c>
      <c r="AA1421">
        <v>80</v>
      </c>
      <c r="AB1421">
        <v>0</v>
      </c>
      <c r="AC1421">
        <v>22</v>
      </c>
      <c r="AD1421">
        <v>2</v>
      </c>
      <c r="AE1421">
        <v>2</v>
      </c>
      <c r="AF1421">
        <v>2</v>
      </c>
      <c r="AG1421">
        <v>2</v>
      </c>
      <c r="AH1421">
        <v>2</v>
      </c>
      <c r="AI1421">
        <v>1</v>
      </c>
    </row>
    <row r="1422" spans="1:35" x14ac:dyDescent="0.3">
      <c r="A1422">
        <v>40</v>
      </c>
      <c r="B1422" t="s">
        <v>40</v>
      </c>
      <c r="C1422" t="s">
        <v>33</v>
      </c>
      <c r="D1422">
        <v>989</v>
      </c>
      <c r="E1422" t="s">
        <v>42</v>
      </c>
      <c r="F1422">
        <v>4</v>
      </c>
      <c r="G1422">
        <v>1</v>
      </c>
      <c r="H1422" t="s">
        <v>48</v>
      </c>
      <c r="I1422">
        <v>1</v>
      </c>
      <c r="J1422">
        <v>253</v>
      </c>
      <c r="K1422">
        <v>4</v>
      </c>
      <c r="L1422" s="17" t="s">
        <v>36</v>
      </c>
      <c r="M1422">
        <v>46</v>
      </c>
      <c r="N1422">
        <v>3</v>
      </c>
      <c r="O1422">
        <v>5</v>
      </c>
      <c r="P1422" t="s">
        <v>53</v>
      </c>
      <c r="Q1422">
        <v>3</v>
      </c>
      <c r="R1422" t="s">
        <v>45</v>
      </c>
      <c r="S1422" s="6">
        <v>19033</v>
      </c>
      <c r="T1422">
        <v>6499</v>
      </c>
      <c r="U1422">
        <v>1</v>
      </c>
      <c r="V1422" t="s">
        <v>39</v>
      </c>
      <c r="W1422" t="s">
        <v>40</v>
      </c>
      <c r="X1422">
        <v>14</v>
      </c>
      <c r="Y1422">
        <v>3</v>
      </c>
      <c r="Z1422">
        <v>2</v>
      </c>
      <c r="AA1422">
        <v>80</v>
      </c>
      <c r="AB1422">
        <v>1</v>
      </c>
      <c r="AC1422">
        <v>21</v>
      </c>
      <c r="AD1422">
        <v>2</v>
      </c>
      <c r="AE1422">
        <v>3</v>
      </c>
      <c r="AF1422">
        <v>20</v>
      </c>
      <c r="AG1422">
        <v>8</v>
      </c>
      <c r="AH1422">
        <v>9</v>
      </c>
      <c r="AI1422">
        <v>9</v>
      </c>
    </row>
    <row r="1423" spans="1:35" x14ac:dyDescent="0.3">
      <c r="A1423">
        <v>55</v>
      </c>
      <c r="B1423" t="s">
        <v>40</v>
      </c>
      <c r="C1423" t="s">
        <v>33</v>
      </c>
      <c r="D1423">
        <v>478</v>
      </c>
      <c r="E1423" t="s">
        <v>42</v>
      </c>
      <c r="F1423">
        <v>2</v>
      </c>
      <c r="G1423">
        <v>3</v>
      </c>
      <c r="H1423" t="s">
        <v>48</v>
      </c>
      <c r="I1423">
        <v>1</v>
      </c>
      <c r="J1423">
        <v>1770</v>
      </c>
      <c r="K1423">
        <v>3</v>
      </c>
      <c r="L1423" s="17" t="s">
        <v>43</v>
      </c>
      <c r="M1423">
        <v>60</v>
      </c>
      <c r="N1423">
        <v>2</v>
      </c>
      <c r="O1423">
        <v>5</v>
      </c>
      <c r="P1423" t="s">
        <v>55</v>
      </c>
      <c r="Q1423">
        <v>1</v>
      </c>
      <c r="R1423" t="s">
        <v>45</v>
      </c>
      <c r="S1423" s="6">
        <v>19038</v>
      </c>
      <c r="T1423">
        <v>19805</v>
      </c>
      <c r="U1423">
        <v>8</v>
      </c>
      <c r="V1423" t="s">
        <v>39</v>
      </c>
      <c r="W1423" t="s">
        <v>40</v>
      </c>
      <c r="X1423">
        <v>12</v>
      </c>
      <c r="Y1423">
        <v>3</v>
      </c>
      <c r="Z1423">
        <v>2</v>
      </c>
      <c r="AA1423">
        <v>80</v>
      </c>
      <c r="AB1423">
        <v>3</v>
      </c>
      <c r="AC1423">
        <v>34</v>
      </c>
      <c r="AD1423">
        <v>2</v>
      </c>
      <c r="AE1423">
        <v>3</v>
      </c>
      <c r="AF1423">
        <v>1</v>
      </c>
      <c r="AG1423">
        <v>0</v>
      </c>
      <c r="AH1423">
        <v>0</v>
      </c>
      <c r="AI1423">
        <v>0</v>
      </c>
    </row>
    <row r="1424" spans="1:35" x14ac:dyDescent="0.3">
      <c r="A1424">
        <v>55</v>
      </c>
      <c r="B1424" t="s">
        <v>40</v>
      </c>
      <c r="C1424" t="s">
        <v>33</v>
      </c>
      <c r="D1424">
        <v>452</v>
      </c>
      <c r="E1424" t="s">
        <v>42</v>
      </c>
      <c r="F1424">
        <v>1</v>
      </c>
      <c r="G1424">
        <v>3</v>
      </c>
      <c r="H1424" t="s">
        <v>48</v>
      </c>
      <c r="I1424">
        <v>1</v>
      </c>
      <c r="J1424">
        <v>374</v>
      </c>
      <c r="K1424">
        <v>4</v>
      </c>
      <c r="L1424" s="17" t="s">
        <v>43</v>
      </c>
      <c r="M1424">
        <v>81</v>
      </c>
      <c r="N1424">
        <v>3</v>
      </c>
      <c r="O1424">
        <v>5</v>
      </c>
      <c r="P1424" t="s">
        <v>53</v>
      </c>
      <c r="Q1424">
        <v>1</v>
      </c>
      <c r="R1424" t="s">
        <v>38</v>
      </c>
      <c r="S1424" s="6">
        <v>19045</v>
      </c>
      <c r="T1424">
        <v>18938</v>
      </c>
      <c r="U1424">
        <v>0</v>
      </c>
      <c r="V1424" t="s">
        <v>39</v>
      </c>
      <c r="W1424" t="s">
        <v>32</v>
      </c>
      <c r="X1424">
        <v>14</v>
      </c>
      <c r="Y1424">
        <v>3</v>
      </c>
      <c r="Z1424">
        <v>3</v>
      </c>
      <c r="AA1424">
        <v>80</v>
      </c>
      <c r="AB1424">
        <v>0</v>
      </c>
      <c r="AC1424">
        <v>37</v>
      </c>
      <c r="AD1424">
        <v>2</v>
      </c>
      <c r="AE1424">
        <v>3</v>
      </c>
      <c r="AF1424">
        <v>36</v>
      </c>
      <c r="AG1424">
        <v>10</v>
      </c>
      <c r="AH1424">
        <v>4</v>
      </c>
      <c r="AI1424">
        <v>13</v>
      </c>
    </row>
    <row r="1425" spans="1:35" x14ac:dyDescent="0.3">
      <c r="A1425">
        <v>44</v>
      </c>
      <c r="B1425" t="s">
        <v>40</v>
      </c>
      <c r="C1425" t="s">
        <v>33</v>
      </c>
      <c r="D1425">
        <v>1313</v>
      </c>
      <c r="E1425" t="s">
        <v>42</v>
      </c>
      <c r="F1425">
        <v>7</v>
      </c>
      <c r="G1425">
        <v>3</v>
      </c>
      <c r="H1425" t="s">
        <v>48</v>
      </c>
      <c r="I1425">
        <v>1</v>
      </c>
      <c r="J1425">
        <v>1608</v>
      </c>
      <c r="K1425">
        <v>2</v>
      </c>
      <c r="L1425" s="17" t="s">
        <v>36</v>
      </c>
      <c r="M1425">
        <v>31</v>
      </c>
      <c r="N1425">
        <v>3</v>
      </c>
      <c r="O1425">
        <v>5</v>
      </c>
      <c r="P1425" t="s">
        <v>55</v>
      </c>
      <c r="Q1425">
        <v>4</v>
      </c>
      <c r="R1425" t="s">
        <v>49</v>
      </c>
      <c r="S1425" s="6">
        <v>19049</v>
      </c>
      <c r="T1425">
        <v>3549</v>
      </c>
      <c r="U1425">
        <v>0</v>
      </c>
      <c r="V1425" t="s">
        <v>39</v>
      </c>
      <c r="W1425" t="s">
        <v>32</v>
      </c>
      <c r="X1425">
        <v>14</v>
      </c>
      <c r="Y1425">
        <v>3</v>
      </c>
      <c r="Z1425">
        <v>4</v>
      </c>
      <c r="AA1425">
        <v>80</v>
      </c>
      <c r="AB1425">
        <v>1</v>
      </c>
      <c r="AC1425">
        <v>23</v>
      </c>
      <c r="AD1425">
        <v>4</v>
      </c>
      <c r="AE1425">
        <v>2</v>
      </c>
      <c r="AF1425">
        <v>22</v>
      </c>
      <c r="AG1425">
        <v>7</v>
      </c>
      <c r="AH1425">
        <v>1</v>
      </c>
      <c r="AI1425">
        <v>10</v>
      </c>
    </row>
    <row r="1426" spans="1:35" x14ac:dyDescent="0.3">
      <c r="A1426">
        <v>52</v>
      </c>
      <c r="B1426" t="s">
        <v>40</v>
      </c>
      <c r="C1426" t="s">
        <v>52</v>
      </c>
      <c r="D1426">
        <v>771</v>
      </c>
      <c r="E1426" t="s">
        <v>34</v>
      </c>
      <c r="F1426">
        <v>2</v>
      </c>
      <c r="G1426">
        <v>4</v>
      </c>
      <c r="H1426" t="s">
        <v>35</v>
      </c>
      <c r="I1426">
        <v>1</v>
      </c>
      <c r="J1426">
        <v>329</v>
      </c>
      <c r="K1426">
        <v>1</v>
      </c>
      <c r="L1426" s="17" t="s">
        <v>43</v>
      </c>
      <c r="M1426">
        <v>79</v>
      </c>
      <c r="N1426">
        <v>2</v>
      </c>
      <c r="O1426">
        <v>5</v>
      </c>
      <c r="P1426" t="s">
        <v>53</v>
      </c>
      <c r="Q1426">
        <v>3</v>
      </c>
      <c r="R1426" t="s">
        <v>38</v>
      </c>
      <c r="S1426" s="6">
        <v>19068</v>
      </c>
      <c r="T1426">
        <v>21030</v>
      </c>
      <c r="U1426">
        <v>1</v>
      </c>
      <c r="V1426" t="s">
        <v>39</v>
      </c>
      <c r="W1426" t="s">
        <v>32</v>
      </c>
      <c r="X1426">
        <v>18</v>
      </c>
      <c r="Y1426">
        <v>3</v>
      </c>
      <c r="Z1426">
        <v>4</v>
      </c>
      <c r="AA1426">
        <v>80</v>
      </c>
      <c r="AB1426">
        <v>0</v>
      </c>
      <c r="AC1426">
        <v>33</v>
      </c>
      <c r="AD1426">
        <v>2</v>
      </c>
      <c r="AE1426">
        <v>4</v>
      </c>
      <c r="AF1426">
        <v>33</v>
      </c>
      <c r="AG1426">
        <v>7</v>
      </c>
      <c r="AH1426">
        <v>15</v>
      </c>
      <c r="AI1426">
        <v>12</v>
      </c>
    </row>
    <row r="1427" spans="1:35" x14ac:dyDescent="0.3">
      <c r="A1427">
        <v>46</v>
      </c>
      <c r="B1427" t="s">
        <v>40</v>
      </c>
      <c r="C1427" t="s">
        <v>33</v>
      </c>
      <c r="D1427">
        <v>1450</v>
      </c>
      <c r="E1427" t="s">
        <v>42</v>
      </c>
      <c r="F1427">
        <v>15</v>
      </c>
      <c r="G1427">
        <v>2</v>
      </c>
      <c r="H1427" t="s">
        <v>35</v>
      </c>
      <c r="I1427">
        <v>1</v>
      </c>
      <c r="J1427">
        <v>1217</v>
      </c>
      <c r="K1427">
        <v>4</v>
      </c>
      <c r="L1427" s="17" t="s">
        <v>43</v>
      </c>
      <c r="M1427">
        <v>52</v>
      </c>
      <c r="N1427">
        <v>3</v>
      </c>
      <c r="O1427">
        <v>5</v>
      </c>
      <c r="P1427" t="s">
        <v>55</v>
      </c>
      <c r="Q1427">
        <v>2</v>
      </c>
      <c r="R1427" t="s">
        <v>45</v>
      </c>
      <c r="S1427" s="6">
        <v>19081</v>
      </c>
      <c r="T1427">
        <v>10849</v>
      </c>
      <c r="U1427">
        <v>5</v>
      </c>
      <c r="V1427" t="s">
        <v>39</v>
      </c>
      <c r="W1427" t="s">
        <v>40</v>
      </c>
      <c r="X1427">
        <v>11</v>
      </c>
      <c r="Y1427">
        <v>3</v>
      </c>
      <c r="Z1427">
        <v>1</v>
      </c>
      <c r="AA1427">
        <v>80</v>
      </c>
      <c r="AB1427">
        <v>1</v>
      </c>
      <c r="AC1427">
        <v>25</v>
      </c>
      <c r="AD1427">
        <v>2</v>
      </c>
      <c r="AE1427">
        <v>3</v>
      </c>
      <c r="AF1427">
        <v>4</v>
      </c>
      <c r="AG1427">
        <v>2</v>
      </c>
      <c r="AH1427">
        <v>0</v>
      </c>
      <c r="AI1427">
        <v>3</v>
      </c>
    </row>
    <row r="1428" spans="1:35" x14ac:dyDescent="0.3">
      <c r="A1428">
        <v>53</v>
      </c>
      <c r="B1428" t="s">
        <v>40</v>
      </c>
      <c r="C1428" t="s">
        <v>33</v>
      </c>
      <c r="D1428">
        <v>1282</v>
      </c>
      <c r="E1428" t="s">
        <v>42</v>
      </c>
      <c r="F1428">
        <v>5</v>
      </c>
      <c r="G1428">
        <v>3</v>
      </c>
      <c r="H1428" t="s">
        <v>46</v>
      </c>
      <c r="I1428">
        <v>1</v>
      </c>
      <c r="J1428">
        <v>32</v>
      </c>
      <c r="K1428">
        <v>3</v>
      </c>
      <c r="L1428" s="17" t="s">
        <v>36</v>
      </c>
      <c r="M1428">
        <v>58</v>
      </c>
      <c r="N1428">
        <v>3</v>
      </c>
      <c r="O1428">
        <v>5</v>
      </c>
      <c r="P1428" t="s">
        <v>53</v>
      </c>
      <c r="Q1428">
        <v>3</v>
      </c>
      <c r="R1428" t="s">
        <v>49</v>
      </c>
      <c r="S1428" s="6">
        <v>19094</v>
      </c>
      <c r="T1428">
        <v>10735</v>
      </c>
      <c r="U1428">
        <v>4</v>
      </c>
      <c r="V1428" t="s">
        <v>39</v>
      </c>
      <c r="W1428" t="s">
        <v>40</v>
      </c>
      <c r="X1428">
        <v>11</v>
      </c>
      <c r="Y1428">
        <v>3</v>
      </c>
      <c r="Z1428">
        <v>4</v>
      </c>
      <c r="AA1428">
        <v>80</v>
      </c>
      <c r="AB1428">
        <v>1</v>
      </c>
      <c r="AC1428">
        <v>26</v>
      </c>
      <c r="AD1428">
        <v>3</v>
      </c>
      <c r="AE1428">
        <v>2</v>
      </c>
      <c r="AF1428">
        <v>14</v>
      </c>
      <c r="AG1428">
        <v>13</v>
      </c>
      <c r="AH1428">
        <v>4</v>
      </c>
      <c r="AI1428">
        <v>8</v>
      </c>
    </row>
    <row r="1429" spans="1:35" x14ac:dyDescent="0.3">
      <c r="A1429">
        <v>41</v>
      </c>
      <c r="B1429" t="s">
        <v>40</v>
      </c>
      <c r="C1429" t="s">
        <v>33</v>
      </c>
      <c r="D1429">
        <v>427</v>
      </c>
      <c r="E1429" t="s">
        <v>58</v>
      </c>
      <c r="F1429">
        <v>10</v>
      </c>
      <c r="G1429">
        <v>4</v>
      </c>
      <c r="H1429" t="s">
        <v>58</v>
      </c>
      <c r="I1429">
        <v>1</v>
      </c>
      <c r="J1429">
        <v>731</v>
      </c>
      <c r="K1429">
        <v>2</v>
      </c>
      <c r="L1429" s="17" t="s">
        <v>43</v>
      </c>
      <c r="M1429">
        <v>73</v>
      </c>
      <c r="N1429">
        <v>2</v>
      </c>
      <c r="O1429">
        <v>5</v>
      </c>
      <c r="P1429" t="s">
        <v>53</v>
      </c>
      <c r="Q1429">
        <v>4</v>
      </c>
      <c r="R1429" t="s">
        <v>49</v>
      </c>
      <c r="S1429" s="6">
        <v>19141</v>
      </c>
      <c r="T1429">
        <v>8861</v>
      </c>
      <c r="U1429">
        <v>3</v>
      </c>
      <c r="V1429" t="s">
        <v>39</v>
      </c>
      <c r="W1429" t="s">
        <v>40</v>
      </c>
      <c r="X1429">
        <v>15</v>
      </c>
      <c r="Y1429">
        <v>3</v>
      </c>
      <c r="Z1429">
        <v>2</v>
      </c>
      <c r="AA1429">
        <v>80</v>
      </c>
      <c r="AB1429">
        <v>3</v>
      </c>
      <c r="AC1429">
        <v>23</v>
      </c>
      <c r="AD1429">
        <v>2</v>
      </c>
      <c r="AE1429">
        <v>2</v>
      </c>
      <c r="AF1429">
        <v>21</v>
      </c>
      <c r="AG1429">
        <v>6</v>
      </c>
      <c r="AH1429">
        <v>12</v>
      </c>
      <c r="AI1429">
        <v>6</v>
      </c>
    </row>
    <row r="1430" spans="1:35" x14ac:dyDescent="0.3">
      <c r="A1430">
        <v>50</v>
      </c>
      <c r="B1430" t="s">
        <v>40</v>
      </c>
      <c r="C1430" t="s">
        <v>33</v>
      </c>
      <c r="D1430">
        <v>797</v>
      </c>
      <c r="E1430" t="s">
        <v>42</v>
      </c>
      <c r="F1430">
        <v>4</v>
      </c>
      <c r="G1430">
        <v>1</v>
      </c>
      <c r="H1430" t="s">
        <v>35</v>
      </c>
      <c r="I1430">
        <v>1</v>
      </c>
      <c r="J1430">
        <v>385</v>
      </c>
      <c r="K1430">
        <v>1</v>
      </c>
      <c r="L1430" s="17" t="s">
        <v>43</v>
      </c>
      <c r="M1430">
        <v>96</v>
      </c>
      <c r="N1430">
        <v>3</v>
      </c>
      <c r="O1430">
        <v>5</v>
      </c>
      <c r="P1430" t="s">
        <v>55</v>
      </c>
      <c r="Q1430">
        <v>2</v>
      </c>
      <c r="R1430" t="s">
        <v>49</v>
      </c>
      <c r="S1430" s="6">
        <v>19144</v>
      </c>
      <c r="T1430">
        <v>15815</v>
      </c>
      <c r="U1430">
        <v>3</v>
      </c>
      <c r="V1430" t="s">
        <v>39</v>
      </c>
      <c r="W1430" t="s">
        <v>40</v>
      </c>
      <c r="X1430">
        <v>14</v>
      </c>
      <c r="Y1430">
        <v>3</v>
      </c>
      <c r="Z1430">
        <v>1</v>
      </c>
      <c r="AA1430">
        <v>80</v>
      </c>
      <c r="AB1430">
        <v>2</v>
      </c>
      <c r="AC1430">
        <v>28</v>
      </c>
      <c r="AD1430">
        <v>4</v>
      </c>
      <c r="AE1430">
        <v>2</v>
      </c>
      <c r="AF1430">
        <v>10</v>
      </c>
      <c r="AG1430">
        <v>4</v>
      </c>
      <c r="AH1430">
        <v>1</v>
      </c>
      <c r="AI1430">
        <v>6</v>
      </c>
    </row>
    <row r="1431" spans="1:35" x14ac:dyDescent="0.3">
      <c r="A1431">
        <v>49</v>
      </c>
      <c r="B1431" t="s">
        <v>40</v>
      </c>
      <c r="C1431" t="s">
        <v>41</v>
      </c>
      <c r="D1431">
        <v>1064</v>
      </c>
      <c r="E1431" t="s">
        <v>42</v>
      </c>
      <c r="F1431">
        <v>2</v>
      </c>
      <c r="G1431">
        <v>1</v>
      </c>
      <c r="H1431" t="s">
        <v>35</v>
      </c>
      <c r="I1431">
        <v>1</v>
      </c>
      <c r="J1431">
        <v>1941</v>
      </c>
      <c r="K1431">
        <v>2</v>
      </c>
      <c r="L1431" s="17" t="s">
        <v>43</v>
      </c>
      <c r="M1431">
        <v>42</v>
      </c>
      <c r="N1431">
        <v>3</v>
      </c>
      <c r="O1431">
        <v>5</v>
      </c>
      <c r="P1431" t="s">
        <v>55</v>
      </c>
      <c r="Q1431">
        <v>4</v>
      </c>
      <c r="R1431" t="s">
        <v>45</v>
      </c>
      <c r="S1431" s="6">
        <v>19161</v>
      </c>
      <c r="T1431">
        <v>13738</v>
      </c>
      <c r="U1431">
        <v>3</v>
      </c>
      <c r="V1431" t="s">
        <v>39</v>
      </c>
      <c r="W1431" t="s">
        <v>40</v>
      </c>
      <c r="X1431">
        <v>15</v>
      </c>
      <c r="Y1431">
        <v>3</v>
      </c>
      <c r="Z1431">
        <v>4</v>
      </c>
      <c r="AA1431">
        <v>80</v>
      </c>
      <c r="AB1431">
        <v>0</v>
      </c>
      <c r="AC1431">
        <v>28</v>
      </c>
      <c r="AD1431">
        <v>3</v>
      </c>
      <c r="AE1431">
        <v>3</v>
      </c>
      <c r="AF1431">
        <v>5</v>
      </c>
      <c r="AG1431">
        <v>4</v>
      </c>
      <c r="AH1431">
        <v>4</v>
      </c>
      <c r="AI1431">
        <v>3</v>
      </c>
    </row>
    <row r="1432" spans="1:35" x14ac:dyDescent="0.3">
      <c r="A1432">
        <v>55</v>
      </c>
      <c r="B1432" t="s">
        <v>40</v>
      </c>
      <c r="C1432" t="s">
        <v>33</v>
      </c>
      <c r="D1432">
        <v>282</v>
      </c>
      <c r="E1432" t="s">
        <v>42</v>
      </c>
      <c r="F1432">
        <v>2</v>
      </c>
      <c r="G1432">
        <v>2</v>
      </c>
      <c r="H1432" t="s">
        <v>48</v>
      </c>
      <c r="I1432">
        <v>1</v>
      </c>
      <c r="J1432">
        <v>1336</v>
      </c>
      <c r="K1432">
        <v>4</v>
      </c>
      <c r="L1432" s="17" t="s">
        <v>36</v>
      </c>
      <c r="M1432">
        <v>58</v>
      </c>
      <c r="N1432">
        <v>1</v>
      </c>
      <c r="O1432">
        <v>5</v>
      </c>
      <c r="P1432" t="s">
        <v>53</v>
      </c>
      <c r="Q1432">
        <v>3</v>
      </c>
      <c r="R1432" t="s">
        <v>45</v>
      </c>
      <c r="S1432" s="6">
        <v>19187</v>
      </c>
      <c r="T1432">
        <v>6992</v>
      </c>
      <c r="U1432">
        <v>4</v>
      </c>
      <c r="V1432" t="s">
        <v>39</v>
      </c>
      <c r="W1432" t="s">
        <v>40</v>
      </c>
      <c r="X1432">
        <v>14</v>
      </c>
      <c r="Y1432">
        <v>3</v>
      </c>
      <c r="Z1432">
        <v>4</v>
      </c>
      <c r="AA1432">
        <v>80</v>
      </c>
      <c r="AB1432">
        <v>1</v>
      </c>
      <c r="AC1432">
        <v>23</v>
      </c>
      <c r="AD1432">
        <v>5</v>
      </c>
      <c r="AE1432">
        <v>3</v>
      </c>
      <c r="AF1432">
        <v>19</v>
      </c>
      <c r="AG1432">
        <v>9</v>
      </c>
      <c r="AH1432">
        <v>9</v>
      </c>
      <c r="AI1432">
        <v>11</v>
      </c>
    </row>
    <row r="1433" spans="1:35" x14ac:dyDescent="0.3">
      <c r="A1433">
        <v>41</v>
      </c>
      <c r="B1433" t="s">
        <v>40</v>
      </c>
      <c r="C1433" t="s">
        <v>33</v>
      </c>
      <c r="D1433">
        <v>314</v>
      </c>
      <c r="E1433" t="s">
        <v>58</v>
      </c>
      <c r="F1433">
        <v>1</v>
      </c>
      <c r="G1433">
        <v>3</v>
      </c>
      <c r="H1433" t="s">
        <v>58</v>
      </c>
      <c r="I1433">
        <v>1</v>
      </c>
      <c r="J1433">
        <v>734</v>
      </c>
      <c r="K1433">
        <v>4</v>
      </c>
      <c r="L1433" s="17" t="s">
        <v>43</v>
      </c>
      <c r="M1433">
        <v>59</v>
      </c>
      <c r="N1433">
        <v>2</v>
      </c>
      <c r="O1433">
        <v>5</v>
      </c>
      <c r="P1433" t="s">
        <v>53</v>
      </c>
      <c r="Q1433">
        <v>3</v>
      </c>
      <c r="R1433" t="s">
        <v>45</v>
      </c>
      <c r="S1433" s="6">
        <v>19189</v>
      </c>
      <c r="T1433">
        <v>19562</v>
      </c>
      <c r="U1433">
        <v>1</v>
      </c>
      <c r="V1433" t="s">
        <v>39</v>
      </c>
      <c r="W1433" t="s">
        <v>40</v>
      </c>
      <c r="X1433">
        <v>12</v>
      </c>
      <c r="Y1433">
        <v>3</v>
      </c>
      <c r="Z1433">
        <v>2</v>
      </c>
      <c r="AA1433">
        <v>80</v>
      </c>
      <c r="AB1433">
        <v>1</v>
      </c>
      <c r="AC1433">
        <v>22</v>
      </c>
      <c r="AD1433">
        <v>3</v>
      </c>
      <c r="AE1433">
        <v>3</v>
      </c>
      <c r="AF1433">
        <v>22</v>
      </c>
      <c r="AG1433">
        <v>7</v>
      </c>
      <c r="AH1433">
        <v>2</v>
      </c>
      <c r="AI1433">
        <v>10</v>
      </c>
    </row>
    <row r="1434" spans="1:35" x14ac:dyDescent="0.3">
      <c r="A1434">
        <v>44</v>
      </c>
      <c r="B1434" t="s">
        <v>40</v>
      </c>
      <c r="C1434" t="s">
        <v>33</v>
      </c>
      <c r="D1434">
        <v>1199</v>
      </c>
      <c r="E1434" t="s">
        <v>42</v>
      </c>
      <c r="F1434">
        <v>4</v>
      </c>
      <c r="G1434">
        <v>2</v>
      </c>
      <c r="H1434" t="s">
        <v>35</v>
      </c>
      <c r="I1434">
        <v>1</v>
      </c>
      <c r="J1434">
        <v>1288</v>
      </c>
      <c r="K1434">
        <v>3</v>
      </c>
      <c r="L1434" s="17" t="s">
        <v>43</v>
      </c>
      <c r="M1434">
        <v>92</v>
      </c>
      <c r="N1434">
        <v>4</v>
      </c>
      <c r="O1434">
        <v>5</v>
      </c>
      <c r="P1434" t="s">
        <v>53</v>
      </c>
      <c r="Q1434">
        <v>1</v>
      </c>
      <c r="R1434" t="s">
        <v>49</v>
      </c>
      <c r="S1434" s="6">
        <v>19190</v>
      </c>
      <c r="T1434">
        <v>17477</v>
      </c>
      <c r="U1434">
        <v>1</v>
      </c>
      <c r="V1434" t="s">
        <v>39</v>
      </c>
      <c r="W1434" t="s">
        <v>40</v>
      </c>
      <c r="X1434">
        <v>14</v>
      </c>
      <c r="Y1434">
        <v>3</v>
      </c>
      <c r="Z1434">
        <v>4</v>
      </c>
      <c r="AA1434">
        <v>80</v>
      </c>
      <c r="AB1434">
        <v>2</v>
      </c>
      <c r="AC1434">
        <v>26</v>
      </c>
      <c r="AD1434">
        <v>4</v>
      </c>
      <c r="AE1434">
        <v>2</v>
      </c>
      <c r="AF1434">
        <v>25</v>
      </c>
      <c r="AG1434">
        <v>9</v>
      </c>
      <c r="AH1434">
        <v>14</v>
      </c>
      <c r="AI1434">
        <v>13</v>
      </c>
    </row>
    <row r="1435" spans="1:35" x14ac:dyDescent="0.3">
      <c r="A1435">
        <v>39</v>
      </c>
      <c r="B1435" t="s">
        <v>40</v>
      </c>
      <c r="C1435" t="s">
        <v>41</v>
      </c>
      <c r="D1435">
        <v>1218</v>
      </c>
      <c r="E1435" t="s">
        <v>42</v>
      </c>
      <c r="F1435">
        <v>1</v>
      </c>
      <c r="G1435">
        <v>1</v>
      </c>
      <c r="H1435" t="s">
        <v>35</v>
      </c>
      <c r="I1435">
        <v>1</v>
      </c>
      <c r="J1435">
        <v>531</v>
      </c>
      <c r="K1435">
        <v>2</v>
      </c>
      <c r="L1435" s="17" t="s">
        <v>43</v>
      </c>
      <c r="M1435">
        <v>52</v>
      </c>
      <c r="N1435">
        <v>3</v>
      </c>
      <c r="O1435">
        <v>5</v>
      </c>
      <c r="P1435" t="s">
        <v>53</v>
      </c>
      <c r="Q1435">
        <v>3</v>
      </c>
      <c r="R1435" t="s">
        <v>49</v>
      </c>
      <c r="S1435" s="6">
        <v>19197</v>
      </c>
      <c r="T1435">
        <v>8213</v>
      </c>
      <c r="U1435">
        <v>1</v>
      </c>
      <c r="V1435" t="s">
        <v>39</v>
      </c>
      <c r="W1435" t="s">
        <v>32</v>
      </c>
      <c r="X1435">
        <v>14</v>
      </c>
      <c r="Y1435">
        <v>3</v>
      </c>
      <c r="Z1435">
        <v>3</v>
      </c>
      <c r="AA1435">
        <v>80</v>
      </c>
      <c r="AB1435">
        <v>1</v>
      </c>
      <c r="AC1435">
        <v>21</v>
      </c>
      <c r="AD1435">
        <v>3</v>
      </c>
      <c r="AE1435">
        <v>3</v>
      </c>
      <c r="AF1435">
        <v>21</v>
      </c>
      <c r="AG1435">
        <v>8</v>
      </c>
      <c r="AH1435">
        <v>1</v>
      </c>
      <c r="AI1435">
        <v>6</v>
      </c>
    </row>
    <row r="1436" spans="1:35" x14ac:dyDescent="0.3">
      <c r="A1436">
        <v>45</v>
      </c>
      <c r="B1436" t="s">
        <v>40</v>
      </c>
      <c r="C1436" t="s">
        <v>33</v>
      </c>
      <c r="D1436">
        <v>252</v>
      </c>
      <c r="E1436" t="s">
        <v>42</v>
      </c>
      <c r="F1436">
        <v>1</v>
      </c>
      <c r="G1436">
        <v>3</v>
      </c>
      <c r="H1436" t="s">
        <v>46</v>
      </c>
      <c r="I1436">
        <v>1</v>
      </c>
      <c r="J1436">
        <v>336</v>
      </c>
      <c r="K1436">
        <v>3</v>
      </c>
      <c r="L1436" s="17" t="s">
        <v>43</v>
      </c>
      <c r="M1436">
        <v>70</v>
      </c>
      <c r="N1436">
        <v>4</v>
      </c>
      <c r="O1436">
        <v>5</v>
      </c>
      <c r="P1436" t="s">
        <v>53</v>
      </c>
      <c r="Q1436">
        <v>4</v>
      </c>
      <c r="R1436" t="s">
        <v>45</v>
      </c>
      <c r="S1436" s="6">
        <v>19202</v>
      </c>
      <c r="T1436">
        <v>15970</v>
      </c>
      <c r="U1436">
        <v>0</v>
      </c>
      <c r="V1436" t="s">
        <v>39</v>
      </c>
      <c r="W1436" t="s">
        <v>40</v>
      </c>
      <c r="X1436">
        <v>11</v>
      </c>
      <c r="Y1436">
        <v>3</v>
      </c>
      <c r="Z1436">
        <v>3</v>
      </c>
      <c r="AA1436">
        <v>80</v>
      </c>
      <c r="AB1436">
        <v>1</v>
      </c>
      <c r="AC1436">
        <v>25</v>
      </c>
      <c r="AD1436">
        <v>2</v>
      </c>
      <c r="AE1436">
        <v>3</v>
      </c>
      <c r="AF1436">
        <v>24</v>
      </c>
      <c r="AG1436">
        <v>0</v>
      </c>
      <c r="AH1436">
        <v>1</v>
      </c>
      <c r="AI1436">
        <v>7</v>
      </c>
    </row>
    <row r="1437" spans="1:35" x14ac:dyDescent="0.3">
      <c r="A1437">
        <v>42</v>
      </c>
      <c r="B1437" t="s">
        <v>40</v>
      </c>
      <c r="C1437" t="s">
        <v>33</v>
      </c>
      <c r="D1437">
        <v>532</v>
      </c>
      <c r="E1437" t="s">
        <v>42</v>
      </c>
      <c r="F1437">
        <v>4</v>
      </c>
      <c r="G1437">
        <v>2</v>
      </c>
      <c r="H1437" t="s">
        <v>57</v>
      </c>
      <c r="I1437">
        <v>1</v>
      </c>
      <c r="J1437">
        <v>319</v>
      </c>
      <c r="K1437">
        <v>3</v>
      </c>
      <c r="L1437" s="17" t="s">
        <v>43</v>
      </c>
      <c r="M1437">
        <v>58</v>
      </c>
      <c r="N1437">
        <v>3</v>
      </c>
      <c r="O1437">
        <v>5</v>
      </c>
      <c r="P1437" t="s">
        <v>53</v>
      </c>
      <c r="Q1437">
        <v>4</v>
      </c>
      <c r="R1437" t="s">
        <v>45</v>
      </c>
      <c r="S1437" s="6">
        <v>19232</v>
      </c>
      <c r="T1437">
        <v>4933</v>
      </c>
      <c r="U1437">
        <v>1</v>
      </c>
      <c r="V1437" t="s">
        <v>39</v>
      </c>
      <c r="W1437" t="s">
        <v>40</v>
      </c>
      <c r="X1437">
        <v>11</v>
      </c>
      <c r="Y1437">
        <v>3</v>
      </c>
      <c r="Z1437">
        <v>4</v>
      </c>
      <c r="AA1437">
        <v>80</v>
      </c>
      <c r="AB1437">
        <v>0</v>
      </c>
      <c r="AC1437">
        <v>22</v>
      </c>
      <c r="AD1437">
        <v>3</v>
      </c>
      <c r="AE1437">
        <v>3</v>
      </c>
      <c r="AF1437">
        <v>22</v>
      </c>
      <c r="AG1437">
        <v>17</v>
      </c>
      <c r="AH1437">
        <v>11</v>
      </c>
      <c r="AI1437">
        <v>15</v>
      </c>
    </row>
    <row r="1438" spans="1:35" x14ac:dyDescent="0.3">
      <c r="A1438">
        <v>50</v>
      </c>
      <c r="B1438" t="s">
        <v>40</v>
      </c>
      <c r="C1438" t="s">
        <v>33</v>
      </c>
      <c r="D1438">
        <v>1464</v>
      </c>
      <c r="E1438" t="s">
        <v>42</v>
      </c>
      <c r="F1438">
        <v>2</v>
      </c>
      <c r="G1438">
        <v>4</v>
      </c>
      <c r="H1438" t="s">
        <v>48</v>
      </c>
      <c r="I1438">
        <v>1</v>
      </c>
      <c r="J1438">
        <v>1061</v>
      </c>
      <c r="K1438">
        <v>2</v>
      </c>
      <c r="L1438" s="17" t="s">
        <v>43</v>
      </c>
      <c r="M1438">
        <v>62</v>
      </c>
      <c r="N1438">
        <v>3</v>
      </c>
      <c r="O1438">
        <v>5</v>
      </c>
      <c r="P1438" t="s">
        <v>55</v>
      </c>
      <c r="Q1438">
        <v>3</v>
      </c>
      <c r="R1438" t="s">
        <v>45</v>
      </c>
      <c r="S1438" s="6">
        <v>19237</v>
      </c>
      <c r="T1438">
        <v>12853</v>
      </c>
      <c r="U1438">
        <v>2</v>
      </c>
      <c r="V1438" t="s">
        <v>39</v>
      </c>
      <c r="W1438" t="s">
        <v>32</v>
      </c>
      <c r="X1438">
        <v>11</v>
      </c>
      <c r="Y1438">
        <v>3</v>
      </c>
      <c r="Z1438">
        <v>4</v>
      </c>
      <c r="AA1438">
        <v>80</v>
      </c>
      <c r="AB1438">
        <v>1</v>
      </c>
      <c r="AC1438">
        <v>29</v>
      </c>
      <c r="AD1438">
        <v>2</v>
      </c>
      <c r="AE1438">
        <v>2</v>
      </c>
      <c r="AF1438">
        <v>8</v>
      </c>
      <c r="AG1438">
        <v>1</v>
      </c>
      <c r="AH1438">
        <v>7</v>
      </c>
      <c r="AI1438">
        <v>7</v>
      </c>
    </row>
    <row r="1439" spans="1:35" x14ac:dyDescent="0.3">
      <c r="A1439">
        <v>58</v>
      </c>
      <c r="B1439" t="s">
        <v>32</v>
      </c>
      <c r="C1439" t="s">
        <v>33</v>
      </c>
      <c r="D1439">
        <v>286</v>
      </c>
      <c r="E1439" t="s">
        <v>42</v>
      </c>
      <c r="F1439">
        <v>2</v>
      </c>
      <c r="G1439">
        <v>4</v>
      </c>
      <c r="H1439" t="s">
        <v>35</v>
      </c>
      <c r="I1439">
        <v>1</v>
      </c>
      <c r="J1439">
        <v>825</v>
      </c>
      <c r="K1439">
        <v>4</v>
      </c>
      <c r="L1439" s="17" t="s">
        <v>43</v>
      </c>
      <c r="M1439">
        <v>31</v>
      </c>
      <c r="N1439">
        <v>3</v>
      </c>
      <c r="O1439">
        <v>5</v>
      </c>
      <c r="P1439" t="s">
        <v>55</v>
      </c>
      <c r="Q1439">
        <v>2</v>
      </c>
      <c r="R1439" t="s">
        <v>38</v>
      </c>
      <c r="S1439" s="6">
        <v>19246</v>
      </c>
      <c r="T1439">
        <v>25761</v>
      </c>
      <c r="U1439">
        <v>7</v>
      </c>
      <c r="V1439" t="s">
        <v>39</v>
      </c>
      <c r="W1439" t="s">
        <v>32</v>
      </c>
      <c r="X1439">
        <v>12</v>
      </c>
      <c r="Y1439">
        <v>3</v>
      </c>
      <c r="Z1439">
        <v>4</v>
      </c>
      <c r="AA1439">
        <v>80</v>
      </c>
      <c r="AB1439">
        <v>0</v>
      </c>
      <c r="AC1439">
        <v>40</v>
      </c>
      <c r="AD1439">
        <v>2</v>
      </c>
      <c r="AE1439">
        <v>3</v>
      </c>
      <c r="AF1439">
        <v>31</v>
      </c>
      <c r="AG1439">
        <v>15</v>
      </c>
      <c r="AH1439">
        <v>13</v>
      </c>
      <c r="AI1439">
        <v>8</v>
      </c>
    </row>
    <row r="1440" spans="1:35" x14ac:dyDescent="0.3">
      <c r="A1440">
        <v>39</v>
      </c>
      <c r="B1440" t="s">
        <v>40</v>
      </c>
      <c r="C1440" t="s">
        <v>41</v>
      </c>
      <c r="D1440">
        <v>672</v>
      </c>
      <c r="E1440" t="s">
        <v>42</v>
      </c>
      <c r="F1440">
        <v>7</v>
      </c>
      <c r="G1440">
        <v>2</v>
      </c>
      <c r="H1440" t="s">
        <v>48</v>
      </c>
      <c r="I1440">
        <v>1</v>
      </c>
      <c r="J1440">
        <v>444</v>
      </c>
      <c r="K1440">
        <v>3</v>
      </c>
      <c r="L1440" s="17" t="s">
        <v>43</v>
      </c>
      <c r="M1440">
        <v>54</v>
      </c>
      <c r="N1440">
        <v>2</v>
      </c>
      <c r="O1440">
        <v>5</v>
      </c>
      <c r="P1440" t="s">
        <v>53</v>
      </c>
      <c r="Q1440">
        <v>4</v>
      </c>
      <c r="R1440" t="s">
        <v>45</v>
      </c>
      <c r="S1440" s="6">
        <v>19272</v>
      </c>
      <c r="T1440">
        <v>21141</v>
      </c>
      <c r="U1440">
        <v>1</v>
      </c>
      <c r="V1440" t="s">
        <v>39</v>
      </c>
      <c r="W1440" t="s">
        <v>40</v>
      </c>
      <c r="X1440">
        <v>15</v>
      </c>
      <c r="Y1440">
        <v>3</v>
      </c>
      <c r="Z1440">
        <v>1</v>
      </c>
      <c r="AA1440">
        <v>80</v>
      </c>
      <c r="AB1440">
        <v>1</v>
      </c>
      <c r="AC1440">
        <v>21</v>
      </c>
      <c r="AD1440">
        <v>2</v>
      </c>
      <c r="AE1440">
        <v>3</v>
      </c>
      <c r="AF1440">
        <v>21</v>
      </c>
      <c r="AG1440">
        <v>9</v>
      </c>
      <c r="AH1440">
        <v>13</v>
      </c>
      <c r="AI1440">
        <v>3</v>
      </c>
    </row>
    <row r="1441" spans="1:35" x14ac:dyDescent="0.3">
      <c r="A1441">
        <v>46</v>
      </c>
      <c r="B1441" t="s">
        <v>40</v>
      </c>
      <c r="C1441" t="s">
        <v>33</v>
      </c>
      <c r="D1441">
        <v>734</v>
      </c>
      <c r="E1441" t="s">
        <v>42</v>
      </c>
      <c r="F1441">
        <v>2</v>
      </c>
      <c r="G1441">
        <v>4</v>
      </c>
      <c r="H1441" t="s">
        <v>48</v>
      </c>
      <c r="I1441">
        <v>1</v>
      </c>
      <c r="J1441">
        <v>1789</v>
      </c>
      <c r="K1441">
        <v>3</v>
      </c>
      <c r="L1441" s="17" t="s">
        <v>43</v>
      </c>
      <c r="M1441">
        <v>46</v>
      </c>
      <c r="N1441">
        <v>3</v>
      </c>
      <c r="O1441">
        <v>5</v>
      </c>
      <c r="P1441" t="s">
        <v>55</v>
      </c>
      <c r="Q1441">
        <v>4</v>
      </c>
      <c r="R1441" t="s">
        <v>49</v>
      </c>
      <c r="S1441" s="6">
        <v>19328</v>
      </c>
      <c r="T1441">
        <v>14218</v>
      </c>
      <c r="U1441">
        <v>7</v>
      </c>
      <c r="V1441" t="s">
        <v>39</v>
      </c>
      <c r="W1441" t="s">
        <v>32</v>
      </c>
      <c r="X1441">
        <v>17</v>
      </c>
      <c r="Y1441">
        <v>3</v>
      </c>
      <c r="Z1441">
        <v>3</v>
      </c>
      <c r="AA1441">
        <v>80</v>
      </c>
      <c r="AB1441">
        <v>1</v>
      </c>
      <c r="AC1441">
        <v>24</v>
      </c>
      <c r="AD1441">
        <v>3</v>
      </c>
      <c r="AE1441">
        <v>3</v>
      </c>
      <c r="AF1441">
        <v>2</v>
      </c>
      <c r="AG1441">
        <v>1</v>
      </c>
      <c r="AH1441">
        <v>2</v>
      </c>
      <c r="AI1441">
        <v>2</v>
      </c>
    </row>
    <row r="1442" spans="1:35" x14ac:dyDescent="0.3">
      <c r="A1442">
        <v>50</v>
      </c>
      <c r="B1442" t="s">
        <v>40</v>
      </c>
      <c r="C1442" t="s">
        <v>33</v>
      </c>
      <c r="D1442">
        <v>264</v>
      </c>
      <c r="E1442" t="s">
        <v>34</v>
      </c>
      <c r="F1442">
        <v>9</v>
      </c>
      <c r="G1442">
        <v>3</v>
      </c>
      <c r="H1442" t="s">
        <v>56</v>
      </c>
      <c r="I1442">
        <v>1</v>
      </c>
      <c r="J1442">
        <v>1591</v>
      </c>
      <c r="K1442">
        <v>3</v>
      </c>
      <c r="L1442" s="17" t="s">
        <v>43</v>
      </c>
      <c r="M1442">
        <v>59</v>
      </c>
      <c r="N1442">
        <v>3</v>
      </c>
      <c r="O1442">
        <v>5</v>
      </c>
      <c r="P1442" t="s">
        <v>53</v>
      </c>
      <c r="Q1442">
        <v>3</v>
      </c>
      <c r="R1442" t="s">
        <v>45</v>
      </c>
      <c r="S1442" s="6">
        <v>19331</v>
      </c>
      <c r="T1442">
        <v>19519</v>
      </c>
      <c r="U1442">
        <v>4</v>
      </c>
      <c r="V1442" t="s">
        <v>39</v>
      </c>
      <c r="W1442" t="s">
        <v>32</v>
      </c>
      <c r="X1442">
        <v>16</v>
      </c>
      <c r="Y1442">
        <v>3</v>
      </c>
      <c r="Z1442">
        <v>3</v>
      </c>
      <c r="AA1442">
        <v>80</v>
      </c>
      <c r="AB1442">
        <v>1</v>
      </c>
      <c r="AC1442">
        <v>27</v>
      </c>
      <c r="AD1442">
        <v>2</v>
      </c>
      <c r="AE1442">
        <v>3</v>
      </c>
      <c r="AF1442">
        <v>1</v>
      </c>
      <c r="AG1442">
        <v>0</v>
      </c>
      <c r="AH1442">
        <v>0</v>
      </c>
      <c r="AI1442">
        <v>0</v>
      </c>
    </row>
    <row r="1443" spans="1:35" x14ac:dyDescent="0.3">
      <c r="A1443">
        <v>43</v>
      </c>
      <c r="B1443" t="s">
        <v>40</v>
      </c>
      <c r="C1443" t="s">
        <v>33</v>
      </c>
      <c r="D1443">
        <v>823</v>
      </c>
      <c r="E1443" t="s">
        <v>42</v>
      </c>
      <c r="F1443">
        <v>6</v>
      </c>
      <c r="G1443">
        <v>3</v>
      </c>
      <c r="H1443" t="s">
        <v>48</v>
      </c>
      <c r="I1443">
        <v>1</v>
      </c>
      <c r="J1443">
        <v>1866</v>
      </c>
      <c r="K1443">
        <v>1</v>
      </c>
      <c r="L1443" s="17" t="s">
        <v>36</v>
      </c>
      <c r="M1443">
        <v>81</v>
      </c>
      <c r="N1443">
        <v>2</v>
      </c>
      <c r="O1443">
        <v>5</v>
      </c>
      <c r="P1443" t="s">
        <v>53</v>
      </c>
      <c r="Q1443">
        <v>3</v>
      </c>
      <c r="R1443" t="s">
        <v>45</v>
      </c>
      <c r="S1443" s="6">
        <v>19392</v>
      </c>
      <c r="T1443">
        <v>22539</v>
      </c>
      <c r="U1443">
        <v>7</v>
      </c>
      <c r="V1443" t="s">
        <v>39</v>
      </c>
      <c r="W1443" t="s">
        <v>40</v>
      </c>
      <c r="X1443">
        <v>13</v>
      </c>
      <c r="Y1443">
        <v>3</v>
      </c>
      <c r="Z1443">
        <v>4</v>
      </c>
      <c r="AA1443">
        <v>80</v>
      </c>
      <c r="AB1443">
        <v>0</v>
      </c>
      <c r="AC1443">
        <v>21</v>
      </c>
      <c r="AD1443">
        <v>2</v>
      </c>
      <c r="AE1443">
        <v>3</v>
      </c>
      <c r="AF1443">
        <v>16</v>
      </c>
      <c r="AG1443">
        <v>12</v>
      </c>
      <c r="AH1443">
        <v>6</v>
      </c>
      <c r="AI1443">
        <v>14</v>
      </c>
    </row>
    <row r="1444" spans="1:35" x14ac:dyDescent="0.3">
      <c r="A1444">
        <v>54</v>
      </c>
      <c r="B1444" t="s">
        <v>40</v>
      </c>
      <c r="C1444" t="s">
        <v>33</v>
      </c>
      <c r="D1444">
        <v>821</v>
      </c>
      <c r="E1444" t="s">
        <v>42</v>
      </c>
      <c r="F1444">
        <v>5</v>
      </c>
      <c r="G1444">
        <v>2</v>
      </c>
      <c r="H1444" t="s">
        <v>48</v>
      </c>
      <c r="I1444">
        <v>1</v>
      </c>
      <c r="J1444">
        <v>522</v>
      </c>
      <c r="K1444">
        <v>1</v>
      </c>
      <c r="L1444" s="17" t="s">
        <v>43</v>
      </c>
      <c r="M1444">
        <v>86</v>
      </c>
      <c r="N1444">
        <v>3</v>
      </c>
      <c r="O1444">
        <v>5</v>
      </c>
      <c r="P1444" t="s">
        <v>55</v>
      </c>
      <c r="Q1444">
        <v>1</v>
      </c>
      <c r="R1444" t="s">
        <v>45</v>
      </c>
      <c r="S1444" s="6">
        <v>19406</v>
      </c>
      <c r="T1444">
        <v>8509</v>
      </c>
      <c r="U1444">
        <v>4</v>
      </c>
      <c r="V1444" t="s">
        <v>39</v>
      </c>
      <c r="W1444" t="s">
        <v>40</v>
      </c>
      <c r="X1444">
        <v>11</v>
      </c>
      <c r="Y1444">
        <v>3</v>
      </c>
      <c r="Z1444">
        <v>3</v>
      </c>
      <c r="AA1444">
        <v>80</v>
      </c>
      <c r="AB1444">
        <v>1</v>
      </c>
      <c r="AC1444">
        <v>24</v>
      </c>
      <c r="AD1444">
        <v>4</v>
      </c>
      <c r="AE1444">
        <v>2</v>
      </c>
      <c r="AF1444">
        <v>4</v>
      </c>
      <c r="AG1444">
        <v>2</v>
      </c>
      <c r="AH1444">
        <v>1</v>
      </c>
      <c r="AI1444">
        <v>2</v>
      </c>
    </row>
    <row r="1445" spans="1:35" x14ac:dyDescent="0.3">
      <c r="A1445">
        <v>41</v>
      </c>
      <c r="B1445" t="s">
        <v>40</v>
      </c>
      <c r="C1445" t="s">
        <v>41</v>
      </c>
      <c r="D1445">
        <v>840</v>
      </c>
      <c r="E1445" t="s">
        <v>42</v>
      </c>
      <c r="F1445">
        <v>9</v>
      </c>
      <c r="G1445">
        <v>3</v>
      </c>
      <c r="H1445" t="s">
        <v>48</v>
      </c>
      <c r="I1445">
        <v>1</v>
      </c>
      <c r="J1445">
        <v>999</v>
      </c>
      <c r="K1445">
        <v>1</v>
      </c>
      <c r="L1445" s="17" t="s">
        <v>43</v>
      </c>
      <c r="M1445">
        <v>64</v>
      </c>
      <c r="N1445">
        <v>3</v>
      </c>
      <c r="O1445">
        <v>5</v>
      </c>
      <c r="P1445" t="s">
        <v>55</v>
      </c>
      <c r="Q1445">
        <v>3</v>
      </c>
      <c r="R1445" t="s">
        <v>49</v>
      </c>
      <c r="S1445" s="6">
        <v>19419</v>
      </c>
      <c r="T1445">
        <v>3735</v>
      </c>
      <c r="U1445">
        <v>2</v>
      </c>
      <c r="V1445" t="s">
        <v>39</v>
      </c>
      <c r="W1445" t="s">
        <v>40</v>
      </c>
      <c r="X1445">
        <v>17</v>
      </c>
      <c r="Y1445">
        <v>3</v>
      </c>
      <c r="Z1445">
        <v>2</v>
      </c>
      <c r="AA1445">
        <v>80</v>
      </c>
      <c r="AB1445">
        <v>1</v>
      </c>
      <c r="AC1445">
        <v>21</v>
      </c>
      <c r="AD1445">
        <v>2</v>
      </c>
      <c r="AE1445">
        <v>4</v>
      </c>
      <c r="AF1445">
        <v>18</v>
      </c>
      <c r="AG1445">
        <v>16</v>
      </c>
      <c r="AH1445">
        <v>0</v>
      </c>
      <c r="AI1445">
        <v>11</v>
      </c>
    </row>
    <row r="1446" spans="1:35" x14ac:dyDescent="0.3">
      <c r="A1446">
        <v>39</v>
      </c>
      <c r="B1446" t="s">
        <v>40</v>
      </c>
      <c r="C1446" t="s">
        <v>52</v>
      </c>
      <c r="D1446">
        <v>105</v>
      </c>
      <c r="E1446" t="s">
        <v>42</v>
      </c>
      <c r="F1446">
        <v>9</v>
      </c>
      <c r="G1446">
        <v>3</v>
      </c>
      <c r="H1446" t="s">
        <v>35</v>
      </c>
      <c r="I1446">
        <v>1</v>
      </c>
      <c r="J1446">
        <v>2022</v>
      </c>
      <c r="K1446">
        <v>4</v>
      </c>
      <c r="L1446" s="17" t="s">
        <v>43</v>
      </c>
      <c r="M1446">
        <v>87</v>
      </c>
      <c r="N1446">
        <v>3</v>
      </c>
      <c r="O1446">
        <v>5</v>
      </c>
      <c r="P1446" t="s">
        <v>53</v>
      </c>
      <c r="Q1446">
        <v>4</v>
      </c>
      <c r="R1446" t="s">
        <v>38</v>
      </c>
      <c r="S1446" s="6">
        <v>19431</v>
      </c>
      <c r="T1446">
        <v>15302</v>
      </c>
      <c r="U1446">
        <v>2</v>
      </c>
      <c r="V1446" t="s">
        <v>39</v>
      </c>
      <c r="W1446" t="s">
        <v>40</v>
      </c>
      <c r="X1446">
        <v>13</v>
      </c>
      <c r="Y1446">
        <v>3</v>
      </c>
      <c r="Z1446">
        <v>3</v>
      </c>
      <c r="AA1446">
        <v>80</v>
      </c>
      <c r="AB1446">
        <v>0</v>
      </c>
      <c r="AC1446">
        <v>21</v>
      </c>
      <c r="AD1446">
        <v>3</v>
      </c>
      <c r="AE1446">
        <v>2</v>
      </c>
      <c r="AF1446">
        <v>6</v>
      </c>
      <c r="AG1446">
        <v>0</v>
      </c>
      <c r="AH1446">
        <v>1</v>
      </c>
      <c r="AI1446">
        <v>3</v>
      </c>
    </row>
    <row r="1447" spans="1:35" x14ac:dyDescent="0.3">
      <c r="A1447">
        <v>40</v>
      </c>
      <c r="B1447" t="s">
        <v>40</v>
      </c>
      <c r="C1447" t="s">
        <v>33</v>
      </c>
      <c r="D1447">
        <v>1416</v>
      </c>
      <c r="E1447" t="s">
        <v>42</v>
      </c>
      <c r="F1447">
        <v>2</v>
      </c>
      <c r="G1447">
        <v>2</v>
      </c>
      <c r="H1447" t="s">
        <v>48</v>
      </c>
      <c r="I1447">
        <v>1</v>
      </c>
      <c r="J1447">
        <v>352</v>
      </c>
      <c r="K1447">
        <v>1</v>
      </c>
      <c r="L1447" s="17" t="s">
        <v>43</v>
      </c>
      <c r="M1447">
        <v>49</v>
      </c>
      <c r="N1447">
        <v>3</v>
      </c>
      <c r="O1447">
        <v>5</v>
      </c>
      <c r="P1447" t="s">
        <v>55</v>
      </c>
      <c r="Q1447">
        <v>3</v>
      </c>
      <c r="R1447" t="s">
        <v>49</v>
      </c>
      <c r="S1447" s="6">
        <v>19436</v>
      </c>
      <c r="T1447">
        <v>5949</v>
      </c>
      <c r="U1447">
        <v>0</v>
      </c>
      <c r="V1447" t="s">
        <v>39</v>
      </c>
      <c r="W1447" t="s">
        <v>40</v>
      </c>
      <c r="X1447">
        <v>19</v>
      </c>
      <c r="Y1447">
        <v>3</v>
      </c>
      <c r="Z1447">
        <v>4</v>
      </c>
      <c r="AA1447">
        <v>80</v>
      </c>
      <c r="AB1447">
        <v>1</v>
      </c>
      <c r="AC1447">
        <v>22</v>
      </c>
      <c r="AD1447">
        <v>5</v>
      </c>
      <c r="AE1447">
        <v>3</v>
      </c>
      <c r="AF1447">
        <v>21</v>
      </c>
      <c r="AG1447">
        <v>7</v>
      </c>
      <c r="AH1447">
        <v>3</v>
      </c>
      <c r="AI1447">
        <v>9</v>
      </c>
    </row>
    <row r="1448" spans="1:35" x14ac:dyDescent="0.3">
      <c r="A1448">
        <v>49</v>
      </c>
      <c r="B1448" t="s">
        <v>40</v>
      </c>
      <c r="C1448" t="s">
        <v>33</v>
      </c>
      <c r="D1448">
        <v>1245</v>
      </c>
      <c r="E1448" t="s">
        <v>42</v>
      </c>
      <c r="F1448">
        <v>18</v>
      </c>
      <c r="G1448">
        <v>4</v>
      </c>
      <c r="H1448" t="s">
        <v>35</v>
      </c>
      <c r="I1448">
        <v>1</v>
      </c>
      <c r="J1448">
        <v>638</v>
      </c>
      <c r="K1448">
        <v>4</v>
      </c>
      <c r="L1448" s="17" t="s">
        <v>43</v>
      </c>
      <c r="M1448">
        <v>58</v>
      </c>
      <c r="N1448">
        <v>2</v>
      </c>
      <c r="O1448">
        <v>5</v>
      </c>
      <c r="P1448" t="s">
        <v>55</v>
      </c>
      <c r="Q1448">
        <v>3</v>
      </c>
      <c r="R1448" t="s">
        <v>49</v>
      </c>
      <c r="S1448" s="6">
        <v>19502</v>
      </c>
      <c r="T1448">
        <v>2125</v>
      </c>
      <c r="U1448">
        <v>1</v>
      </c>
      <c r="V1448" t="s">
        <v>39</v>
      </c>
      <c r="W1448" t="s">
        <v>32</v>
      </c>
      <c r="X1448">
        <v>17</v>
      </c>
      <c r="Y1448">
        <v>3</v>
      </c>
      <c r="Z1448">
        <v>3</v>
      </c>
      <c r="AA1448">
        <v>80</v>
      </c>
      <c r="AB1448">
        <v>1</v>
      </c>
      <c r="AC1448">
        <v>31</v>
      </c>
      <c r="AD1448">
        <v>5</v>
      </c>
      <c r="AE1448">
        <v>3</v>
      </c>
      <c r="AF1448">
        <v>31</v>
      </c>
      <c r="AG1448">
        <v>9</v>
      </c>
      <c r="AH1448">
        <v>0</v>
      </c>
      <c r="AI1448">
        <v>9</v>
      </c>
    </row>
    <row r="1449" spans="1:35" x14ac:dyDescent="0.3">
      <c r="A1449">
        <v>44</v>
      </c>
      <c r="B1449" t="s">
        <v>40</v>
      </c>
      <c r="C1449" t="s">
        <v>33</v>
      </c>
      <c r="D1449">
        <v>1315</v>
      </c>
      <c r="E1449" t="s">
        <v>42</v>
      </c>
      <c r="F1449">
        <v>3</v>
      </c>
      <c r="G1449">
        <v>4</v>
      </c>
      <c r="H1449" t="s">
        <v>46</v>
      </c>
      <c r="I1449">
        <v>1</v>
      </c>
      <c r="J1449">
        <v>671</v>
      </c>
      <c r="K1449">
        <v>4</v>
      </c>
      <c r="L1449" s="17" t="s">
        <v>43</v>
      </c>
      <c r="M1449">
        <v>35</v>
      </c>
      <c r="N1449">
        <v>3</v>
      </c>
      <c r="O1449">
        <v>5</v>
      </c>
      <c r="P1449" t="s">
        <v>53</v>
      </c>
      <c r="Q1449">
        <v>4</v>
      </c>
      <c r="R1449" t="s">
        <v>45</v>
      </c>
      <c r="S1449" s="6">
        <v>19513</v>
      </c>
      <c r="T1449">
        <v>9358</v>
      </c>
      <c r="U1449">
        <v>4</v>
      </c>
      <c r="V1449" t="s">
        <v>39</v>
      </c>
      <c r="W1449" t="s">
        <v>32</v>
      </c>
      <c r="X1449">
        <v>12</v>
      </c>
      <c r="Y1449">
        <v>3</v>
      </c>
      <c r="Z1449">
        <v>1</v>
      </c>
      <c r="AA1449">
        <v>80</v>
      </c>
      <c r="AB1449">
        <v>1</v>
      </c>
      <c r="AC1449">
        <v>26</v>
      </c>
      <c r="AD1449">
        <v>2</v>
      </c>
      <c r="AE1449">
        <v>4</v>
      </c>
      <c r="AF1449">
        <v>2</v>
      </c>
      <c r="AG1449">
        <v>2</v>
      </c>
      <c r="AH1449">
        <v>0</v>
      </c>
      <c r="AI1449">
        <v>1</v>
      </c>
    </row>
    <row r="1450" spans="1:35" x14ac:dyDescent="0.3">
      <c r="A1450">
        <v>50</v>
      </c>
      <c r="B1450" t="s">
        <v>40</v>
      </c>
      <c r="C1450" t="s">
        <v>33</v>
      </c>
      <c r="D1450">
        <v>854</v>
      </c>
      <c r="E1450" t="s">
        <v>34</v>
      </c>
      <c r="F1450">
        <v>1</v>
      </c>
      <c r="G1450">
        <v>4</v>
      </c>
      <c r="H1450" t="s">
        <v>48</v>
      </c>
      <c r="I1450">
        <v>1</v>
      </c>
      <c r="J1450">
        <v>323</v>
      </c>
      <c r="K1450">
        <v>4</v>
      </c>
      <c r="L1450" s="17" t="s">
        <v>36</v>
      </c>
      <c r="M1450">
        <v>68</v>
      </c>
      <c r="N1450">
        <v>3</v>
      </c>
      <c r="O1450">
        <v>5</v>
      </c>
      <c r="P1450" t="s">
        <v>53</v>
      </c>
      <c r="Q1450">
        <v>4</v>
      </c>
      <c r="R1450" t="s">
        <v>49</v>
      </c>
      <c r="S1450" s="6">
        <v>19517</v>
      </c>
      <c r="T1450">
        <v>24118</v>
      </c>
      <c r="U1450">
        <v>3</v>
      </c>
      <c r="V1450" t="s">
        <v>39</v>
      </c>
      <c r="W1450" t="s">
        <v>40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32</v>
      </c>
      <c r="AD1450">
        <v>3</v>
      </c>
      <c r="AE1450">
        <v>2</v>
      </c>
      <c r="AF1450">
        <v>7</v>
      </c>
      <c r="AG1450">
        <v>0</v>
      </c>
      <c r="AH1450">
        <v>0</v>
      </c>
      <c r="AI1450">
        <v>6</v>
      </c>
    </row>
    <row r="1451" spans="1:35" x14ac:dyDescent="0.3">
      <c r="A1451">
        <v>51</v>
      </c>
      <c r="B1451" t="s">
        <v>40</v>
      </c>
      <c r="C1451" t="s">
        <v>33</v>
      </c>
      <c r="D1451">
        <v>684</v>
      </c>
      <c r="E1451" t="s">
        <v>42</v>
      </c>
      <c r="F1451">
        <v>6</v>
      </c>
      <c r="G1451">
        <v>3</v>
      </c>
      <c r="H1451" t="s">
        <v>35</v>
      </c>
      <c r="I1451">
        <v>1</v>
      </c>
      <c r="J1451">
        <v>162</v>
      </c>
      <c r="K1451">
        <v>1</v>
      </c>
      <c r="L1451" s="17" t="s">
        <v>43</v>
      </c>
      <c r="M1451">
        <v>51</v>
      </c>
      <c r="N1451">
        <v>3</v>
      </c>
      <c r="O1451">
        <v>5</v>
      </c>
      <c r="P1451" t="s">
        <v>55</v>
      </c>
      <c r="Q1451">
        <v>3</v>
      </c>
      <c r="R1451" t="s">
        <v>38</v>
      </c>
      <c r="S1451" s="6">
        <v>19537</v>
      </c>
      <c r="T1451">
        <v>6462</v>
      </c>
      <c r="U1451">
        <v>7</v>
      </c>
      <c r="V1451" t="s">
        <v>39</v>
      </c>
      <c r="W1451" t="s">
        <v>40</v>
      </c>
      <c r="X1451">
        <v>13</v>
      </c>
      <c r="Y1451">
        <v>3</v>
      </c>
      <c r="Z1451">
        <v>3</v>
      </c>
      <c r="AA1451">
        <v>80</v>
      </c>
      <c r="AB1451">
        <v>0</v>
      </c>
      <c r="AC1451">
        <v>23</v>
      </c>
      <c r="AD1451">
        <v>5</v>
      </c>
      <c r="AE1451">
        <v>3</v>
      </c>
      <c r="AF1451">
        <v>20</v>
      </c>
      <c r="AG1451">
        <v>18</v>
      </c>
      <c r="AH1451">
        <v>15</v>
      </c>
      <c r="AI1451">
        <v>15</v>
      </c>
    </row>
    <row r="1452" spans="1:35" x14ac:dyDescent="0.3">
      <c r="A1452">
        <v>41</v>
      </c>
      <c r="B1452" t="s">
        <v>32</v>
      </c>
      <c r="C1452" t="s">
        <v>33</v>
      </c>
      <c r="D1452">
        <v>1360</v>
      </c>
      <c r="E1452" t="s">
        <v>42</v>
      </c>
      <c r="F1452">
        <v>12</v>
      </c>
      <c r="G1452">
        <v>3</v>
      </c>
      <c r="H1452" t="s">
        <v>57</v>
      </c>
      <c r="I1452">
        <v>1</v>
      </c>
      <c r="J1452">
        <v>58</v>
      </c>
      <c r="K1452">
        <v>2</v>
      </c>
      <c r="L1452" s="17" t="s">
        <v>36</v>
      </c>
      <c r="M1452">
        <v>49</v>
      </c>
      <c r="N1452">
        <v>3</v>
      </c>
      <c r="O1452">
        <v>5</v>
      </c>
      <c r="P1452" t="s">
        <v>55</v>
      </c>
      <c r="Q1452">
        <v>3</v>
      </c>
      <c r="R1452" t="s">
        <v>45</v>
      </c>
      <c r="S1452" s="6">
        <v>19545</v>
      </c>
      <c r="T1452">
        <v>16280</v>
      </c>
      <c r="U1452">
        <v>1</v>
      </c>
      <c r="V1452" t="s">
        <v>39</v>
      </c>
      <c r="W1452" t="s">
        <v>40</v>
      </c>
      <c r="X1452">
        <v>12</v>
      </c>
      <c r="Y1452">
        <v>3</v>
      </c>
      <c r="Z1452">
        <v>4</v>
      </c>
      <c r="AA1452">
        <v>80</v>
      </c>
      <c r="AB1452">
        <v>0</v>
      </c>
      <c r="AC1452">
        <v>23</v>
      </c>
      <c r="AD1452">
        <v>0</v>
      </c>
      <c r="AE1452">
        <v>3</v>
      </c>
      <c r="AF1452">
        <v>22</v>
      </c>
      <c r="AG1452">
        <v>15</v>
      </c>
      <c r="AH1452">
        <v>15</v>
      </c>
      <c r="AI1452">
        <v>8</v>
      </c>
    </row>
    <row r="1453" spans="1:35" x14ac:dyDescent="0.3">
      <c r="A1453">
        <v>60</v>
      </c>
      <c r="B1453" t="s">
        <v>40</v>
      </c>
      <c r="C1453" t="s">
        <v>33</v>
      </c>
      <c r="D1453">
        <v>422</v>
      </c>
      <c r="E1453" t="s">
        <v>42</v>
      </c>
      <c r="F1453">
        <v>7</v>
      </c>
      <c r="G1453">
        <v>3</v>
      </c>
      <c r="H1453" t="s">
        <v>35</v>
      </c>
      <c r="I1453">
        <v>1</v>
      </c>
      <c r="J1453">
        <v>549</v>
      </c>
      <c r="K1453">
        <v>1</v>
      </c>
      <c r="L1453" s="17" t="s">
        <v>36</v>
      </c>
      <c r="M1453">
        <v>41</v>
      </c>
      <c r="N1453">
        <v>3</v>
      </c>
      <c r="O1453">
        <v>5</v>
      </c>
      <c r="P1453" t="s">
        <v>53</v>
      </c>
      <c r="Q1453">
        <v>1</v>
      </c>
      <c r="R1453" t="s">
        <v>45</v>
      </c>
      <c r="S1453" s="6">
        <v>19566</v>
      </c>
      <c r="T1453">
        <v>3854</v>
      </c>
      <c r="U1453">
        <v>5</v>
      </c>
      <c r="V1453" t="s">
        <v>39</v>
      </c>
      <c r="W1453" t="s">
        <v>40</v>
      </c>
      <c r="X1453">
        <v>11</v>
      </c>
      <c r="Y1453">
        <v>3</v>
      </c>
      <c r="Z1453">
        <v>4</v>
      </c>
      <c r="AA1453">
        <v>80</v>
      </c>
      <c r="AB1453">
        <v>0</v>
      </c>
      <c r="AC1453">
        <v>33</v>
      </c>
      <c r="AD1453">
        <v>5</v>
      </c>
      <c r="AE1453">
        <v>1</v>
      </c>
      <c r="AF1453">
        <v>29</v>
      </c>
      <c r="AG1453">
        <v>8</v>
      </c>
      <c r="AH1453">
        <v>11</v>
      </c>
      <c r="AI1453">
        <v>10</v>
      </c>
    </row>
    <row r="1454" spans="1:35" x14ac:dyDescent="0.3">
      <c r="A1454">
        <v>55</v>
      </c>
      <c r="B1454" t="s">
        <v>40</v>
      </c>
      <c r="C1454" t="s">
        <v>33</v>
      </c>
      <c r="D1454">
        <v>685</v>
      </c>
      <c r="E1454" t="s">
        <v>34</v>
      </c>
      <c r="F1454">
        <v>26</v>
      </c>
      <c r="G1454">
        <v>5</v>
      </c>
      <c r="H1454" t="s">
        <v>56</v>
      </c>
      <c r="I1454">
        <v>1</v>
      </c>
      <c r="J1454">
        <v>1578</v>
      </c>
      <c r="K1454">
        <v>3</v>
      </c>
      <c r="L1454" s="17" t="s">
        <v>43</v>
      </c>
      <c r="M1454">
        <v>60</v>
      </c>
      <c r="N1454">
        <v>2</v>
      </c>
      <c r="O1454">
        <v>5</v>
      </c>
      <c r="P1454" t="s">
        <v>53</v>
      </c>
      <c r="Q1454">
        <v>4</v>
      </c>
      <c r="R1454" t="s">
        <v>45</v>
      </c>
      <c r="S1454" s="6">
        <v>19586</v>
      </c>
      <c r="T1454">
        <v>23037</v>
      </c>
      <c r="U1454">
        <v>1</v>
      </c>
      <c r="V1454" t="s">
        <v>39</v>
      </c>
      <c r="W1454" t="s">
        <v>40</v>
      </c>
      <c r="X1454">
        <v>21</v>
      </c>
      <c r="Y1454">
        <v>4</v>
      </c>
      <c r="Z1454">
        <v>3</v>
      </c>
      <c r="AA1454">
        <v>80</v>
      </c>
      <c r="AB1454">
        <v>1</v>
      </c>
      <c r="AC1454">
        <v>36</v>
      </c>
      <c r="AD1454">
        <v>3</v>
      </c>
      <c r="AE1454">
        <v>3</v>
      </c>
      <c r="AF1454">
        <v>36</v>
      </c>
      <c r="AG1454">
        <v>6</v>
      </c>
      <c r="AH1454">
        <v>2</v>
      </c>
      <c r="AI1454">
        <v>13</v>
      </c>
    </row>
    <row r="1455" spans="1:35" x14ac:dyDescent="0.3">
      <c r="A1455">
        <v>42</v>
      </c>
      <c r="B1455" t="s">
        <v>40</v>
      </c>
      <c r="C1455" t="s">
        <v>33</v>
      </c>
      <c r="D1455">
        <v>1059</v>
      </c>
      <c r="E1455" t="s">
        <v>42</v>
      </c>
      <c r="F1455">
        <v>9</v>
      </c>
      <c r="G1455">
        <v>2</v>
      </c>
      <c r="H1455" t="s">
        <v>46</v>
      </c>
      <c r="I1455">
        <v>1</v>
      </c>
      <c r="J1455">
        <v>1595</v>
      </c>
      <c r="K1455">
        <v>4</v>
      </c>
      <c r="L1455" s="17" t="s">
        <v>43</v>
      </c>
      <c r="M1455">
        <v>93</v>
      </c>
      <c r="N1455">
        <v>2</v>
      </c>
      <c r="O1455">
        <v>5</v>
      </c>
      <c r="P1455" t="s">
        <v>53</v>
      </c>
      <c r="Q1455">
        <v>4</v>
      </c>
      <c r="R1455" t="s">
        <v>38</v>
      </c>
      <c r="S1455" s="6">
        <v>19613</v>
      </c>
      <c r="T1455">
        <v>26362</v>
      </c>
      <c r="U1455">
        <v>8</v>
      </c>
      <c r="V1455" t="s">
        <v>39</v>
      </c>
      <c r="W1455" t="s">
        <v>40</v>
      </c>
      <c r="X1455">
        <v>22</v>
      </c>
      <c r="Y1455">
        <v>4</v>
      </c>
      <c r="Z1455">
        <v>4</v>
      </c>
      <c r="AA1455">
        <v>80</v>
      </c>
      <c r="AB1455">
        <v>0</v>
      </c>
      <c r="AC1455">
        <v>24</v>
      </c>
      <c r="AD1455">
        <v>2</v>
      </c>
      <c r="AE1455">
        <v>3</v>
      </c>
      <c r="AF1455">
        <v>1</v>
      </c>
      <c r="AG1455">
        <v>0</v>
      </c>
      <c r="AH1455">
        <v>0</v>
      </c>
      <c r="AI1455">
        <v>1</v>
      </c>
    </row>
    <row r="1456" spans="1:35" x14ac:dyDescent="0.3">
      <c r="A1456">
        <v>40</v>
      </c>
      <c r="B1456" t="s">
        <v>40</v>
      </c>
      <c r="C1456" t="s">
        <v>33</v>
      </c>
      <c r="D1456">
        <v>1308</v>
      </c>
      <c r="E1456" t="s">
        <v>42</v>
      </c>
      <c r="F1456">
        <v>14</v>
      </c>
      <c r="G1456">
        <v>3</v>
      </c>
      <c r="H1456" t="s">
        <v>48</v>
      </c>
      <c r="I1456">
        <v>1</v>
      </c>
      <c r="J1456">
        <v>1128</v>
      </c>
      <c r="K1456">
        <v>3</v>
      </c>
      <c r="L1456" s="17" t="s">
        <v>43</v>
      </c>
      <c r="M1456">
        <v>44</v>
      </c>
      <c r="N1456">
        <v>2</v>
      </c>
      <c r="O1456">
        <v>5</v>
      </c>
      <c r="P1456" t="s">
        <v>55</v>
      </c>
      <c r="Q1456">
        <v>3</v>
      </c>
      <c r="R1456" t="s">
        <v>38</v>
      </c>
      <c r="S1456" s="6">
        <v>19626</v>
      </c>
      <c r="T1456">
        <v>17544</v>
      </c>
      <c r="U1456">
        <v>1</v>
      </c>
      <c r="V1456" t="s">
        <v>39</v>
      </c>
      <c r="W1456" t="s">
        <v>40</v>
      </c>
      <c r="X1456">
        <v>14</v>
      </c>
      <c r="Y1456">
        <v>3</v>
      </c>
      <c r="Z1456">
        <v>1</v>
      </c>
      <c r="AA1456">
        <v>80</v>
      </c>
      <c r="AB1456">
        <v>0</v>
      </c>
      <c r="AC1456">
        <v>21</v>
      </c>
      <c r="AD1456">
        <v>2</v>
      </c>
      <c r="AE1456">
        <v>4</v>
      </c>
      <c r="AF1456">
        <v>20</v>
      </c>
      <c r="AG1456">
        <v>7</v>
      </c>
      <c r="AH1456">
        <v>4</v>
      </c>
      <c r="AI1456">
        <v>9</v>
      </c>
    </row>
    <row r="1457" spans="1:35" x14ac:dyDescent="0.3">
      <c r="A1457">
        <v>46</v>
      </c>
      <c r="B1457" t="s">
        <v>40</v>
      </c>
      <c r="C1457" t="s">
        <v>33</v>
      </c>
      <c r="D1457">
        <v>430</v>
      </c>
      <c r="E1457" t="s">
        <v>42</v>
      </c>
      <c r="F1457">
        <v>1</v>
      </c>
      <c r="G1457">
        <v>4</v>
      </c>
      <c r="H1457" t="s">
        <v>48</v>
      </c>
      <c r="I1457">
        <v>1</v>
      </c>
      <c r="J1457">
        <v>1069</v>
      </c>
      <c r="K1457">
        <v>4</v>
      </c>
      <c r="L1457" s="17" t="s">
        <v>43</v>
      </c>
      <c r="M1457">
        <v>40</v>
      </c>
      <c r="N1457">
        <v>3</v>
      </c>
      <c r="O1457">
        <v>5</v>
      </c>
      <c r="P1457" t="s">
        <v>55</v>
      </c>
      <c r="Q1457">
        <v>4</v>
      </c>
      <c r="R1457" t="s">
        <v>49</v>
      </c>
      <c r="S1457" s="6">
        <v>19627</v>
      </c>
      <c r="T1457">
        <v>21445</v>
      </c>
      <c r="U1457">
        <v>9</v>
      </c>
      <c r="V1457" t="s">
        <v>39</v>
      </c>
      <c r="W1457" t="s">
        <v>40</v>
      </c>
      <c r="X1457">
        <v>17</v>
      </c>
      <c r="Y1457">
        <v>3</v>
      </c>
      <c r="Z1457">
        <v>4</v>
      </c>
      <c r="AA1457">
        <v>80</v>
      </c>
      <c r="AB1457">
        <v>2</v>
      </c>
      <c r="AC1457">
        <v>23</v>
      </c>
      <c r="AD1457">
        <v>0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55</v>
      </c>
      <c r="B1458" t="s">
        <v>40</v>
      </c>
      <c r="C1458" t="s">
        <v>33</v>
      </c>
      <c r="D1458">
        <v>189</v>
      </c>
      <c r="E1458" t="s">
        <v>58</v>
      </c>
      <c r="F1458">
        <v>26</v>
      </c>
      <c r="G1458">
        <v>4</v>
      </c>
      <c r="H1458" t="s">
        <v>58</v>
      </c>
      <c r="I1458">
        <v>1</v>
      </c>
      <c r="J1458">
        <v>1973</v>
      </c>
      <c r="K1458">
        <v>3</v>
      </c>
      <c r="L1458" s="17" t="s">
        <v>43</v>
      </c>
      <c r="M1458">
        <v>71</v>
      </c>
      <c r="N1458">
        <v>4</v>
      </c>
      <c r="O1458">
        <v>5</v>
      </c>
      <c r="P1458" t="s">
        <v>53</v>
      </c>
      <c r="Q1458">
        <v>2</v>
      </c>
      <c r="R1458" t="s">
        <v>45</v>
      </c>
      <c r="S1458" s="6">
        <v>19636</v>
      </c>
      <c r="T1458">
        <v>25811</v>
      </c>
      <c r="U1458">
        <v>4</v>
      </c>
      <c r="V1458" t="s">
        <v>39</v>
      </c>
      <c r="W1458" t="s">
        <v>32</v>
      </c>
      <c r="X1458">
        <v>18</v>
      </c>
      <c r="Y1458">
        <v>3</v>
      </c>
      <c r="Z1458">
        <v>1</v>
      </c>
      <c r="AA1458">
        <v>80</v>
      </c>
      <c r="AB1458">
        <v>1</v>
      </c>
      <c r="AC1458">
        <v>35</v>
      </c>
      <c r="AD1458">
        <v>0</v>
      </c>
      <c r="AE1458">
        <v>3</v>
      </c>
      <c r="AF1458">
        <v>10</v>
      </c>
      <c r="AG1458">
        <v>9</v>
      </c>
      <c r="AH1458">
        <v>1</v>
      </c>
      <c r="AI1458">
        <v>4</v>
      </c>
    </row>
    <row r="1459" spans="1:35" x14ac:dyDescent="0.3">
      <c r="A1459">
        <v>47</v>
      </c>
      <c r="B1459" t="s">
        <v>40</v>
      </c>
      <c r="C1459" t="s">
        <v>33</v>
      </c>
      <c r="D1459">
        <v>1176</v>
      </c>
      <c r="E1459" t="s">
        <v>58</v>
      </c>
      <c r="F1459">
        <v>26</v>
      </c>
      <c r="G1459">
        <v>4</v>
      </c>
      <c r="H1459" t="s">
        <v>35</v>
      </c>
      <c r="I1459">
        <v>1</v>
      </c>
      <c r="J1459">
        <v>1625</v>
      </c>
      <c r="K1459">
        <v>4</v>
      </c>
      <c r="L1459" s="17" t="s">
        <v>36</v>
      </c>
      <c r="M1459">
        <v>98</v>
      </c>
      <c r="N1459">
        <v>3</v>
      </c>
      <c r="O1459">
        <v>5</v>
      </c>
      <c r="P1459" t="s">
        <v>53</v>
      </c>
      <c r="Q1459">
        <v>3</v>
      </c>
      <c r="R1459" t="s">
        <v>45</v>
      </c>
      <c r="S1459" s="6">
        <v>19658</v>
      </c>
      <c r="T1459">
        <v>5220</v>
      </c>
      <c r="U1459">
        <v>3</v>
      </c>
      <c r="V1459" t="s">
        <v>39</v>
      </c>
      <c r="W1459" t="s">
        <v>40</v>
      </c>
      <c r="X1459">
        <v>11</v>
      </c>
      <c r="Y1459">
        <v>3</v>
      </c>
      <c r="Z1459">
        <v>3</v>
      </c>
      <c r="AA1459">
        <v>80</v>
      </c>
      <c r="AB1459">
        <v>1</v>
      </c>
      <c r="AC1459">
        <v>27</v>
      </c>
      <c r="AD1459">
        <v>2</v>
      </c>
      <c r="AE1459">
        <v>3</v>
      </c>
      <c r="AF1459">
        <v>5</v>
      </c>
      <c r="AG1459">
        <v>2</v>
      </c>
      <c r="AH1459">
        <v>1</v>
      </c>
      <c r="AI1459">
        <v>0</v>
      </c>
    </row>
    <row r="1460" spans="1:35" x14ac:dyDescent="0.3">
      <c r="A1460">
        <v>48</v>
      </c>
      <c r="B1460" t="s">
        <v>40</v>
      </c>
      <c r="C1460" t="s">
        <v>33</v>
      </c>
      <c r="D1460">
        <v>1224</v>
      </c>
      <c r="E1460" t="s">
        <v>42</v>
      </c>
      <c r="F1460">
        <v>10</v>
      </c>
      <c r="G1460">
        <v>3</v>
      </c>
      <c r="H1460" t="s">
        <v>35</v>
      </c>
      <c r="I1460">
        <v>1</v>
      </c>
      <c r="J1460">
        <v>1867</v>
      </c>
      <c r="K1460">
        <v>4</v>
      </c>
      <c r="L1460" s="17" t="s">
        <v>43</v>
      </c>
      <c r="M1460">
        <v>91</v>
      </c>
      <c r="N1460">
        <v>2</v>
      </c>
      <c r="O1460">
        <v>5</v>
      </c>
      <c r="P1460" t="s">
        <v>55</v>
      </c>
      <c r="Q1460">
        <v>2</v>
      </c>
      <c r="R1460" t="s">
        <v>45</v>
      </c>
      <c r="S1460" s="6">
        <v>19665</v>
      </c>
      <c r="T1460">
        <v>13583</v>
      </c>
      <c r="U1460">
        <v>4</v>
      </c>
      <c r="V1460" t="s">
        <v>39</v>
      </c>
      <c r="W1460" t="s">
        <v>40</v>
      </c>
      <c r="X1460">
        <v>12</v>
      </c>
      <c r="Y1460">
        <v>3</v>
      </c>
      <c r="Z1460">
        <v>4</v>
      </c>
      <c r="AA1460">
        <v>80</v>
      </c>
      <c r="AB1460">
        <v>0</v>
      </c>
      <c r="AC1460">
        <v>29</v>
      </c>
      <c r="AD1460">
        <v>3</v>
      </c>
      <c r="AE1460">
        <v>3</v>
      </c>
      <c r="AF1460">
        <v>22</v>
      </c>
      <c r="AG1460">
        <v>10</v>
      </c>
      <c r="AH1460">
        <v>12</v>
      </c>
      <c r="AI1460">
        <v>9</v>
      </c>
    </row>
    <row r="1461" spans="1:35" x14ac:dyDescent="0.3">
      <c r="A1461">
        <v>58</v>
      </c>
      <c r="B1461" t="s">
        <v>40</v>
      </c>
      <c r="C1461" t="s">
        <v>33</v>
      </c>
      <c r="D1461">
        <v>1055</v>
      </c>
      <c r="E1461" t="s">
        <v>42</v>
      </c>
      <c r="F1461">
        <v>1</v>
      </c>
      <c r="G1461">
        <v>3</v>
      </c>
      <c r="H1461" t="s">
        <v>48</v>
      </c>
      <c r="I1461">
        <v>1</v>
      </c>
      <c r="J1461">
        <v>1423</v>
      </c>
      <c r="K1461">
        <v>4</v>
      </c>
      <c r="L1461" s="17" t="s">
        <v>36</v>
      </c>
      <c r="M1461">
        <v>76</v>
      </c>
      <c r="N1461">
        <v>3</v>
      </c>
      <c r="O1461">
        <v>5</v>
      </c>
      <c r="P1461" t="s">
        <v>55</v>
      </c>
      <c r="Q1461">
        <v>1</v>
      </c>
      <c r="R1461" t="s">
        <v>45</v>
      </c>
      <c r="S1461" s="6">
        <v>19701</v>
      </c>
      <c r="T1461">
        <v>22456</v>
      </c>
      <c r="U1461">
        <v>3</v>
      </c>
      <c r="V1461" t="s">
        <v>39</v>
      </c>
      <c r="W1461" t="s">
        <v>32</v>
      </c>
      <c r="X1461">
        <v>21</v>
      </c>
      <c r="Y1461">
        <v>4</v>
      </c>
      <c r="Z1461">
        <v>3</v>
      </c>
      <c r="AA1461">
        <v>80</v>
      </c>
      <c r="AB1461">
        <v>1</v>
      </c>
      <c r="AC1461">
        <v>32</v>
      </c>
      <c r="AD1461">
        <v>3</v>
      </c>
      <c r="AE1461">
        <v>3</v>
      </c>
      <c r="AF1461">
        <v>9</v>
      </c>
      <c r="AG1461">
        <v>8</v>
      </c>
      <c r="AH1461">
        <v>1</v>
      </c>
      <c r="AI1461">
        <v>5</v>
      </c>
    </row>
    <row r="1462" spans="1:35" x14ac:dyDescent="0.3">
      <c r="A1462">
        <v>56</v>
      </c>
      <c r="B1462" t="s">
        <v>40</v>
      </c>
      <c r="C1462" t="s">
        <v>33</v>
      </c>
      <c r="D1462">
        <v>206</v>
      </c>
      <c r="E1462" t="s">
        <v>58</v>
      </c>
      <c r="F1462">
        <v>8</v>
      </c>
      <c r="G1462">
        <v>4</v>
      </c>
      <c r="H1462" t="s">
        <v>35</v>
      </c>
      <c r="I1462">
        <v>1</v>
      </c>
      <c r="J1462">
        <v>1338</v>
      </c>
      <c r="K1462">
        <v>4</v>
      </c>
      <c r="L1462" s="17" t="s">
        <v>43</v>
      </c>
      <c r="M1462">
        <v>99</v>
      </c>
      <c r="N1462">
        <v>3</v>
      </c>
      <c r="O1462">
        <v>5</v>
      </c>
      <c r="P1462" t="s">
        <v>53</v>
      </c>
      <c r="Q1462">
        <v>2</v>
      </c>
      <c r="R1462" t="s">
        <v>38</v>
      </c>
      <c r="S1462" s="6">
        <v>19717</v>
      </c>
      <c r="T1462">
        <v>4022</v>
      </c>
      <c r="U1462">
        <v>6</v>
      </c>
      <c r="V1462" t="s">
        <v>39</v>
      </c>
      <c r="W1462" t="s">
        <v>40</v>
      </c>
      <c r="X1462">
        <v>14</v>
      </c>
      <c r="Y1462">
        <v>3</v>
      </c>
      <c r="Z1462">
        <v>1</v>
      </c>
      <c r="AA1462">
        <v>80</v>
      </c>
      <c r="AB1462">
        <v>0</v>
      </c>
      <c r="AC1462">
        <v>36</v>
      </c>
      <c r="AD1462">
        <v>4</v>
      </c>
      <c r="AE1462">
        <v>3</v>
      </c>
      <c r="AF1462">
        <v>7</v>
      </c>
      <c r="AG1462">
        <v>3</v>
      </c>
      <c r="AH1462">
        <v>7</v>
      </c>
      <c r="AI1462">
        <v>7</v>
      </c>
    </row>
    <row r="1463" spans="1:35" x14ac:dyDescent="0.3">
      <c r="A1463">
        <v>43</v>
      </c>
      <c r="B1463" t="s">
        <v>40</v>
      </c>
      <c r="C1463" t="s">
        <v>33</v>
      </c>
      <c r="D1463">
        <v>920</v>
      </c>
      <c r="E1463" t="s">
        <v>42</v>
      </c>
      <c r="F1463">
        <v>3</v>
      </c>
      <c r="G1463">
        <v>3</v>
      </c>
      <c r="H1463" t="s">
        <v>35</v>
      </c>
      <c r="I1463">
        <v>1</v>
      </c>
      <c r="J1463">
        <v>1255</v>
      </c>
      <c r="K1463">
        <v>3</v>
      </c>
      <c r="L1463" s="17" t="s">
        <v>43</v>
      </c>
      <c r="M1463">
        <v>96</v>
      </c>
      <c r="N1463">
        <v>1</v>
      </c>
      <c r="O1463">
        <v>5</v>
      </c>
      <c r="P1463" t="s">
        <v>55</v>
      </c>
      <c r="Q1463">
        <v>4</v>
      </c>
      <c r="R1463" t="s">
        <v>45</v>
      </c>
      <c r="S1463" s="6">
        <v>19740</v>
      </c>
      <c r="T1463">
        <v>18625</v>
      </c>
      <c r="U1463">
        <v>3</v>
      </c>
      <c r="V1463" t="s">
        <v>39</v>
      </c>
      <c r="W1463" t="s">
        <v>40</v>
      </c>
      <c r="X1463">
        <v>14</v>
      </c>
      <c r="Y1463">
        <v>3</v>
      </c>
      <c r="Z1463">
        <v>2</v>
      </c>
      <c r="AA1463">
        <v>80</v>
      </c>
      <c r="AB1463">
        <v>1</v>
      </c>
      <c r="AC1463">
        <v>25</v>
      </c>
      <c r="AD1463">
        <v>2</v>
      </c>
      <c r="AE1463">
        <v>3</v>
      </c>
      <c r="AF1463">
        <v>8</v>
      </c>
      <c r="AG1463">
        <v>7</v>
      </c>
      <c r="AH1463">
        <v>0</v>
      </c>
      <c r="AI1463">
        <v>7</v>
      </c>
    </row>
    <row r="1464" spans="1:35" x14ac:dyDescent="0.3">
      <c r="A1464">
        <v>40</v>
      </c>
      <c r="B1464" t="s">
        <v>40</v>
      </c>
      <c r="C1464" t="s">
        <v>33</v>
      </c>
      <c r="D1464">
        <v>611</v>
      </c>
      <c r="E1464" t="s">
        <v>34</v>
      </c>
      <c r="F1464">
        <v>7</v>
      </c>
      <c r="G1464">
        <v>4</v>
      </c>
      <c r="H1464" t="s">
        <v>48</v>
      </c>
      <c r="I1464">
        <v>1</v>
      </c>
      <c r="J1464">
        <v>1740</v>
      </c>
      <c r="K1464">
        <v>2</v>
      </c>
      <c r="L1464" s="17" t="s">
        <v>43</v>
      </c>
      <c r="M1464">
        <v>88</v>
      </c>
      <c r="N1464">
        <v>3</v>
      </c>
      <c r="O1464">
        <v>5</v>
      </c>
      <c r="P1464" t="s">
        <v>53</v>
      </c>
      <c r="Q1464">
        <v>2</v>
      </c>
      <c r="R1464" t="s">
        <v>38</v>
      </c>
      <c r="S1464" s="6">
        <v>19833</v>
      </c>
      <c r="T1464">
        <v>4349</v>
      </c>
      <c r="U1464">
        <v>1</v>
      </c>
      <c r="V1464" t="s">
        <v>39</v>
      </c>
      <c r="W1464" t="s">
        <v>40</v>
      </c>
      <c r="X1464">
        <v>14</v>
      </c>
      <c r="Y1464">
        <v>3</v>
      </c>
      <c r="Z1464">
        <v>2</v>
      </c>
      <c r="AA1464">
        <v>80</v>
      </c>
      <c r="AB1464">
        <v>0</v>
      </c>
      <c r="AC1464">
        <v>21</v>
      </c>
      <c r="AD1464">
        <v>3</v>
      </c>
      <c r="AE1464">
        <v>2</v>
      </c>
      <c r="AF1464">
        <v>21</v>
      </c>
      <c r="AG1464">
        <v>8</v>
      </c>
      <c r="AH1464">
        <v>12</v>
      </c>
      <c r="AI1464">
        <v>8</v>
      </c>
    </row>
    <row r="1465" spans="1:35" x14ac:dyDescent="0.3">
      <c r="A1465">
        <v>52</v>
      </c>
      <c r="B1465" t="s">
        <v>32</v>
      </c>
      <c r="C1465" t="s">
        <v>33</v>
      </c>
      <c r="D1465">
        <v>266</v>
      </c>
      <c r="E1465" t="s">
        <v>34</v>
      </c>
      <c r="F1465">
        <v>2</v>
      </c>
      <c r="G1465">
        <v>1</v>
      </c>
      <c r="H1465" t="s">
        <v>56</v>
      </c>
      <c r="I1465">
        <v>1</v>
      </c>
      <c r="J1465">
        <v>1038</v>
      </c>
      <c r="K1465">
        <v>1</v>
      </c>
      <c r="L1465" s="17" t="s">
        <v>36</v>
      </c>
      <c r="M1465">
        <v>57</v>
      </c>
      <c r="N1465">
        <v>1</v>
      </c>
      <c r="O1465">
        <v>5</v>
      </c>
      <c r="P1465" t="s">
        <v>53</v>
      </c>
      <c r="Q1465">
        <v>4</v>
      </c>
      <c r="R1465" t="s">
        <v>45</v>
      </c>
      <c r="S1465" s="6">
        <v>19845</v>
      </c>
      <c r="T1465">
        <v>25846</v>
      </c>
      <c r="U1465">
        <v>1</v>
      </c>
      <c r="V1465" t="s">
        <v>39</v>
      </c>
      <c r="W1465" t="s">
        <v>40</v>
      </c>
      <c r="X1465">
        <v>15</v>
      </c>
      <c r="Y1465">
        <v>3</v>
      </c>
      <c r="Z1465">
        <v>4</v>
      </c>
      <c r="AA1465">
        <v>80</v>
      </c>
      <c r="AB1465">
        <v>1</v>
      </c>
      <c r="AC1465">
        <v>33</v>
      </c>
      <c r="AD1465">
        <v>3</v>
      </c>
      <c r="AE1465">
        <v>3</v>
      </c>
      <c r="AF1465">
        <v>32</v>
      </c>
      <c r="AG1465">
        <v>14</v>
      </c>
      <c r="AH1465">
        <v>6</v>
      </c>
      <c r="AI1465">
        <v>9</v>
      </c>
    </row>
    <row r="1466" spans="1:35" x14ac:dyDescent="0.3">
      <c r="A1466">
        <v>51</v>
      </c>
      <c r="B1466" t="s">
        <v>40</v>
      </c>
      <c r="C1466" t="s">
        <v>41</v>
      </c>
      <c r="D1466">
        <v>237</v>
      </c>
      <c r="E1466" t="s">
        <v>34</v>
      </c>
      <c r="F1466">
        <v>9</v>
      </c>
      <c r="G1466">
        <v>3</v>
      </c>
      <c r="H1466" t="s">
        <v>35</v>
      </c>
      <c r="I1466">
        <v>1</v>
      </c>
      <c r="J1466">
        <v>1282</v>
      </c>
      <c r="K1466">
        <v>4</v>
      </c>
      <c r="L1466" s="17" t="s">
        <v>43</v>
      </c>
      <c r="M1466">
        <v>83</v>
      </c>
      <c r="N1466">
        <v>3</v>
      </c>
      <c r="O1466">
        <v>5</v>
      </c>
      <c r="P1466" t="s">
        <v>53</v>
      </c>
      <c r="Q1466">
        <v>2</v>
      </c>
      <c r="R1466" t="s">
        <v>49</v>
      </c>
      <c r="S1466" s="6">
        <v>19847</v>
      </c>
      <c r="T1466">
        <v>19196</v>
      </c>
      <c r="U1466">
        <v>4</v>
      </c>
      <c r="V1466" t="s">
        <v>39</v>
      </c>
      <c r="W1466" t="s">
        <v>32</v>
      </c>
      <c r="X1466">
        <v>24</v>
      </c>
      <c r="Y1466">
        <v>4</v>
      </c>
      <c r="Z1466">
        <v>1</v>
      </c>
      <c r="AA1466">
        <v>80</v>
      </c>
      <c r="AB1466">
        <v>1</v>
      </c>
      <c r="AC1466">
        <v>31</v>
      </c>
      <c r="AD1466">
        <v>5</v>
      </c>
      <c r="AE1466">
        <v>2</v>
      </c>
      <c r="AF1466">
        <v>29</v>
      </c>
      <c r="AG1466">
        <v>10</v>
      </c>
      <c r="AH1466">
        <v>11</v>
      </c>
      <c r="AI1466">
        <v>10</v>
      </c>
    </row>
    <row r="1467" spans="1:35" x14ac:dyDescent="0.3">
      <c r="A1467">
        <v>55</v>
      </c>
      <c r="B1467" t="s">
        <v>32</v>
      </c>
      <c r="C1467" t="s">
        <v>33</v>
      </c>
      <c r="D1467">
        <v>725</v>
      </c>
      <c r="E1467" t="s">
        <v>42</v>
      </c>
      <c r="F1467">
        <v>2</v>
      </c>
      <c r="G1467">
        <v>3</v>
      </c>
      <c r="H1467" t="s">
        <v>48</v>
      </c>
      <c r="I1467">
        <v>1</v>
      </c>
      <c r="J1467">
        <v>787</v>
      </c>
      <c r="K1467">
        <v>4</v>
      </c>
      <c r="L1467" s="17" t="s">
        <v>43</v>
      </c>
      <c r="M1467">
        <v>78</v>
      </c>
      <c r="N1467">
        <v>3</v>
      </c>
      <c r="O1467">
        <v>5</v>
      </c>
      <c r="P1467" t="s">
        <v>53</v>
      </c>
      <c r="Q1467">
        <v>1</v>
      </c>
      <c r="R1467" t="s">
        <v>45</v>
      </c>
      <c r="S1467" s="6">
        <v>19859</v>
      </c>
      <c r="T1467">
        <v>21199</v>
      </c>
      <c r="U1467">
        <v>5</v>
      </c>
      <c r="V1467" t="s">
        <v>39</v>
      </c>
      <c r="W1467" t="s">
        <v>32</v>
      </c>
      <c r="X1467">
        <v>13</v>
      </c>
      <c r="Y1467">
        <v>3</v>
      </c>
      <c r="Z1467">
        <v>4</v>
      </c>
      <c r="AA1467">
        <v>80</v>
      </c>
      <c r="AB1467">
        <v>1</v>
      </c>
      <c r="AC1467">
        <v>24</v>
      </c>
      <c r="AD1467">
        <v>2</v>
      </c>
      <c r="AE1467">
        <v>3</v>
      </c>
      <c r="AF1467">
        <v>5</v>
      </c>
      <c r="AG1467">
        <v>2</v>
      </c>
      <c r="AH1467">
        <v>1</v>
      </c>
      <c r="AI1467">
        <v>4</v>
      </c>
    </row>
    <row r="1468" spans="1:35" x14ac:dyDescent="0.3">
      <c r="A1468">
        <v>50</v>
      </c>
      <c r="B1468" t="s">
        <v>40</v>
      </c>
      <c r="C1468" t="s">
        <v>33</v>
      </c>
      <c r="D1468">
        <v>1452</v>
      </c>
      <c r="E1468" t="s">
        <v>42</v>
      </c>
      <c r="F1468">
        <v>11</v>
      </c>
      <c r="G1468">
        <v>3</v>
      </c>
      <c r="H1468" t="s">
        <v>35</v>
      </c>
      <c r="I1468">
        <v>1</v>
      </c>
      <c r="J1468">
        <v>226</v>
      </c>
      <c r="K1468">
        <v>3</v>
      </c>
      <c r="L1468" s="17" t="s">
        <v>36</v>
      </c>
      <c r="M1468">
        <v>53</v>
      </c>
      <c r="N1468">
        <v>3</v>
      </c>
      <c r="O1468">
        <v>5</v>
      </c>
      <c r="P1468" t="s">
        <v>53</v>
      </c>
      <c r="Q1468">
        <v>2</v>
      </c>
      <c r="R1468" t="s">
        <v>38</v>
      </c>
      <c r="S1468" s="6">
        <v>19926</v>
      </c>
      <c r="T1468">
        <v>17053</v>
      </c>
      <c r="U1468">
        <v>3</v>
      </c>
      <c r="V1468" t="s">
        <v>39</v>
      </c>
      <c r="W1468" t="s">
        <v>40</v>
      </c>
      <c r="X1468">
        <v>15</v>
      </c>
      <c r="Y1468">
        <v>3</v>
      </c>
      <c r="Z1468">
        <v>2</v>
      </c>
      <c r="AA1468">
        <v>80</v>
      </c>
      <c r="AB1468">
        <v>0</v>
      </c>
      <c r="AC1468">
        <v>21</v>
      </c>
      <c r="AD1468">
        <v>5</v>
      </c>
      <c r="AE1468">
        <v>3</v>
      </c>
      <c r="AF1468">
        <v>5</v>
      </c>
      <c r="AG1468">
        <v>4</v>
      </c>
      <c r="AH1468">
        <v>4</v>
      </c>
      <c r="AI1468">
        <v>4</v>
      </c>
    </row>
    <row r="1469" spans="1:35" x14ac:dyDescent="0.3">
      <c r="A1469">
        <v>56</v>
      </c>
      <c r="B1469" t="s">
        <v>40</v>
      </c>
      <c r="C1469" t="s">
        <v>33</v>
      </c>
      <c r="D1469">
        <v>718</v>
      </c>
      <c r="E1469" t="s">
        <v>42</v>
      </c>
      <c r="F1469">
        <v>4</v>
      </c>
      <c r="G1469">
        <v>4</v>
      </c>
      <c r="H1469" t="s">
        <v>57</v>
      </c>
      <c r="I1469">
        <v>1</v>
      </c>
      <c r="J1469">
        <v>1191</v>
      </c>
      <c r="K1469">
        <v>4</v>
      </c>
      <c r="L1469" s="17" t="s">
        <v>36</v>
      </c>
      <c r="M1469">
        <v>92</v>
      </c>
      <c r="N1469">
        <v>3</v>
      </c>
      <c r="O1469">
        <v>5</v>
      </c>
      <c r="P1469" t="s">
        <v>53</v>
      </c>
      <c r="Q1469">
        <v>1</v>
      </c>
      <c r="R1469" t="s">
        <v>49</v>
      </c>
      <c r="S1469" s="6">
        <v>19943</v>
      </c>
      <c r="T1469">
        <v>18575</v>
      </c>
      <c r="U1469">
        <v>4</v>
      </c>
      <c r="V1469" t="s">
        <v>39</v>
      </c>
      <c r="W1469" t="s">
        <v>40</v>
      </c>
      <c r="X1469">
        <v>13</v>
      </c>
      <c r="Y1469">
        <v>3</v>
      </c>
      <c r="Z1469">
        <v>4</v>
      </c>
      <c r="AA1469">
        <v>80</v>
      </c>
      <c r="AB1469">
        <v>1</v>
      </c>
      <c r="AC1469">
        <v>28</v>
      </c>
      <c r="AD1469">
        <v>2</v>
      </c>
      <c r="AE1469">
        <v>3</v>
      </c>
      <c r="AF1469">
        <v>5</v>
      </c>
      <c r="AG1469">
        <v>2</v>
      </c>
      <c r="AH1469">
        <v>4</v>
      </c>
      <c r="AI1469">
        <v>2</v>
      </c>
    </row>
    <row r="1470" spans="1:35" x14ac:dyDescent="0.3">
      <c r="A1470">
        <v>41</v>
      </c>
      <c r="B1470" t="s">
        <v>40</v>
      </c>
      <c r="C1470" t="s">
        <v>52</v>
      </c>
      <c r="D1470">
        <v>247</v>
      </c>
      <c r="E1470" t="s">
        <v>42</v>
      </c>
      <c r="F1470">
        <v>7</v>
      </c>
      <c r="G1470">
        <v>1</v>
      </c>
      <c r="H1470" t="s">
        <v>35</v>
      </c>
      <c r="I1470">
        <v>1</v>
      </c>
      <c r="J1470">
        <v>1035</v>
      </c>
      <c r="K1470">
        <v>2</v>
      </c>
      <c r="L1470" s="17" t="s">
        <v>36</v>
      </c>
      <c r="M1470">
        <v>55</v>
      </c>
      <c r="N1470">
        <v>1</v>
      </c>
      <c r="O1470">
        <v>5</v>
      </c>
      <c r="P1470" t="s">
        <v>55</v>
      </c>
      <c r="Q1470">
        <v>3</v>
      </c>
      <c r="R1470" t="s">
        <v>49</v>
      </c>
      <c r="S1470" s="6">
        <v>19973</v>
      </c>
      <c r="T1470">
        <v>20284</v>
      </c>
      <c r="U1470">
        <v>1</v>
      </c>
      <c r="V1470" t="s">
        <v>39</v>
      </c>
      <c r="W1470" t="s">
        <v>40</v>
      </c>
      <c r="X1470">
        <v>22</v>
      </c>
      <c r="Y1470">
        <v>4</v>
      </c>
      <c r="Z1470">
        <v>2</v>
      </c>
      <c r="AA1470">
        <v>80</v>
      </c>
      <c r="AB1470">
        <v>2</v>
      </c>
      <c r="AC1470">
        <v>21</v>
      </c>
      <c r="AD1470">
        <v>3</v>
      </c>
      <c r="AE1470">
        <v>3</v>
      </c>
      <c r="AF1470">
        <v>21</v>
      </c>
      <c r="AG1470">
        <v>16</v>
      </c>
      <c r="AH1470">
        <v>5</v>
      </c>
      <c r="AI1470">
        <v>10</v>
      </c>
    </row>
    <row r="1471" spans="1:35" x14ac:dyDescent="0.3">
      <c r="A1471">
        <v>52</v>
      </c>
      <c r="B1471" t="s">
        <v>40</v>
      </c>
      <c r="C1471" t="s">
        <v>33</v>
      </c>
      <c r="D1471">
        <v>699</v>
      </c>
      <c r="E1471" t="s">
        <v>42</v>
      </c>
      <c r="F1471">
        <v>1</v>
      </c>
      <c r="G1471">
        <v>4</v>
      </c>
      <c r="H1471" t="s">
        <v>35</v>
      </c>
      <c r="I1471">
        <v>1</v>
      </c>
      <c r="J1471">
        <v>259</v>
      </c>
      <c r="K1471">
        <v>3</v>
      </c>
      <c r="L1471" s="17" t="s">
        <v>43</v>
      </c>
      <c r="M1471">
        <v>65</v>
      </c>
      <c r="N1471">
        <v>2</v>
      </c>
      <c r="O1471">
        <v>5</v>
      </c>
      <c r="P1471" t="s">
        <v>53</v>
      </c>
      <c r="Q1471">
        <v>3</v>
      </c>
      <c r="R1471" t="s">
        <v>45</v>
      </c>
      <c r="S1471" s="6">
        <v>19999</v>
      </c>
      <c r="T1471">
        <v>5678</v>
      </c>
      <c r="U1471">
        <v>0</v>
      </c>
      <c r="V1471" t="s">
        <v>39</v>
      </c>
      <c r="W1471" t="s">
        <v>40</v>
      </c>
      <c r="X1471">
        <v>14</v>
      </c>
      <c r="Y1471">
        <v>3</v>
      </c>
      <c r="Z1471">
        <v>1</v>
      </c>
      <c r="AA1471">
        <v>80</v>
      </c>
      <c r="AB1471">
        <v>1</v>
      </c>
      <c r="AC1471">
        <v>34</v>
      </c>
      <c r="AD1471">
        <v>5</v>
      </c>
      <c r="AE1471">
        <v>3</v>
      </c>
      <c r="AF1471">
        <v>33</v>
      </c>
      <c r="AG1471">
        <v>18</v>
      </c>
      <c r="AH1471">
        <v>11</v>
      </c>
      <c r="AI1471">
        <v>9</v>
      </c>
    </row>
    <row r="1473" spans="2:9" x14ac:dyDescent="0.3">
      <c r="B1473">
        <f>COUNTIF(Table1[Attrition],"Yes")</f>
        <v>237</v>
      </c>
      <c r="I1473">
        <f>COUNT(Table1[EmployeeCount])</f>
        <v>1470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20C42-7613-44E9-B4DF-2A4255E13B2F}">
  <dimension ref="A2:P13"/>
  <sheetViews>
    <sheetView zoomScale="99" zoomScaleNormal="99" workbookViewId="0">
      <selection activeCell="M33" sqref="M33"/>
    </sheetView>
  </sheetViews>
  <sheetFormatPr defaultRowHeight="14.4" x14ac:dyDescent="0.3"/>
  <cols>
    <col min="1" max="1" width="29.33203125" customWidth="1"/>
    <col min="3" max="3" width="32.33203125" customWidth="1"/>
    <col min="5" max="5" width="0.5546875" hidden="1" customWidth="1"/>
    <col min="6" max="6" width="1" hidden="1" customWidth="1"/>
    <col min="7" max="7" width="10.44140625" hidden="1" customWidth="1"/>
    <col min="9" max="9" width="4.88671875" hidden="1" customWidth="1"/>
    <col min="10" max="10" width="36.109375" bestFit="1" customWidth="1"/>
    <col min="11" max="11" width="21.6640625" bestFit="1" customWidth="1"/>
    <col min="14" max="14" width="14.44140625" bestFit="1" customWidth="1"/>
    <col min="15" max="15" width="26" customWidth="1"/>
  </cols>
  <sheetData>
    <row r="2" spans="1:16" ht="25.8" x14ac:dyDescent="0.5">
      <c r="A2" s="21" t="s">
        <v>87</v>
      </c>
      <c r="B2" s="21"/>
      <c r="C2" s="21"/>
      <c r="D2" s="21"/>
      <c r="J2" s="21" t="s">
        <v>88</v>
      </c>
      <c r="K2" s="21"/>
      <c r="L2" s="21"/>
      <c r="M2" s="21"/>
      <c r="N2" s="21"/>
      <c r="O2" s="21"/>
      <c r="P2" s="21"/>
    </row>
    <row r="4" spans="1:16" ht="14.4" customHeight="1" x14ac:dyDescent="0.3">
      <c r="E4" s="4"/>
      <c r="J4" s="44" t="s">
        <v>100</v>
      </c>
      <c r="K4" s="44"/>
      <c r="L4" s="44"/>
      <c r="M4" s="44"/>
      <c r="N4" s="44"/>
      <c r="O4" s="44"/>
    </row>
    <row r="5" spans="1:16" ht="23.4" x14ac:dyDescent="0.45">
      <c r="A5" s="25" t="s">
        <v>61</v>
      </c>
      <c r="C5" s="25" t="s">
        <v>62</v>
      </c>
      <c r="J5" s="44"/>
      <c r="K5" s="44"/>
      <c r="L5" s="44"/>
      <c r="M5" s="44"/>
      <c r="N5" s="44"/>
      <c r="O5" s="44"/>
    </row>
    <row r="6" spans="1:16" ht="18" x14ac:dyDescent="0.3">
      <c r="A6" s="27">
        <f>COUNT(Table1[EmployeeCount])</f>
        <v>1470</v>
      </c>
      <c r="C6" s="28">
        <f>COUNTIF(Table1[Attrition],"Yes")</f>
        <v>237</v>
      </c>
      <c r="E6">
        <f>COUNTA(Table1[Attrition])</f>
        <v>1470</v>
      </c>
      <c r="F6">
        <f>COUNTA(Datasets!B2:B1463)</f>
        <v>1462</v>
      </c>
      <c r="J6" s="44"/>
      <c r="K6" s="44"/>
      <c r="L6" s="44"/>
      <c r="M6" s="44"/>
      <c r="N6" s="44"/>
      <c r="O6" s="44"/>
    </row>
    <row r="8" spans="1:16" ht="21" x14ac:dyDescent="0.4">
      <c r="A8" s="20" t="s">
        <v>63</v>
      </c>
    </row>
    <row r="9" spans="1:16" ht="18" x14ac:dyDescent="0.35">
      <c r="A9" s="26">
        <f>Datasets!B1473/Datasets!I1473</f>
        <v>0.16122448979591836</v>
      </c>
    </row>
    <row r="10" spans="1:16" ht="23.4" x14ac:dyDescent="0.45">
      <c r="A10" s="45" t="s">
        <v>99</v>
      </c>
      <c r="B10" s="45"/>
      <c r="C10" s="45"/>
      <c r="D10" s="45"/>
      <c r="J10" s="24" t="s">
        <v>64</v>
      </c>
      <c r="K10" s="24" t="s">
        <v>65</v>
      </c>
      <c r="N10" s="24" t="s">
        <v>66</v>
      </c>
      <c r="O10" s="24" t="str">
        <f>K10</f>
        <v>Attrition Count</v>
      </c>
    </row>
    <row r="11" spans="1:16" ht="23.4" x14ac:dyDescent="0.45">
      <c r="A11" s="43"/>
      <c r="B11" s="43"/>
      <c r="C11" s="43"/>
      <c r="J11" s="23" t="s">
        <v>34</v>
      </c>
      <c r="K11" s="23">
        <f>COUNTIFS(Table1[Department],' Data Understanding'!J11,Table1[Attrition],"Yes")</f>
        <v>92</v>
      </c>
      <c r="N11" s="23" t="s">
        <v>32</v>
      </c>
      <c r="O11" s="23">
        <f>COUNTIFS(Table1[Attrition],"Yes",Table1[OverTime],Datasets!W1452)</f>
        <v>110</v>
      </c>
    </row>
    <row r="12" spans="1:16" ht="23.4" x14ac:dyDescent="0.45">
      <c r="J12" s="23" t="s">
        <v>42</v>
      </c>
      <c r="K12" s="23">
        <f>COUNTIFS(Table1[Department],' Data Understanding'!J12,Table1[Attrition],"Yes")</f>
        <v>133</v>
      </c>
      <c r="N12" s="23" t="s">
        <v>40</v>
      </c>
      <c r="O12" s="23">
        <f>COUNTIFS(Table1[Attrition],"Yes",Table1[OverTime],Datasets!W3)</f>
        <v>110</v>
      </c>
    </row>
    <row r="13" spans="1:16" ht="23.4" x14ac:dyDescent="0.45">
      <c r="J13" s="23" t="s">
        <v>58</v>
      </c>
      <c r="K13" s="23">
        <f>COUNTIFS(Table1[Department],' Data Understanding'!J13,Table1[Attrition],"Yes")</f>
        <v>12</v>
      </c>
    </row>
  </sheetData>
  <mergeCells count="4">
    <mergeCell ref="A2:D2"/>
    <mergeCell ref="J2:P2"/>
    <mergeCell ref="J4:O6"/>
    <mergeCell ref="A10:D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53C7C-5FC3-461B-803E-FACFB0D11CAE}">
  <dimension ref="A1:S1473"/>
  <sheetViews>
    <sheetView workbookViewId="0">
      <selection activeCell="K16" sqref="K16"/>
    </sheetView>
  </sheetViews>
  <sheetFormatPr defaultRowHeight="18" x14ac:dyDescent="0.35"/>
  <cols>
    <col min="1" max="1" width="11.88671875" customWidth="1"/>
    <col min="2" max="2" width="23.109375" customWidth="1"/>
    <col min="3" max="3" width="17.5546875" customWidth="1"/>
    <col min="4" max="4" width="7.77734375" customWidth="1"/>
    <col min="5" max="5" width="8.33203125" style="22" customWidth="1"/>
    <col min="6" max="6" width="16.33203125" style="22" bestFit="1" customWidth="1"/>
    <col min="7" max="7" width="20.5546875" customWidth="1"/>
    <col min="8" max="8" width="16.88671875" customWidth="1"/>
    <col min="9" max="9" width="5" hidden="1" customWidth="1"/>
  </cols>
  <sheetData>
    <row r="1" spans="1:19" ht="21" x14ac:dyDescent="0.4">
      <c r="A1" s="35" t="s">
        <v>77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</row>
    <row r="3" spans="1:19" x14ac:dyDescent="0.35">
      <c r="A3" s="47" t="s">
        <v>104</v>
      </c>
      <c r="B3" s="47"/>
      <c r="C3" s="47"/>
      <c r="D3" s="16"/>
      <c r="E3" s="31" t="s">
        <v>0</v>
      </c>
      <c r="F3" s="22" t="s">
        <v>89</v>
      </c>
      <c r="J3" s="46" t="s">
        <v>101</v>
      </c>
      <c r="K3" s="46"/>
      <c r="L3" s="46"/>
      <c r="M3" s="46"/>
      <c r="N3" s="46"/>
      <c r="O3" s="46"/>
      <c r="P3" s="46"/>
      <c r="Q3" s="46"/>
      <c r="R3" s="46"/>
    </row>
    <row r="4" spans="1:19" ht="18" customHeight="1" x14ac:dyDescent="0.35">
      <c r="A4" s="47"/>
      <c r="B4" s="47"/>
      <c r="C4" s="47"/>
      <c r="E4" s="32">
        <v>20</v>
      </c>
      <c r="F4" s="22" t="str" cm="1">
        <f t="array" ref="F4">_xlfn.IFS(E4&lt;30,"Under",E4&lt;40,"between",E4&gt;=40,"plus")</f>
        <v>Under</v>
      </c>
      <c r="J4" s="46"/>
      <c r="K4" s="46"/>
      <c r="L4" s="46"/>
      <c r="M4" s="46"/>
      <c r="N4" s="46"/>
      <c r="O4" s="46"/>
      <c r="P4" s="46"/>
      <c r="Q4" s="46"/>
      <c r="R4" s="46"/>
    </row>
    <row r="5" spans="1:19" x14ac:dyDescent="0.35">
      <c r="E5" s="32">
        <v>18</v>
      </c>
      <c r="F5" s="22" t="str" cm="1">
        <f t="array" ref="F5">_xlfn.IFS(E5&lt;30,"Under",E5&lt;40,"between",E5&gt;=40,"plus")</f>
        <v>Under</v>
      </c>
      <c r="J5" s="46"/>
      <c r="K5" s="46"/>
      <c r="L5" s="46"/>
      <c r="M5" s="46"/>
      <c r="N5" s="46"/>
      <c r="O5" s="46"/>
      <c r="P5" s="46"/>
      <c r="Q5" s="46"/>
      <c r="R5" s="46"/>
    </row>
    <row r="6" spans="1:19" x14ac:dyDescent="0.35">
      <c r="A6" s="29" t="s">
        <v>80</v>
      </c>
      <c r="B6" s="29" t="s">
        <v>81</v>
      </c>
      <c r="C6" s="48"/>
      <c r="D6" s="48"/>
      <c r="E6" s="32">
        <v>28</v>
      </c>
      <c r="F6" s="22" t="str" cm="1">
        <f t="array" ref="F6">_xlfn.IFS(E6&lt;30,"Under",E6&lt;40,"between",E6&gt;=40,"plus")</f>
        <v>Under</v>
      </c>
    </row>
    <row r="7" spans="1:19" x14ac:dyDescent="0.35">
      <c r="A7" s="30">
        <f>COUNTIFS(Table1[Demographic Insights],"Male",Table1[Attrition],"Yes")</f>
        <v>150</v>
      </c>
      <c r="B7" s="30">
        <f>COUNTIFS(Table1[Demographic Insights],"Female",Table1[Attrition],"Yes")</f>
        <v>87</v>
      </c>
      <c r="C7" s="30"/>
      <c r="D7" s="30"/>
      <c r="E7" s="32">
        <v>30</v>
      </c>
      <c r="F7" s="22" t="str" cm="1">
        <f t="array" ref="F7">_xlfn.IFS(E7&lt;30,"Under",E7&lt;40,"between",E7&gt;=40,"plus")</f>
        <v>between</v>
      </c>
      <c r="G7" s="34" t="s">
        <v>90</v>
      </c>
      <c r="H7" s="34" t="s">
        <v>91</v>
      </c>
    </row>
    <row r="8" spans="1:19" x14ac:dyDescent="0.35">
      <c r="E8" s="32">
        <v>29</v>
      </c>
      <c r="F8" s="22" t="str" cm="1">
        <f t="array" ref="F8">_xlfn.IFS(E8&lt;30,"Under",E8&lt;40,"between",E8&gt;=40,"plus")</f>
        <v>Under</v>
      </c>
      <c r="G8" s="42" t="s">
        <v>78</v>
      </c>
      <c r="H8" s="33">
        <f>COUNTIFS(F4:F1473,"Under",Table1[Attrition],"Yes")</f>
        <v>91</v>
      </c>
    </row>
    <row r="9" spans="1:19" x14ac:dyDescent="0.35">
      <c r="E9" s="32">
        <v>19</v>
      </c>
      <c r="F9" s="22" t="str" cm="1">
        <f t="array" ref="F9">_xlfn.IFS(E9&lt;30,"Under",E9&lt;40,"between",E9&gt;=40,"plus")</f>
        <v>Under</v>
      </c>
      <c r="G9" s="42" t="s">
        <v>82</v>
      </c>
      <c r="H9" s="33">
        <f>COUNTIFS('Demographic Insights'!F4:F1473,"between",Table1[Attrition],"Yes")</f>
        <v>89</v>
      </c>
    </row>
    <row r="10" spans="1:19" x14ac:dyDescent="0.35">
      <c r="E10" s="32">
        <v>25</v>
      </c>
      <c r="F10" s="22" t="str" cm="1">
        <f t="array" ref="F10">_xlfn.IFS(E10&lt;30,"Under",E10&lt;40,"between",E10&gt;=40,"plus")</f>
        <v>Under</v>
      </c>
      <c r="G10" s="42" t="s">
        <v>79</v>
      </c>
      <c r="H10" s="33">
        <f>COUNTIFS(F4:F1473,"plus",Table1[Attrition],"Yes")</f>
        <v>57</v>
      </c>
    </row>
    <row r="11" spans="1:19" x14ac:dyDescent="0.35">
      <c r="E11" s="32">
        <v>31</v>
      </c>
      <c r="F11" s="22" t="str" cm="1">
        <f t="array" ref="F11">_xlfn.IFS(E11&lt;30,"Under",E11&lt;40,"between",E11&gt;=40,"plus")</f>
        <v>between</v>
      </c>
    </row>
    <row r="12" spans="1:19" x14ac:dyDescent="0.35">
      <c r="E12" s="32">
        <v>18</v>
      </c>
      <c r="F12" s="22" t="str" cm="1">
        <f t="array" ref="F12">_xlfn.IFS(E12&lt;30,"Under",E12&lt;40,"between",E12&gt;=40,"plus")</f>
        <v>Under</v>
      </c>
    </row>
    <row r="13" spans="1:19" x14ac:dyDescent="0.35">
      <c r="E13" s="32">
        <v>23</v>
      </c>
      <c r="F13" s="22" t="str" cm="1">
        <f t="array" ref="F13">_xlfn.IFS(E13&lt;30,"Under",E13&lt;40,"between",E13&gt;=40,"plus")</f>
        <v>Under</v>
      </c>
    </row>
    <row r="14" spans="1:19" x14ac:dyDescent="0.35">
      <c r="E14" s="32">
        <v>21</v>
      </c>
      <c r="F14" s="22" t="str" cm="1">
        <f t="array" ref="F14">_xlfn.IFS(E14&lt;30,"Under",E14&lt;40,"between",E14&gt;=40,"plus")</f>
        <v>Under</v>
      </c>
    </row>
    <row r="15" spans="1:19" x14ac:dyDescent="0.35">
      <c r="E15" s="32">
        <v>31</v>
      </c>
      <c r="F15" s="22" t="str" cm="1">
        <f t="array" ref="F15">_xlfn.IFS(E15&lt;30,"Under",E15&lt;40,"between",E15&gt;=40,"plus")</f>
        <v>between</v>
      </c>
    </row>
    <row r="16" spans="1:19" x14ac:dyDescent="0.35">
      <c r="E16" s="32">
        <v>30</v>
      </c>
      <c r="F16" s="22" t="str" cm="1">
        <f t="array" ref="F16">_xlfn.IFS(E16&lt;30,"Under",E16&lt;40,"between",E16&gt;=40,"plus")</f>
        <v>between</v>
      </c>
    </row>
    <row r="17" spans="5:6" x14ac:dyDescent="0.35">
      <c r="E17" s="32">
        <v>35</v>
      </c>
      <c r="F17" s="22" t="str" cm="1">
        <f t="array" ref="F17">_xlfn.IFS(E17&lt;30,"Under",E17&lt;40,"between",E17&gt;=40,"plus")</f>
        <v>between</v>
      </c>
    </row>
    <row r="18" spans="5:6" x14ac:dyDescent="0.35">
      <c r="E18" s="32">
        <v>31</v>
      </c>
      <c r="F18" s="22" t="str" cm="1">
        <f t="array" ref="F18">_xlfn.IFS(E18&lt;30,"Under",E18&lt;40,"between",E18&gt;=40,"plus")</f>
        <v>between</v>
      </c>
    </row>
    <row r="19" spans="5:6" x14ac:dyDescent="0.35">
      <c r="E19" s="32">
        <v>32</v>
      </c>
      <c r="F19" s="22" t="str" cm="1">
        <f t="array" ref="F19">_xlfn.IFS(E19&lt;30,"Under",E19&lt;40,"between",E19&gt;=40,"plus")</f>
        <v>between</v>
      </c>
    </row>
    <row r="20" spans="5:6" x14ac:dyDescent="0.35">
      <c r="E20" s="32">
        <v>21</v>
      </c>
      <c r="F20" s="22" t="str" cm="1">
        <f t="array" ref="F20">_xlfn.IFS(E20&lt;30,"Under",E20&lt;40,"between",E20&gt;=40,"plus")</f>
        <v>Under</v>
      </c>
    </row>
    <row r="21" spans="5:6" x14ac:dyDescent="0.35">
      <c r="E21" s="32">
        <v>18</v>
      </c>
      <c r="F21" s="22" t="str" cm="1">
        <f t="array" ref="F21">_xlfn.IFS(E21&lt;30,"Under",E21&lt;40,"between",E21&gt;=40,"plus")</f>
        <v>Under</v>
      </c>
    </row>
    <row r="22" spans="5:6" x14ac:dyDescent="0.35">
      <c r="E22" s="32">
        <v>19</v>
      </c>
      <c r="F22" s="22" t="str" cm="1">
        <f t="array" ref="F22">_xlfn.IFS(E22&lt;30,"Under",E22&lt;40,"between",E22&gt;=40,"plus")</f>
        <v>Under</v>
      </c>
    </row>
    <row r="23" spans="5:6" x14ac:dyDescent="0.35">
      <c r="E23" s="32">
        <v>18</v>
      </c>
      <c r="F23" s="22" t="str" cm="1">
        <f t="array" ref="F23">_xlfn.IFS(E23&lt;30,"Under",E23&lt;40,"between",E23&gt;=40,"plus")</f>
        <v>Under</v>
      </c>
    </row>
    <row r="24" spans="5:6" x14ac:dyDescent="0.35">
      <c r="E24" s="32">
        <v>24</v>
      </c>
      <c r="F24" s="22" t="str" cm="1">
        <f t="array" ref="F24">_xlfn.IFS(E24&lt;30,"Under",E24&lt;40,"between",E24&gt;=40,"plus")</f>
        <v>Under</v>
      </c>
    </row>
    <row r="25" spans="5:6" x14ac:dyDescent="0.35">
      <c r="E25" s="32">
        <v>28</v>
      </c>
      <c r="F25" s="22" t="str" cm="1">
        <f t="array" ref="F25">_xlfn.IFS(E25&lt;30,"Under",E25&lt;40,"between",E25&gt;=40,"plus")</f>
        <v>Under</v>
      </c>
    </row>
    <row r="26" spans="5:6" x14ac:dyDescent="0.35">
      <c r="E26" s="32">
        <v>18</v>
      </c>
      <c r="F26" s="22" t="str" cm="1">
        <f t="array" ref="F26">_xlfn.IFS(E26&lt;30,"Under",E26&lt;40,"between",E26&gt;=40,"plus")</f>
        <v>Under</v>
      </c>
    </row>
    <row r="27" spans="5:6" x14ac:dyDescent="0.35">
      <c r="E27" s="32">
        <v>23</v>
      </c>
      <c r="F27" s="22" t="str" cm="1">
        <f t="array" ref="F27">_xlfn.IFS(E27&lt;30,"Under",E27&lt;40,"between",E27&gt;=40,"plus")</f>
        <v>Under</v>
      </c>
    </row>
    <row r="28" spans="5:6" x14ac:dyDescent="0.35">
      <c r="E28" s="32">
        <v>18</v>
      </c>
      <c r="F28" s="22" t="str" cm="1">
        <f t="array" ref="F28">_xlfn.IFS(E28&lt;30,"Under",E28&lt;40,"between",E28&gt;=40,"plus")</f>
        <v>Under</v>
      </c>
    </row>
    <row r="29" spans="5:6" x14ac:dyDescent="0.35">
      <c r="E29" s="32">
        <v>19</v>
      </c>
      <c r="F29" s="22" t="str" cm="1">
        <f t="array" ref="F29">_xlfn.IFS(E29&lt;30,"Under",E29&lt;40,"between",E29&gt;=40,"plus")</f>
        <v>Under</v>
      </c>
    </row>
    <row r="30" spans="5:6" x14ac:dyDescent="0.35">
      <c r="E30" s="32">
        <v>38</v>
      </c>
      <c r="F30" s="22" t="str" cm="1">
        <f t="array" ref="F30">_xlfn.IFS(E30&lt;30,"Under",E30&lt;40,"between",E30&gt;=40,"plus")</f>
        <v>between</v>
      </c>
    </row>
    <row r="31" spans="5:6" x14ac:dyDescent="0.35">
      <c r="E31" s="32">
        <v>27</v>
      </c>
      <c r="F31" s="22" t="str" cm="1">
        <f t="array" ref="F31">_xlfn.IFS(E31&lt;30,"Under",E31&lt;40,"between",E31&gt;=40,"plus")</f>
        <v>Under</v>
      </c>
    </row>
    <row r="32" spans="5:6" x14ac:dyDescent="0.35">
      <c r="E32" s="32">
        <v>23</v>
      </c>
      <c r="F32" s="22" t="str" cm="1">
        <f t="array" ref="F32">_xlfn.IFS(E32&lt;30,"Under",E32&lt;40,"between",E32&gt;=40,"plus")</f>
        <v>Under</v>
      </c>
    </row>
    <row r="33" spans="5:6" x14ac:dyDescent="0.35">
      <c r="E33" s="32">
        <v>19</v>
      </c>
      <c r="F33" s="22" t="str" cm="1">
        <f t="array" ref="F33">_xlfn.IFS(E33&lt;30,"Under",E33&lt;40,"between",E33&gt;=40,"plus")</f>
        <v>Under</v>
      </c>
    </row>
    <row r="34" spans="5:6" x14ac:dyDescent="0.35">
      <c r="E34" s="32">
        <v>18</v>
      </c>
      <c r="F34" s="22" t="str" cm="1">
        <f t="array" ref="F34">_xlfn.IFS(E34&lt;30,"Under",E34&lt;40,"between",E34&gt;=40,"plus")</f>
        <v>Under</v>
      </c>
    </row>
    <row r="35" spans="5:6" x14ac:dyDescent="0.35">
      <c r="E35" s="32">
        <v>18</v>
      </c>
      <c r="F35" s="22" t="str" cm="1">
        <f t="array" ref="F35">_xlfn.IFS(E35&lt;30,"Under",E35&lt;40,"between",E35&gt;=40,"plus")</f>
        <v>Under</v>
      </c>
    </row>
    <row r="36" spans="5:6" x14ac:dyDescent="0.35">
      <c r="E36" s="32">
        <v>35</v>
      </c>
      <c r="F36" s="22" t="str" cm="1">
        <f t="array" ref="F36">_xlfn.IFS(E36&lt;30,"Under",E36&lt;40,"between",E36&gt;=40,"plus")</f>
        <v>between</v>
      </c>
    </row>
    <row r="37" spans="5:6" x14ac:dyDescent="0.35">
      <c r="E37" s="32">
        <v>40</v>
      </c>
      <c r="F37" s="22" t="str" cm="1">
        <f t="array" ref="F37">_xlfn.IFS(E37&lt;30,"Under",E37&lt;40,"between",E37&gt;=40,"plus")</f>
        <v>plus</v>
      </c>
    </row>
    <row r="38" spans="5:6" x14ac:dyDescent="0.35">
      <c r="E38" s="32">
        <v>26</v>
      </c>
      <c r="F38" s="22" t="str" cm="1">
        <f t="array" ref="F38">_xlfn.IFS(E38&lt;30,"Under",E38&lt;40,"between",E38&gt;=40,"plus")</f>
        <v>Under</v>
      </c>
    </row>
    <row r="39" spans="5:6" x14ac:dyDescent="0.35">
      <c r="E39" s="32">
        <v>34</v>
      </c>
      <c r="F39" s="22" t="str" cm="1">
        <f t="array" ref="F39">_xlfn.IFS(E39&lt;30,"Under",E39&lt;40,"between",E39&gt;=40,"plus")</f>
        <v>between</v>
      </c>
    </row>
    <row r="40" spans="5:6" x14ac:dyDescent="0.35">
      <c r="E40" s="32">
        <v>33</v>
      </c>
      <c r="F40" s="22" t="str" cm="1">
        <f t="array" ref="F40">_xlfn.IFS(E40&lt;30,"Under",E40&lt;40,"between",E40&gt;=40,"plus")</f>
        <v>between</v>
      </c>
    </row>
    <row r="41" spans="5:6" x14ac:dyDescent="0.35">
      <c r="E41" s="32">
        <v>44</v>
      </c>
      <c r="F41" s="22" t="str" cm="1">
        <f t="array" ref="F41">_xlfn.IFS(E41&lt;30,"Under",E41&lt;40,"between",E41&gt;=40,"plus")</f>
        <v>plus</v>
      </c>
    </row>
    <row r="42" spans="5:6" x14ac:dyDescent="0.35">
      <c r="E42" s="32">
        <v>36</v>
      </c>
      <c r="F42" s="22" t="str" cm="1">
        <f t="array" ref="F42">_xlfn.IFS(E42&lt;30,"Under",E42&lt;40,"between",E42&gt;=40,"plus")</f>
        <v>between</v>
      </c>
    </row>
    <row r="43" spans="5:6" x14ac:dyDescent="0.35">
      <c r="E43" s="32">
        <v>35</v>
      </c>
      <c r="F43" s="22" t="str" cm="1">
        <f t="array" ref="F43">_xlfn.IFS(E43&lt;30,"Under",E43&lt;40,"between",E43&gt;=40,"plus")</f>
        <v>between</v>
      </c>
    </row>
    <row r="44" spans="5:6" x14ac:dyDescent="0.35">
      <c r="E44" s="32">
        <v>40</v>
      </c>
      <c r="F44" s="22" t="str" cm="1">
        <f t="array" ref="F44">_xlfn.IFS(E44&lt;30,"Under",E44&lt;40,"between",E44&gt;=40,"plus")</f>
        <v>plus</v>
      </c>
    </row>
    <row r="45" spans="5:6" x14ac:dyDescent="0.35">
      <c r="E45" s="32">
        <v>35</v>
      </c>
      <c r="F45" s="22" t="str" cm="1">
        <f t="array" ref="F45">_xlfn.IFS(E45&lt;30,"Under",E45&lt;40,"between",E45&gt;=40,"plus")</f>
        <v>between</v>
      </c>
    </row>
    <row r="46" spans="5:6" x14ac:dyDescent="0.35">
      <c r="E46" s="32">
        <v>27</v>
      </c>
      <c r="F46" s="22" t="str" cm="1">
        <f t="array" ref="F46">_xlfn.IFS(E46&lt;30,"Under",E46&lt;40,"between",E46&gt;=40,"plus")</f>
        <v>Under</v>
      </c>
    </row>
    <row r="47" spans="5:6" x14ac:dyDescent="0.35">
      <c r="E47" s="32">
        <v>28</v>
      </c>
      <c r="F47" s="22" t="str" cm="1">
        <f t="array" ref="F47">_xlfn.IFS(E47&lt;30,"Under",E47&lt;40,"between",E47&gt;=40,"plus")</f>
        <v>Under</v>
      </c>
    </row>
    <row r="48" spans="5:6" x14ac:dyDescent="0.35">
      <c r="E48" s="32">
        <v>33</v>
      </c>
      <c r="F48" s="22" t="str" cm="1">
        <f t="array" ref="F48">_xlfn.IFS(E48&lt;30,"Under",E48&lt;40,"between",E48&gt;=40,"plus")</f>
        <v>between</v>
      </c>
    </row>
    <row r="49" spans="5:6" x14ac:dyDescent="0.35">
      <c r="E49" s="32">
        <v>34</v>
      </c>
      <c r="F49" s="22" t="str" cm="1">
        <f t="array" ref="F49">_xlfn.IFS(E49&lt;30,"Under",E49&lt;40,"between",E49&gt;=40,"plus")</f>
        <v>between</v>
      </c>
    </row>
    <row r="50" spans="5:6" x14ac:dyDescent="0.35">
      <c r="E50" s="32">
        <v>30</v>
      </c>
      <c r="F50" s="22" t="str" cm="1">
        <f t="array" ref="F50">_xlfn.IFS(E50&lt;30,"Under",E50&lt;40,"between",E50&gt;=40,"plus")</f>
        <v>between</v>
      </c>
    </row>
    <row r="51" spans="5:6" x14ac:dyDescent="0.35">
      <c r="E51" s="32">
        <v>24</v>
      </c>
      <c r="F51" s="22" t="str" cm="1">
        <f t="array" ref="F51">_xlfn.IFS(E51&lt;30,"Under",E51&lt;40,"between",E51&gt;=40,"plus")</f>
        <v>Under</v>
      </c>
    </row>
    <row r="52" spans="5:6" x14ac:dyDescent="0.35">
      <c r="E52" s="32">
        <v>44</v>
      </c>
      <c r="F52" s="22" t="str" cm="1">
        <f t="array" ref="F52">_xlfn.IFS(E52&lt;30,"Under",E52&lt;40,"between",E52&gt;=40,"plus")</f>
        <v>plus</v>
      </c>
    </row>
    <row r="53" spans="5:6" x14ac:dyDescent="0.35">
      <c r="E53" s="32">
        <v>26</v>
      </c>
      <c r="F53" s="22" t="str" cm="1">
        <f t="array" ref="F53">_xlfn.IFS(E53&lt;30,"Under",E53&lt;40,"between",E53&gt;=40,"plus")</f>
        <v>Under</v>
      </c>
    </row>
    <row r="54" spans="5:6" x14ac:dyDescent="0.35">
      <c r="E54" s="32">
        <v>20</v>
      </c>
      <c r="F54" s="22" t="str" cm="1">
        <f t="array" ref="F54">_xlfn.IFS(E54&lt;30,"Under",E54&lt;40,"between",E54&gt;=40,"plus")</f>
        <v>Under</v>
      </c>
    </row>
    <row r="55" spans="5:6" x14ac:dyDescent="0.35">
      <c r="E55" s="32">
        <v>28</v>
      </c>
      <c r="F55" s="22" t="str" cm="1">
        <f t="array" ref="F55">_xlfn.IFS(E55&lt;30,"Under",E55&lt;40,"between",E55&gt;=40,"plus")</f>
        <v>Under</v>
      </c>
    </row>
    <row r="56" spans="5:6" x14ac:dyDescent="0.35">
      <c r="E56" s="32">
        <v>27</v>
      </c>
      <c r="F56" s="22" t="str" cm="1">
        <f t="array" ref="F56">_xlfn.IFS(E56&lt;30,"Under",E56&lt;40,"between",E56&gt;=40,"plus")</f>
        <v>Under</v>
      </c>
    </row>
    <row r="57" spans="5:6" x14ac:dyDescent="0.35">
      <c r="E57" s="32">
        <v>29</v>
      </c>
      <c r="F57" s="22" t="str" cm="1">
        <f t="array" ref="F57">_xlfn.IFS(E57&lt;30,"Under",E57&lt;40,"between",E57&gt;=40,"plus")</f>
        <v>Under</v>
      </c>
    </row>
    <row r="58" spans="5:6" x14ac:dyDescent="0.35">
      <c r="E58" s="32">
        <v>26</v>
      </c>
      <c r="F58" s="22" t="str" cm="1">
        <f t="array" ref="F58">_xlfn.IFS(E58&lt;30,"Under",E58&lt;40,"between",E58&gt;=40,"plus")</f>
        <v>Under</v>
      </c>
    </row>
    <row r="59" spans="5:6" x14ac:dyDescent="0.35">
      <c r="E59" s="32">
        <v>29</v>
      </c>
      <c r="F59" s="22" t="str" cm="1">
        <f t="array" ref="F59">_xlfn.IFS(E59&lt;30,"Under",E59&lt;40,"between",E59&gt;=40,"plus")</f>
        <v>Under</v>
      </c>
    </row>
    <row r="60" spans="5:6" x14ac:dyDescent="0.35">
      <c r="E60" s="32">
        <v>30</v>
      </c>
      <c r="F60" s="22" t="str" cm="1">
        <f t="array" ref="F60">_xlfn.IFS(E60&lt;30,"Under",E60&lt;40,"between",E60&gt;=40,"plus")</f>
        <v>between</v>
      </c>
    </row>
    <row r="61" spans="5:6" x14ac:dyDescent="0.35">
      <c r="E61" s="32">
        <v>56</v>
      </c>
      <c r="F61" s="22" t="str" cm="1">
        <f t="array" ref="F61">_xlfn.IFS(E61&lt;30,"Under",E61&lt;40,"between",E61&gt;=40,"plus")</f>
        <v>plus</v>
      </c>
    </row>
    <row r="62" spans="5:6" x14ac:dyDescent="0.35">
      <c r="E62" s="32">
        <v>28</v>
      </c>
      <c r="F62" s="22" t="str" cm="1">
        <f t="array" ref="F62">_xlfn.IFS(E62&lt;30,"Under",E62&lt;40,"between",E62&gt;=40,"plus")</f>
        <v>Under</v>
      </c>
    </row>
    <row r="63" spans="5:6" x14ac:dyDescent="0.35">
      <c r="E63" s="32">
        <v>21</v>
      </c>
      <c r="F63" s="22" t="str" cm="1">
        <f t="array" ref="F63">_xlfn.IFS(E63&lt;30,"Under",E63&lt;40,"between",E63&gt;=40,"plus")</f>
        <v>Under</v>
      </c>
    </row>
    <row r="64" spans="5:6" x14ac:dyDescent="0.35">
      <c r="E64" s="32">
        <v>37</v>
      </c>
      <c r="F64" s="22" t="str" cm="1">
        <f t="array" ref="F64">_xlfn.IFS(E64&lt;30,"Under",E64&lt;40,"between",E64&gt;=40,"plus")</f>
        <v>between</v>
      </c>
    </row>
    <row r="65" spans="5:6" x14ac:dyDescent="0.35">
      <c r="E65" s="32">
        <v>23</v>
      </c>
      <c r="F65" s="22" t="str" cm="1">
        <f t="array" ref="F65">_xlfn.IFS(E65&lt;30,"Under",E65&lt;40,"between",E65&gt;=40,"plus")</f>
        <v>Under</v>
      </c>
    </row>
    <row r="66" spans="5:6" x14ac:dyDescent="0.35">
      <c r="E66" s="32">
        <v>35</v>
      </c>
      <c r="F66" s="22" t="str" cm="1">
        <f t="array" ref="F66">_xlfn.IFS(E66&lt;30,"Under",E66&lt;40,"between",E66&gt;=40,"plus")</f>
        <v>between</v>
      </c>
    </row>
    <row r="67" spans="5:6" x14ac:dyDescent="0.35">
      <c r="E67" s="32">
        <v>51</v>
      </c>
      <c r="F67" s="22" t="str" cm="1">
        <f t="array" ref="F67">_xlfn.IFS(E67&lt;30,"Under",E67&lt;40,"between",E67&gt;=40,"plus")</f>
        <v>plus</v>
      </c>
    </row>
    <row r="68" spans="5:6" x14ac:dyDescent="0.35">
      <c r="E68" s="32">
        <v>28</v>
      </c>
      <c r="F68" s="22" t="str" cm="1">
        <f t="array" ref="F68">_xlfn.IFS(E68&lt;30,"Under",E68&lt;40,"between",E68&gt;=40,"plus")</f>
        <v>Under</v>
      </c>
    </row>
    <row r="69" spans="5:6" x14ac:dyDescent="0.35">
      <c r="E69" s="32">
        <v>30</v>
      </c>
      <c r="F69" s="22" t="str" cm="1">
        <f t="array" ref="F69">_xlfn.IFS(E69&lt;30,"Under",E69&lt;40,"between",E69&gt;=40,"plus")</f>
        <v>between</v>
      </c>
    </row>
    <row r="70" spans="5:6" x14ac:dyDescent="0.35">
      <c r="E70" s="32">
        <v>39</v>
      </c>
      <c r="F70" s="22" t="str" cm="1">
        <f t="array" ref="F70">_xlfn.IFS(E70&lt;30,"Under",E70&lt;40,"between",E70&gt;=40,"plus")</f>
        <v>between</v>
      </c>
    </row>
    <row r="71" spans="5:6" x14ac:dyDescent="0.35">
      <c r="E71" s="32">
        <v>36</v>
      </c>
      <c r="F71" s="22" t="str" cm="1">
        <f t="array" ref="F71">_xlfn.IFS(E71&lt;30,"Under",E71&lt;40,"between",E71&gt;=40,"plus")</f>
        <v>between</v>
      </c>
    </row>
    <row r="72" spans="5:6" x14ac:dyDescent="0.35">
      <c r="E72" s="32">
        <v>43</v>
      </c>
      <c r="F72" s="22" t="str" cm="1">
        <f t="array" ref="F72">_xlfn.IFS(E72&lt;30,"Under",E72&lt;40,"between",E72&gt;=40,"plus")</f>
        <v>plus</v>
      </c>
    </row>
    <row r="73" spans="5:6" x14ac:dyDescent="0.35">
      <c r="E73" s="32">
        <v>37</v>
      </c>
      <c r="F73" s="22" t="str" cm="1">
        <f t="array" ref="F73">_xlfn.IFS(E73&lt;30,"Under",E73&lt;40,"between",E73&gt;=40,"plus")</f>
        <v>between</v>
      </c>
    </row>
    <row r="74" spans="5:6" x14ac:dyDescent="0.35">
      <c r="E74" s="32">
        <v>42</v>
      </c>
      <c r="F74" s="22" t="str" cm="1">
        <f t="array" ref="F74">_xlfn.IFS(E74&lt;30,"Under",E74&lt;40,"between",E74&gt;=40,"plus")</f>
        <v>plus</v>
      </c>
    </row>
    <row r="75" spans="5:6" x14ac:dyDescent="0.35">
      <c r="E75" s="32">
        <v>25</v>
      </c>
      <c r="F75" s="22" t="str" cm="1">
        <f t="array" ref="F75">_xlfn.IFS(E75&lt;30,"Under",E75&lt;40,"between",E75&gt;=40,"plus")</f>
        <v>Under</v>
      </c>
    </row>
    <row r="76" spans="5:6" x14ac:dyDescent="0.35">
      <c r="E76" s="32">
        <v>25</v>
      </c>
      <c r="F76" s="22" t="str" cm="1">
        <f t="array" ref="F76">_xlfn.IFS(E76&lt;30,"Under",E76&lt;40,"between",E76&gt;=40,"plus")</f>
        <v>Under</v>
      </c>
    </row>
    <row r="77" spans="5:6" x14ac:dyDescent="0.35">
      <c r="E77" s="32">
        <v>30</v>
      </c>
      <c r="F77" s="22" t="str" cm="1">
        <f t="array" ref="F77">_xlfn.IFS(E77&lt;30,"Under",E77&lt;40,"between",E77&gt;=40,"plus")</f>
        <v>between</v>
      </c>
    </row>
    <row r="78" spans="5:6" x14ac:dyDescent="0.35">
      <c r="E78" s="32">
        <v>27</v>
      </c>
      <c r="F78" s="22" t="str" cm="1">
        <f t="array" ref="F78">_xlfn.IFS(E78&lt;30,"Under",E78&lt;40,"between",E78&gt;=40,"plus")</f>
        <v>Under</v>
      </c>
    </row>
    <row r="79" spans="5:6" x14ac:dyDescent="0.35">
      <c r="E79" s="32">
        <v>47</v>
      </c>
      <c r="F79" s="22" t="str" cm="1">
        <f t="array" ref="F79">_xlfn.IFS(E79&lt;30,"Under",E79&lt;40,"between",E79&gt;=40,"plus")</f>
        <v>plus</v>
      </c>
    </row>
    <row r="80" spans="5:6" x14ac:dyDescent="0.35">
      <c r="E80" s="32">
        <v>41</v>
      </c>
      <c r="F80" s="22" t="str" cm="1">
        <f t="array" ref="F80">_xlfn.IFS(E80&lt;30,"Under",E80&lt;40,"between",E80&gt;=40,"plus")</f>
        <v>plus</v>
      </c>
    </row>
    <row r="81" spans="5:6" x14ac:dyDescent="0.35">
      <c r="E81" s="32">
        <v>31</v>
      </c>
      <c r="F81" s="22" t="str" cm="1">
        <f t="array" ref="F81">_xlfn.IFS(E81&lt;30,"Under",E81&lt;40,"between",E81&gt;=40,"plus")</f>
        <v>between</v>
      </c>
    </row>
    <row r="82" spans="5:6" x14ac:dyDescent="0.35">
      <c r="E82" s="32">
        <v>29</v>
      </c>
      <c r="F82" s="22" t="str" cm="1">
        <f t="array" ref="F82">_xlfn.IFS(E82&lt;30,"Under",E82&lt;40,"between",E82&gt;=40,"plus")</f>
        <v>Under</v>
      </c>
    </row>
    <row r="83" spans="5:6" x14ac:dyDescent="0.35">
      <c r="E83" s="32">
        <v>37</v>
      </c>
      <c r="F83" s="22" t="str" cm="1">
        <f t="array" ref="F83">_xlfn.IFS(E83&lt;30,"Under",E83&lt;40,"between",E83&gt;=40,"plus")</f>
        <v>between</v>
      </c>
    </row>
    <row r="84" spans="5:6" x14ac:dyDescent="0.35">
      <c r="E84" s="32">
        <v>29</v>
      </c>
      <c r="F84" s="22" t="str" cm="1">
        <f t="array" ref="F84">_xlfn.IFS(E84&lt;30,"Under",E84&lt;40,"between",E84&gt;=40,"plus")</f>
        <v>Under</v>
      </c>
    </row>
    <row r="85" spans="5:6" x14ac:dyDescent="0.35">
      <c r="E85" s="32">
        <v>19</v>
      </c>
      <c r="F85" s="22" t="str" cm="1">
        <f t="array" ref="F85">_xlfn.IFS(E85&lt;30,"Under",E85&lt;40,"between",E85&gt;=40,"plus")</f>
        <v>Under</v>
      </c>
    </row>
    <row r="86" spans="5:6" x14ac:dyDescent="0.35">
      <c r="E86" s="32">
        <v>24</v>
      </c>
      <c r="F86" s="22" t="str" cm="1">
        <f t="array" ref="F86">_xlfn.IFS(E86&lt;30,"Under",E86&lt;40,"between",E86&gt;=40,"plus")</f>
        <v>Under</v>
      </c>
    </row>
    <row r="87" spans="5:6" x14ac:dyDescent="0.35">
      <c r="E87" s="32">
        <v>41</v>
      </c>
      <c r="F87" s="22" t="str" cm="1">
        <f t="array" ref="F87">_xlfn.IFS(E87&lt;30,"Under",E87&lt;40,"between",E87&gt;=40,"plus")</f>
        <v>plus</v>
      </c>
    </row>
    <row r="88" spans="5:6" x14ac:dyDescent="0.35">
      <c r="E88" s="32">
        <v>30</v>
      </c>
      <c r="F88" s="22" t="str" cm="1">
        <f t="array" ref="F88">_xlfn.IFS(E88&lt;30,"Under",E88&lt;40,"between",E88&gt;=40,"plus")</f>
        <v>between</v>
      </c>
    </row>
    <row r="89" spans="5:6" x14ac:dyDescent="0.35">
      <c r="E89" s="32">
        <v>45</v>
      </c>
      <c r="F89" s="22" t="str" cm="1">
        <f t="array" ref="F89">_xlfn.IFS(E89&lt;30,"Under",E89&lt;40,"between",E89&gt;=40,"plus")</f>
        <v>plus</v>
      </c>
    </row>
    <row r="90" spans="5:6" x14ac:dyDescent="0.35">
      <c r="E90" s="32">
        <v>38</v>
      </c>
      <c r="F90" s="22" t="str" cm="1">
        <f t="array" ref="F90">_xlfn.IFS(E90&lt;30,"Under",E90&lt;40,"between",E90&gt;=40,"plus")</f>
        <v>between</v>
      </c>
    </row>
    <row r="91" spans="5:6" x14ac:dyDescent="0.35">
      <c r="E91" s="32">
        <v>30</v>
      </c>
      <c r="F91" s="22" t="str" cm="1">
        <f t="array" ref="F91">_xlfn.IFS(E91&lt;30,"Under",E91&lt;40,"between",E91&gt;=40,"plus")</f>
        <v>between</v>
      </c>
    </row>
    <row r="92" spans="5:6" x14ac:dyDescent="0.35">
      <c r="E92" s="32">
        <v>36</v>
      </c>
      <c r="F92" s="22" t="str" cm="1">
        <f t="array" ref="F92">_xlfn.IFS(E92&lt;30,"Under",E92&lt;40,"between",E92&gt;=40,"plus")</f>
        <v>between</v>
      </c>
    </row>
    <row r="93" spans="5:6" x14ac:dyDescent="0.35">
      <c r="E93" s="32">
        <v>28</v>
      </c>
      <c r="F93" s="22" t="str" cm="1">
        <f t="array" ref="F93">_xlfn.IFS(E93&lt;30,"Under",E93&lt;40,"between",E93&gt;=40,"plus")</f>
        <v>Under</v>
      </c>
    </row>
    <row r="94" spans="5:6" x14ac:dyDescent="0.35">
      <c r="E94" s="32">
        <v>24</v>
      </c>
      <c r="F94" s="22" t="str" cm="1">
        <f t="array" ref="F94">_xlfn.IFS(E94&lt;30,"Under",E94&lt;40,"between",E94&gt;=40,"plus")</f>
        <v>Under</v>
      </c>
    </row>
    <row r="95" spans="5:6" x14ac:dyDescent="0.35">
      <c r="E95" s="32">
        <v>26</v>
      </c>
      <c r="F95" s="22" t="str" cm="1">
        <f t="array" ref="F95">_xlfn.IFS(E95&lt;30,"Under",E95&lt;40,"between",E95&gt;=40,"plus")</f>
        <v>Under</v>
      </c>
    </row>
    <row r="96" spans="5:6" x14ac:dyDescent="0.35">
      <c r="E96" s="32">
        <v>36</v>
      </c>
      <c r="F96" s="22" t="str" cm="1">
        <f t="array" ref="F96">_xlfn.IFS(E96&lt;30,"Under",E96&lt;40,"between",E96&gt;=40,"plus")</f>
        <v>between</v>
      </c>
    </row>
    <row r="97" spans="5:6" x14ac:dyDescent="0.35">
      <c r="E97" s="32">
        <v>28</v>
      </c>
      <c r="F97" s="22" t="str" cm="1">
        <f t="array" ref="F97">_xlfn.IFS(E97&lt;30,"Under",E97&lt;40,"between",E97&gt;=40,"plus")</f>
        <v>Under</v>
      </c>
    </row>
    <row r="98" spans="5:6" x14ac:dyDescent="0.35">
      <c r="E98" s="32">
        <v>29</v>
      </c>
      <c r="F98" s="22" t="str" cm="1">
        <f t="array" ref="F98">_xlfn.IFS(E98&lt;30,"Under",E98&lt;40,"between",E98&gt;=40,"plus")</f>
        <v>Under</v>
      </c>
    </row>
    <row r="99" spans="5:6" x14ac:dyDescent="0.35">
      <c r="E99" s="32">
        <v>40</v>
      </c>
      <c r="F99" s="22" t="str" cm="1">
        <f t="array" ref="F99">_xlfn.IFS(E99&lt;30,"Under",E99&lt;40,"between",E99&gt;=40,"plus")</f>
        <v>plus</v>
      </c>
    </row>
    <row r="100" spans="5:6" x14ac:dyDescent="0.35">
      <c r="E100" s="32">
        <v>29</v>
      </c>
      <c r="F100" s="22" t="str" cm="1">
        <f t="array" ref="F100">_xlfn.IFS(E100&lt;30,"Under",E100&lt;40,"between",E100&gt;=40,"plus")</f>
        <v>Under</v>
      </c>
    </row>
    <row r="101" spans="5:6" x14ac:dyDescent="0.35">
      <c r="E101" s="32">
        <v>21</v>
      </c>
      <c r="F101" s="22" t="str" cm="1">
        <f t="array" ref="F101">_xlfn.IFS(E101&lt;30,"Under",E101&lt;40,"between",E101&gt;=40,"plus")</f>
        <v>Under</v>
      </c>
    </row>
    <row r="102" spans="5:6" x14ac:dyDescent="0.35">
      <c r="E102" s="32">
        <v>32</v>
      </c>
      <c r="F102" s="22" t="str" cm="1">
        <f t="array" ref="F102">_xlfn.IFS(E102&lt;30,"Under",E102&lt;40,"between",E102&gt;=40,"plus")</f>
        <v>between</v>
      </c>
    </row>
    <row r="103" spans="5:6" x14ac:dyDescent="0.35">
      <c r="E103" s="32">
        <v>59</v>
      </c>
      <c r="F103" s="22" t="str" cm="1">
        <f t="array" ref="F103">_xlfn.IFS(E103&lt;30,"Under",E103&lt;40,"between",E103&gt;=40,"plus")</f>
        <v>plus</v>
      </c>
    </row>
    <row r="104" spans="5:6" x14ac:dyDescent="0.35">
      <c r="E104" s="32">
        <v>45</v>
      </c>
      <c r="F104" s="22" t="str" cm="1">
        <f t="array" ref="F104">_xlfn.IFS(E104&lt;30,"Under",E104&lt;40,"between",E104&gt;=40,"plus")</f>
        <v>plus</v>
      </c>
    </row>
    <row r="105" spans="5:6" x14ac:dyDescent="0.35">
      <c r="E105" s="32">
        <v>30</v>
      </c>
      <c r="F105" s="22" t="str" cm="1">
        <f t="array" ref="F105">_xlfn.IFS(E105&lt;30,"Under",E105&lt;40,"between",E105&gt;=40,"plus")</f>
        <v>between</v>
      </c>
    </row>
    <row r="106" spans="5:6" x14ac:dyDescent="0.35">
      <c r="E106" s="32">
        <v>27</v>
      </c>
      <c r="F106" s="22" t="str" cm="1">
        <f t="array" ref="F106">_xlfn.IFS(E106&lt;30,"Under",E106&lt;40,"between",E106&gt;=40,"plus")</f>
        <v>Under</v>
      </c>
    </row>
    <row r="107" spans="5:6" x14ac:dyDescent="0.35">
      <c r="E107" s="32">
        <v>25</v>
      </c>
      <c r="F107" s="22" t="str" cm="1">
        <f t="array" ref="F107">_xlfn.IFS(E107&lt;30,"Under",E107&lt;40,"between",E107&gt;=40,"plus")</f>
        <v>Under</v>
      </c>
    </row>
    <row r="108" spans="5:6" x14ac:dyDescent="0.35">
      <c r="E108" s="32">
        <v>35</v>
      </c>
      <c r="F108" s="22" t="str" cm="1">
        <f t="array" ref="F108">_xlfn.IFS(E108&lt;30,"Under",E108&lt;40,"between",E108&gt;=40,"plus")</f>
        <v>between</v>
      </c>
    </row>
    <row r="109" spans="5:6" x14ac:dyDescent="0.35">
      <c r="E109" s="32">
        <v>29</v>
      </c>
      <c r="F109" s="22" t="str" cm="1">
        <f t="array" ref="F109">_xlfn.IFS(E109&lt;30,"Under",E109&lt;40,"between",E109&gt;=40,"plus")</f>
        <v>Under</v>
      </c>
    </row>
    <row r="110" spans="5:6" x14ac:dyDescent="0.35">
      <c r="E110" s="32">
        <v>30</v>
      </c>
      <c r="F110" s="22" t="str" cm="1">
        <f t="array" ref="F110">_xlfn.IFS(E110&lt;30,"Under",E110&lt;40,"between",E110&gt;=40,"plus")</f>
        <v>between</v>
      </c>
    </row>
    <row r="111" spans="5:6" x14ac:dyDescent="0.35">
      <c r="E111" s="32">
        <v>28</v>
      </c>
      <c r="F111" s="22" t="str" cm="1">
        <f t="array" ref="F111">_xlfn.IFS(E111&lt;30,"Under",E111&lt;40,"between",E111&gt;=40,"plus")</f>
        <v>Under</v>
      </c>
    </row>
    <row r="112" spans="5:6" x14ac:dyDescent="0.35">
      <c r="E112" s="32">
        <v>24</v>
      </c>
      <c r="F112" s="22" t="str" cm="1">
        <f t="array" ref="F112">_xlfn.IFS(E112&lt;30,"Under",E112&lt;40,"between",E112&gt;=40,"plus")</f>
        <v>Under</v>
      </c>
    </row>
    <row r="113" spans="5:6" x14ac:dyDescent="0.35">
      <c r="E113" s="32">
        <v>40</v>
      </c>
      <c r="F113" s="22" t="str" cm="1">
        <f t="array" ref="F113">_xlfn.IFS(E113&lt;30,"Under",E113&lt;40,"between",E113&gt;=40,"plus")</f>
        <v>plus</v>
      </c>
    </row>
    <row r="114" spans="5:6" x14ac:dyDescent="0.35">
      <c r="E114" s="32">
        <v>28</v>
      </c>
      <c r="F114" s="22" t="str" cm="1">
        <f t="array" ref="F114">_xlfn.IFS(E114&lt;30,"Under",E114&lt;40,"between",E114&gt;=40,"plus")</f>
        <v>Under</v>
      </c>
    </row>
    <row r="115" spans="5:6" x14ac:dyDescent="0.35">
      <c r="E115" s="32">
        <v>31</v>
      </c>
      <c r="F115" s="22" t="str" cm="1">
        <f t="array" ref="F115">_xlfn.IFS(E115&lt;30,"Under",E115&lt;40,"between",E115&gt;=40,"plus")</f>
        <v>between</v>
      </c>
    </row>
    <row r="116" spans="5:6" x14ac:dyDescent="0.35">
      <c r="E116" s="32">
        <v>34</v>
      </c>
      <c r="F116" s="22" t="str" cm="1">
        <f t="array" ref="F116">_xlfn.IFS(E116&lt;30,"Under",E116&lt;40,"between",E116&gt;=40,"plus")</f>
        <v>between</v>
      </c>
    </row>
    <row r="117" spans="5:6" x14ac:dyDescent="0.35">
      <c r="E117" s="32">
        <v>27</v>
      </c>
      <c r="F117" s="22" t="str" cm="1">
        <f t="array" ref="F117">_xlfn.IFS(E117&lt;30,"Under",E117&lt;40,"between",E117&gt;=40,"plus")</f>
        <v>Under</v>
      </c>
    </row>
    <row r="118" spans="5:6" x14ac:dyDescent="0.35">
      <c r="E118" s="32">
        <v>34</v>
      </c>
      <c r="F118" s="22" t="str" cm="1">
        <f t="array" ref="F118">_xlfn.IFS(E118&lt;30,"Under",E118&lt;40,"between",E118&gt;=40,"plus")</f>
        <v>between</v>
      </c>
    </row>
    <row r="119" spans="5:6" x14ac:dyDescent="0.35">
      <c r="E119" s="32">
        <v>39</v>
      </c>
      <c r="F119" s="22" t="str" cm="1">
        <f t="array" ref="F119">_xlfn.IFS(E119&lt;30,"Under",E119&lt;40,"between",E119&gt;=40,"plus")</f>
        <v>between</v>
      </c>
    </row>
    <row r="120" spans="5:6" x14ac:dyDescent="0.35">
      <c r="E120" s="32">
        <v>27</v>
      </c>
      <c r="F120" s="22" t="str" cm="1">
        <f t="array" ref="F120">_xlfn.IFS(E120&lt;30,"Under",E120&lt;40,"between",E120&gt;=40,"plus")</f>
        <v>Under</v>
      </c>
    </row>
    <row r="121" spans="5:6" x14ac:dyDescent="0.35">
      <c r="E121" s="32">
        <v>41</v>
      </c>
      <c r="F121" s="22" t="str" cm="1">
        <f t="array" ref="F121">_xlfn.IFS(E121&lt;30,"Under",E121&lt;40,"between",E121&gt;=40,"plus")</f>
        <v>plus</v>
      </c>
    </row>
    <row r="122" spans="5:6" x14ac:dyDescent="0.35">
      <c r="E122" s="32">
        <v>22</v>
      </c>
      <c r="F122" s="22" t="str" cm="1">
        <f t="array" ref="F122">_xlfn.IFS(E122&lt;30,"Under",E122&lt;40,"between",E122&gt;=40,"plus")</f>
        <v>Under</v>
      </c>
    </row>
    <row r="123" spans="5:6" x14ac:dyDescent="0.35">
      <c r="E123" s="32">
        <v>43</v>
      </c>
      <c r="F123" s="22" t="str" cm="1">
        <f t="array" ref="F123">_xlfn.IFS(E123&lt;30,"Under",E123&lt;40,"between",E123&gt;=40,"plus")</f>
        <v>plus</v>
      </c>
    </row>
    <row r="124" spans="5:6" x14ac:dyDescent="0.35">
      <c r="E124" s="32">
        <v>35</v>
      </c>
      <c r="F124" s="22" t="str" cm="1">
        <f t="array" ref="F124">_xlfn.IFS(E124&lt;30,"Under",E124&lt;40,"between",E124&gt;=40,"plus")</f>
        <v>between</v>
      </c>
    </row>
    <row r="125" spans="5:6" x14ac:dyDescent="0.35">
      <c r="E125" s="32">
        <v>48</v>
      </c>
      <c r="F125" s="22" t="str" cm="1">
        <f t="array" ref="F125">_xlfn.IFS(E125&lt;30,"Under",E125&lt;40,"between",E125&gt;=40,"plus")</f>
        <v>plus</v>
      </c>
    </row>
    <row r="126" spans="5:6" x14ac:dyDescent="0.35">
      <c r="E126" s="32">
        <v>59</v>
      </c>
      <c r="F126" s="22" t="str" cm="1">
        <f t="array" ref="F126">_xlfn.IFS(E126&lt;30,"Under",E126&lt;40,"between",E126&gt;=40,"plus")</f>
        <v>plus</v>
      </c>
    </row>
    <row r="127" spans="5:6" x14ac:dyDescent="0.35">
      <c r="E127" s="32">
        <v>35</v>
      </c>
      <c r="F127" s="22" t="str" cm="1">
        <f t="array" ref="F127">_xlfn.IFS(E127&lt;30,"Under",E127&lt;40,"between",E127&gt;=40,"plus")</f>
        <v>between</v>
      </c>
    </row>
    <row r="128" spans="5:6" x14ac:dyDescent="0.35">
      <c r="E128" s="32">
        <v>32</v>
      </c>
      <c r="F128" s="22" t="str" cm="1">
        <f t="array" ref="F128">_xlfn.IFS(E128&lt;30,"Under",E128&lt;40,"between",E128&gt;=40,"plus")</f>
        <v>between</v>
      </c>
    </row>
    <row r="129" spans="5:6" x14ac:dyDescent="0.35">
      <c r="E129" s="32">
        <v>45</v>
      </c>
      <c r="F129" s="22" t="str" cm="1">
        <f t="array" ref="F129">_xlfn.IFS(E129&lt;30,"Under",E129&lt;40,"between",E129&gt;=40,"plus")</f>
        <v>plus</v>
      </c>
    </row>
    <row r="130" spans="5:6" x14ac:dyDescent="0.35">
      <c r="E130" s="32">
        <v>23</v>
      </c>
      <c r="F130" s="22" t="str" cm="1">
        <f t="array" ref="F130">_xlfn.IFS(E130&lt;30,"Under",E130&lt;40,"between",E130&gt;=40,"plus")</f>
        <v>Under</v>
      </c>
    </row>
    <row r="131" spans="5:6" x14ac:dyDescent="0.35">
      <c r="E131" s="32">
        <v>45</v>
      </c>
      <c r="F131" s="22" t="str" cm="1">
        <f t="array" ref="F131">_xlfn.IFS(E131&lt;30,"Under",E131&lt;40,"between",E131&gt;=40,"plus")</f>
        <v>plus</v>
      </c>
    </row>
    <row r="132" spans="5:6" x14ac:dyDescent="0.35">
      <c r="E132" s="32">
        <v>23</v>
      </c>
      <c r="F132" s="22" t="str" cm="1">
        <f t="array" ref="F132">_xlfn.IFS(E132&lt;30,"Under",E132&lt;40,"between",E132&gt;=40,"plus")</f>
        <v>Under</v>
      </c>
    </row>
    <row r="133" spans="5:6" x14ac:dyDescent="0.35">
      <c r="E133" s="32">
        <v>33</v>
      </c>
      <c r="F133" s="22" t="str" cm="1">
        <f t="array" ref="F133">_xlfn.IFS(E133&lt;30,"Under",E133&lt;40,"between",E133&gt;=40,"plus")</f>
        <v>between</v>
      </c>
    </row>
    <row r="134" spans="5:6" x14ac:dyDescent="0.35">
      <c r="E134" s="32">
        <v>27</v>
      </c>
      <c r="F134" s="22" t="str" cm="1">
        <f t="array" ref="F134">_xlfn.IFS(E134&lt;30,"Under",E134&lt;40,"between",E134&gt;=40,"plus")</f>
        <v>Under</v>
      </c>
    </row>
    <row r="135" spans="5:6" x14ac:dyDescent="0.35">
      <c r="E135" s="32">
        <v>30</v>
      </c>
      <c r="F135" s="22" t="str" cm="1">
        <f t="array" ref="F135">_xlfn.IFS(E135&lt;30,"Under",E135&lt;40,"between",E135&gt;=40,"plus")</f>
        <v>between</v>
      </c>
    </row>
    <row r="136" spans="5:6" x14ac:dyDescent="0.35">
      <c r="E136" s="32">
        <v>38</v>
      </c>
      <c r="F136" s="22" t="str" cm="1">
        <f t="array" ref="F136">_xlfn.IFS(E136&lt;30,"Under",E136&lt;40,"between",E136&gt;=40,"plus")</f>
        <v>between</v>
      </c>
    </row>
    <row r="137" spans="5:6" x14ac:dyDescent="0.35">
      <c r="E137" s="32">
        <v>41</v>
      </c>
      <c r="F137" s="22" t="str" cm="1">
        <f t="array" ref="F137">_xlfn.IFS(E137&lt;30,"Under",E137&lt;40,"between",E137&gt;=40,"plus")</f>
        <v>plus</v>
      </c>
    </row>
    <row r="138" spans="5:6" x14ac:dyDescent="0.35">
      <c r="E138" s="32">
        <v>44</v>
      </c>
      <c r="F138" s="22" t="str" cm="1">
        <f t="array" ref="F138">_xlfn.IFS(E138&lt;30,"Under",E138&lt;40,"between",E138&gt;=40,"plus")</f>
        <v>plus</v>
      </c>
    </row>
    <row r="139" spans="5:6" x14ac:dyDescent="0.35">
      <c r="E139" s="32">
        <v>24</v>
      </c>
      <c r="F139" s="22" t="str" cm="1">
        <f t="array" ref="F139">_xlfn.IFS(E139&lt;30,"Under",E139&lt;40,"between",E139&gt;=40,"plus")</f>
        <v>Under</v>
      </c>
    </row>
    <row r="140" spans="5:6" x14ac:dyDescent="0.35">
      <c r="E140" s="32">
        <v>26</v>
      </c>
      <c r="F140" s="22" t="str" cm="1">
        <f t="array" ref="F140">_xlfn.IFS(E140&lt;30,"Under",E140&lt;40,"between",E140&gt;=40,"plus")</f>
        <v>Under</v>
      </c>
    </row>
    <row r="141" spans="5:6" x14ac:dyDescent="0.35">
      <c r="E141" s="32">
        <v>24</v>
      </c>
      <c r="F141" s="22" t="str" cm="1">
        <f t="array" ref="F141">_xlfn.IFS(E141&lt;30,"Under",E141&lt;40,"between",E141&gt;=40,"plus")</f>
        <v>Under</v>
      </c>
    </row>
    <row r="142" spans="5:6" x14ac:dyDescent="0.35">
      <c r="E142" s="32">
        <v>29</v>
      </c>
      <c r="F142" s="22" t="str" cm="1">
        <f t="array" ref="F142">_xlfn.IFS(E142&lt;30,"Under",E142&lt;40,"between",E142&gt;=40,"plus")</f>
        <v>Under</v>
      </c>
    </row>
    <row r="143" spans="5:6" x14ac:dyDescent="0.35">
      <c r="E143" s="32">
        <v>31</v>
      </c>
      <c r="F143" s="22" t="str" cm="1">
        <f t="array" ref="F143">_xlfn.IFS(E143&lt;30,"Under",E143&lt;40,"between",E143&gt;=40,"plus")</f>
        <v>between</v>
      </c>
    </row>
    <row r="144" spans="5:6" x14ac:dyDescent="0.35">
      <c r="E144" s="32">
        <v>26</v>
      </c>
      <c r="F144" s="22" t="str" cm="1">
        <f t="array" ref="F144">_xlfn.IFS(E144&lt;30,"Under",E144&lt;40,"between",E144&gt;=40,"plus")</f>
        <v>Under</v>
      </c>
    </row>
    <row r="145" spans="5:6" x14ac:dyDescent="0.35">
      <c r="E145" s="32">
        <v>53</v>
      </c>
      <c r="F145" s="22" t="str" cm="1">
        <f t="array" ref="F145">_xlfn.IFS(E145&lt;30,"Under",E145&lt;40,"between",E145&gt;=40,"plus")</f>
        <v>plus</v>
      </c>
    </row>
    <row r="146" spans="5:6" x14ac:dyDescent="0.35">
      <c r="E146" s="32">
        <v>34</v>
      </c>
      <c r="F146" s="22" t="str" cm="1">
        <f t="array" ref="F146">_xlfn.IFS(E146&lt;30,"Under",E146&lt;40,"between",E146&gt;=40,"plus")</f>
        <v>between</v>
      </c>
    </row>
    <row r="147" spans="5:6" x14ac:dyDescent="0.35">
      <c r="E147" s="32">
        <v>34</v>
      </c>
      <c r="F147" s="22" t="str" cm="1">
        <f t="array" ref="F147">_xlfn.IFS(E147&lt;30,"Under",E147&lt;40,"between",E147&gt;=40,"plus")</f>
        <v>between</v>
      </c>
    </row>
    <row r="148" spans="5:6" x14ac:dyDescent="0.35">
      <c r="E148" s="32">
        <v>34</v>
      </c>
      <c r="F148" s="22" t="str" cm="1">
        <f t="array" ref="F148">_xlfn.IFS(E148&lt;30,"Under",E148&lt;40,"between",E148&gt;=40,"plus")</f>
        <v>between</v>
      </c>
    </row>
    <row r="149" spans="5:6" x14ac:dyDescent="0.35">
      <c r="E149" s="32">
        <v>33</v>
      </c>
      <c r="F149" s="22" t="str" cm="1">
        <f t="array" ref="F149">_xlfn.IFS(E149&lt;30,"Under",E149&lt;40,"between",E149&gt;=40,"plus")</f>
        <v>between</v>
      </c>
    </row>
    <row r="150" spans="5:6" x14ac:dyDescent="0.35">
      <c r="E150" s="32">
        <v>32</v>
      </c>
      <c r="F150" s="22" t="str" cm="1">
        <f t="array" ref="F150">_xlfn.IFS(E150&lt;30,"Under",E150&lt;40,"between",E150&gt;=40,"plus")</f>
        <v>between</v>
      </c>
    </row>
    <row r="151" spans="5:6" x14ac:dyDescent="0.35">
      <c r="E151" s="32">
        <v>27</v>
      </c>
      <c r="F151" s="22" t="str" cm="1">
        <f t="array" ref="F151">_xlfn.IFS(E151&lt;30,"Under",E151&lt;40,"between",E151&gt;=40,"plus")</f>
        <v>Under</v>
      </c>
    </row>
    <row r="152" spans="5:6" x14ac:dyDescent="0.35">
      <c r="E152" s="32">
        <v>29</v>
      </c>
      <c r="F152" s="22" t="str" cm="1">
        <f t="array" ref="F152">_xlfn.IFS(E152&lt;30,"Under",E152&lt;40,"between",E152&gt;=40,"plus")</f>
        <v>Under</v>
      </c>
    </row>
    <row r="153" spans="5:6" x14ac:dyDescent="0.35">
      <c r="E153" s="32">
        <v>31</v>
      </c>
      <c r="F153" s="22" t="str" cm="1">
        <f t="array" ref="F153">_xlfn.IFS(E153&lt;30,"Under",E153&lt;40,"between",E153&gt;=40,"plus")</f>
        <v>between</v>
      </c>
    </row>
    <row r="154" spans="5:6" x14ac:dyDescent="0.35">
      <c r="E154" s="32">
        <v>23</v>
      </c>
      <c r="F154" s="22" t="str" cm="1">
        <f t="array" ref="F154">_xlfn.IFS(E154&lt;30,"Under",E154&lt;40,"between",E154&gt;=40,"plus")</f>
        <v>Under</v>
      </c>
    </row>
    <row r="155" spans="5:6" x14ac:dyDescent="0.35">
      <c r="E155" s="32">
        <v>22</v>
      </c>
      <c r="F155" s="22" t="str" cm="1">
        <f t="array" ref="F155">_xlfn.IFS(E155&lt;30,"Under",E155&lt;40,"between",E155&gt;=40,"plus")</f>
        <v>Under</v>
      </c>
    </row>
    <row r="156" spans="5:6" x14ac:dyDescent="0.35">
      <c r="E156" s="32">
        <v>20</v>
      </c>
      <c r="F156" s="22" t="str" cm="1">
        <f t="array" ref="F156">_xlfn.IFS(E156&lt;30,"Under",E156&lt;40,"between",E156&gt;=40,"plus")</f>
        <v>Under</v>
      </c>
    </row>
    <row r="157" spans="5:6" x14ac:dyDescent="0.35">
      <c r="E157" s="32">
        <v>19</v>
      </c>
      <c r="F157" s="22" t="str" cm="1">
        <f t="array" ref="F157">_xlfn.IFS(E157&lt;30,"Under",E157&lt;40,"between",E157&gt;=40,"plus")</f>
        <v>Under</v>
      </c>
    </row>
    <row r="158" spans="5:6" x14ac:dyDescent="0.35">
      <c r="E158" s="32">
        <v>37</v>
      </c>
      <c r="F158" s="22" t="str" cm="1">
        <f t="array" ref="F158">_xlfn.IFS(E158&lt;30,"Under",E158&lt;40,"between",E158&gt;=40,"plus")</f>
        <v>between</v>
      </c>
    </row>
    <row r="159" spans="5:6" x14ac:dyDescent="0.35">
      <c r="E159" s="32">
        <v>22</v>
      </c>
      <c r="F159" s="22" t="str" cm="1">
        <f t="array" ref="F159">_xlfn.IFS(E159&lt;30,"Under",E159&lt;40,"between",E159&gt;=40,"plus")</f>
        <v>Under</v>
      </c>
    </row>
    <row r="160" spans="5:6" x14ac:dyDescent="0.35">
      <c r="E160" s="32">
        <v>31</v>
      </c>
      <c r="F160" s="22" t="str" cm="1">
        <f t="array" ref="F160">_xlfn.IFS(E160&lt;30,"Under",E160&lt;40,"between",E160&gt;=40,"plus")</f>
        <v>between</v>
      </c>
    </row>
    <row r="161" spans="5:6" x14ac:dyDescent="0.35">
      <c r="E161" s="32">
        <v>32</v>
      </c>
      <c r="F161" s="22" t="str" cm="1">
        <f t="array" ref="F161">_xlfn.IFS(E161&lt;30,"Under",E161&lt;40,"between",E161&gt;=40,"plus")</f>
        <v>between</v>
      </c>
    </row>
    <row r="162" spans="5:6" x14ac:dyDescent="0.35">
      <c r="E162" s="32">
        <v>29</v>
      </c>
      <c r="F162" s="22" t="str" cm="1">
        <f t="array" ref="F162">_xlfn.IFS(E162&lt;30,"Under",E162&lt;40,"between",E162&gt;=40,"plus")</f>
        <v>Under</v>
      </c>
    </row>
    <row r="163" spans="5:6" x14ac:dyDescent="0.35">
      <c r="E163" s="32">
        <v>56</v>
      </c>
      <c r="F163" s="22" t="str" cm="1">
        <f t="array" ref="F163">_xlfn.IFS(E163&lt;30,"Under",E163&lt;40,"between",E163&gt;=40,"plus")</f>
        <v>plus</v>
      </c>
    </row>
    <row r="164" spans="5:6" x14ac:dyDescent="0.35">
      <c r="E164" s="32">
        <v>29</v>
      </c>
      <c r="F164" s="22" t="str" cm="1">
        <f t="array" ref="F164">_xlfn.IFS(E164&lt;30,"Under",E164&lt;40,"between",E164&gt;=40,"plus")</f>
        <v>Under</v>
      </c>
    </row>
    <row r="165" spans="5:6" x14ac:dyDescent="0.35">
      <c r="E165" s="32">
        <v>26</v>
      </c>
      <c r="F165" s="22" t="str" cm="1">
        <f t="array" ref="F165">_xlfn.IFS(E165&lt;30,"Under",E165&lt;40,"between",E165&gt;=40,"plus")</f>
        <v>Under</v>
      </c>
    </row>
    <row r="166" spans="5:6" x14ac:dyDescent="0.35">
      <c r="E166" s="32">
        <v>27</v>
      </c>
      <c r="F166" s="22" t="str" cm="1">
        <f t="array" ref="F166">_xlfn.IFS(E166&lt;30,"Under",E166&lt;40,"between",E166&gt;=40,"plus")</f>
        <v>Under</v>
      </c>
    </row>
    <row r="167" spans="5:6" x14ac:dyDescent="0.35">
      <c r="E167" s="32">
        <v>40</v>
      </c>
      <c r="F167" s="22" t="str" cm="1">
        <f t="array" ref="F167">_xlfn.IFS(E167&lt;30,"Under",E167&lt;40,"between",E167&gt;=40,"plus")</f>
        <v>plus</v>
      </c>
    </row>
    <row r="168" spans="5:6" x14ac:dyDescent="0.35">
      <c r="E168" s="32">
        <v>36</v>
      </c>
      <c r="F168" s="22" t="str" cm="1">
        <f t="array" ref="F168">_xlfn.IFS(E168&lt;30,"Under",E168&lt;40,"between",E168&gt;=40,"plus")</f>
        <v>between</v>
      </c>
    </row>
    <row r="169" spans="5:6" x14ac:dyDescent="0.35">
      <c r="E169" s="32">
        <v>33</v>
      </c>
      <c r="F169" s="22" t="str" cm="1">
        <f t="array" ref="F169">_xlfn.IFS(E169&lt;30,"Under",E169&lt;40,"between",E169&gt;=40,"plus")</f>
        <v>between</v>
      </c>
    </row>
    <row r="170" spans="5:6" x14ac:dyDescent="0.35">
      <c r="E170" s="32">
        <v>44</v>
      </c>
      <c r="F170" s="22" t="str" cm="1">
        <f t="array" ref="F170">_xlfn.IFS(E170&lt;30,"Under",E170&lt;40,"between",E170&gt;=40,"plus")</f>
        <v>plus</v>
      </c>
    </row>
    <row r="171" spans="5:6" x14ac:dyDescent="0.35">
      <c r="E171" s="32">
        <v>40</v>
      </c>
      <c r="F171" s="22" t="str" cm="1">
        <f t="array" ref="F171">_xlfn.IFS(E171&lt;30,"Under",E171&lt;40,"between",E171&gt;=40,"plus")</f>
        <v>plus</v>
      </c>
    </row>
    <row r="172" spans="5:6" x14ac:dyDescent="0.35">
      <c r="E172" s="32">
        <v>45</v>
      </c>
      <c r="F172" s="22" t="str" cm="1">
        <f t="array" ref="F172">_xlfn.IFS(E172&lt;30,"Under",E172&lt;40,"between",E172&gt;=40,"plus")</f>
        <v>plus</v>
      </c>
    </row>
    <row r="173" spans="5:6" x14ac:dyDescent="0.35">
      <c r="E173" s="32">
        <v>34</v>
      </c>
      <c r="F173" s="22" t="str" cm="1">
        <f t="array" ref="F173">_xlfn.IFS(E173&lt;30,"Under",E173&lt;40,"between",E173&gt;=40,"plus")</f>
        <v>between</v>
      </c>
    </row>
    <row r="174" spans="5:6" x14ac:dyDescent="0.35">
      <c r="E174" s="32">
        <v>31</v>
      </c>
      <c r="F174" s="22" t="str" cm="1">
        <f t="array" ref="F174">_xlfn.IFS(E174&lt;30,"Under",E174&lt;40,"between",E174&gt;=40,"plus")</f>
        <v>between</v>
      </c>
    </row>
    <row r="175" spans="5:6" x14ac:dyDescent="0.35">
      <c r="E175" s="32">
        <v>44</v>
      </c>
      <c r="F175" s="22" t="str" cm="1">
        <f t="array" ref="F175">_xlfn.IFS(E175&lt;30,"Under",E175&lt;40,"between",E175&gt;=40,"plus")</f>
        <v>plus</v>
      </c>
    </row>
    <row r="176" spans="5:6" x14ac:dyDescent="0.35">
      <c r="E176" s="32">
        <v>29</v>
      </c>
      <c r="F176" s="22" t="str" cm="1">
        <f t="array" ref="F176">_xlfn.IFS(E176&lt;30,"Under",E176&lt;40,"between",E176&gt;=40,"plus")</f>
        <v>Under</v>
      </c>
    </row>
    <row r="177" spans="5:6" x14ac:dyDescent="0.35">
      <c r="E177" s="32">
        <v>26</v>
      </c>
      <c r="F177" s="22" t="str" cm="1">
        <f t="array" ref="F177">_xlfn.IFS(E177&lt;30,"Under",E177&lt;40,"between",E177&gt;=40,"plus")</f>
        <v>Under</v>
      </c>
    </row>
    <row r="178" spans="5:6" x14ac:dyDescent="0.35">
      <c r="E178" s="32">
        <v>48</v>
      </c>
      <c r="F178" s="22" t="str" cm="1">
        <f t="array" ref="F178">_xlfn.IFS(E178&lt;30,"Under",E178&lt;40,"between",E178&gt;=40,"plus")</f>
        <v>plus</v>
      </c>
    </row>
    <row r="179" spans="5:6" x14ac:dyDescent="0.35">
      <c r="E179" s="32">
        <v>28</v>
      </c>
      <c r="F179" s="22" t="str" cm="1">
        <f t="array" ref="F179">_xlfn.IFS(E179&lt;30,"Under",E179&lt;40,"between",E179&gt;=40,"plus")</f>
        <v>Under</v>
      </c>
    </row>
    <row r="180" spans="5:6" x14ac:dyDescent="0.35">
      <c r="E180" s="32">
        <v>26</v>
      </c>
      <c r="F180" s="22" t="str" cm="1">
        <f t="array" ref="F180">_xlfn.IFS(E180&lt;30,"Under",E180&lt;40,"between",E180&gt;=40,"plus")</f>
        <v>Under</v>
      </c>
    </row>
    <row r="181" spans="5:6" x14ac:dyDescent="0.35">
      <c r="E181" s="32">
        <v>32</v>
      </c>
      <c r="F181" s="22" t="str" cm="1">
        <f t="array" ref="F181">_xlfn.IFS(E181&lt;30,"Under",E181&lt;40,"between",E181&gt;=40,"plus")</f>
        <v>between</v>
      </c>
    </row>
    <row r="182" spans="5:6" x14ac:dyDescent="0.35">
      <c r="E182" s="32">
        <v>42</v>
      </c>
      <c r="F182" s="22" t="str" cm="1">
        <f t="array" ref="F182">_xlfn.IFS(E182&lt;30,"Under",E182&lt;40,"between",E182&gt;=40,"plus")</f>
        <v>plus</v>
      </c>
    </row>
    <row r="183" spans="5:6" x14ac:dyDescent="0.35">
      <c r="E183" s="32">
        <v>58</v>
      </c>
      <c r="F183" s="22" t="str" cm="1">
        <f t="array" ref="F183">_xlfn.IFS(E183&lt;30,"Under",E183&lt;40,"between",E183&gt;=40,"plus")</f>
        <v>plus</v>
      </c>
    </row>
    <row r="184" spans="5:6" x14ac:dyDescent="0.35">
      <c r="E184" s="32">
        <v>26</v>
      </c>
      <c r="F184" s="22" t="str" cm="1">
        <f t="array" ref="F184">_xlfn.IFS(E184&lt;30,"Under",E184&lt;40,"between",E184&gt;=40,"plus")</f>
        <v>Under</v>
      </c>
    </row>
    <row r="185" spans="5:6" x14ac:dyDescent="0.35">
      <c r="E185" s="32">
        <v>35</v>
      </c>
      <c r="F185" s="22" t="str" cm="1">
        <f t="array" ref="F185">_xlfn.IFS(E185&lt;30,"Under",E185&lt;40,"between",E185&gt;=40,"plus")</f>
        <v>between</v>
      </c>
    </row>
    <row r="186" spans="5:6" x14ac:dyDescent="0.35">
      <c r="E186" s="32">
        <v>28</v>
      </c>
      <c r="F186" s="22" t="str" cm="1">
        <f t="array" ref="F186">_xlfn.IFS(E186&lt;30,"Under",E186&lt;40,"between",E186&gt;=40,"plus")</f>
        <v>Under</v>
      </c>
    </row>
    <row r="187" spans="5:6" x14ac:dyDescent="0.35">
      <c r="E187" s="32">
        <v>26</v>
      </c>
      <c r="F187" s="22" t="str" cm="1">
        <f t="array" ref="F187">_xlfn.IFS(E187&lt;30,"Under",E187&lt;40,"between",E187&gt;=40,"plus")</f>
        <v>Under</v>
      </c>
    </row>
    <row r="188" spans="5:6" x14ac:dyDescent="0.35">
      <c r="E188" s="32">
        <v>27</v>
      </c>
      <c r="F188" s="22" t="str" cm="1">
        <f t="array" ref="F188">_xlfn.IFS(E188&lt;30,"Under",E188&lt;40,"between",E188&gt;=40,"plus")</f>
        <v>Under</v>
      </c>
    </row>
    <row r="189" spans="5:6" x14ac:dyDescent="0.35">
      <c r="E189" s="32">
        <v>58</v>
      </c>
      <c r="F189" s="22" t="str" cm="1">
        <f t="array" ref="F189">_xlfn.IFS(E189&lt;30,"Under",E189&lt;40,"between",E189&gt;=40,"plus")</f>
        <v>plus</v>
      </c>
    </row>
    <row r="190" spans="5:6" x14ac:dyDescent="0.35">
      <c r="E190" s="32">
        <v>50</v>
      </c>
      <c r="F190" s="22" t="str" cm="1">
        <f t="array" ref="F190">_xlfn.IFS(E190&lt;30,"Under",E190&lt;40,"between",E190&gt;=40,"plus")</f>
        <v>plus</v>
      </c>
    </row>
    <row r="191" spans="5:6" x14ac:dyDescent="0.35">
      <c r="E191" s="32">
        <v>21</v>
      </c>
      <c r="F191" s="22" t="str" cm="1">
        <f t="array" ref="F191">_xlfn.IFS(E191&lt;30,"Under",E191&lt;40,"between",E191&gt;=40,"plus")</f>
        <v>Under</v>
      </c>
    </row>
    <row r="192" spans="5:6" x14ac:dyDescent="0.35">
      <c r="E192" s="32">
        <v>40</v>
      </c>
      <c r="F192" s="22" t="str" cm="1">
        <f t="array" ref="F192">_xlfn.IFS(E192&lt;30,"Under",E192&lt;40,"between",E192&gt;=40,"plus")</f>
        <v>plus</v>
      </c>
    </row>
    <row r="193" spans="5:6" x14ac:dyDescent="0.35">
      <c r="E193" s="32">
        <v>29</v>
      </c>
      <c r="F193" s="22" t="str" cm="1">
        <f t="array" ref="F193">_xlfn.IFS(E193&lt;30,"Under",E193&lt;40,"between",E193&gt;=40,"plus")</f>
        <v>Under</v>
      </c>
    </row>
    <row r="194" spans="5:6" x14ac:dyDescent="0.35">
      <c r="E194" s="32">
        <v>27</v>
      </c>
      <c r="F194" s="22" t="str" cm="1">
        <f t="array" ref="F194">_xlfn.IFS(E194&lt;30,"Under",E194&lt;40,"between",E194&gt;=40,"plus")</f>
        <v>Under</v>
      </c>
    </row>
    <row r="195" spans="5:6" x14ac:dyDescent="0.35">
      <c r="E195" s="32">
        <v>22</v>
      </c>
      <c r="F195" s="22" t="str" cm="1">
        <f t="array" ref="F195">_xlfn.IFS(E195&lt;30,"Under",E195&lt;40,"between",E195&gt;=40,"plus")</f>
        <v>Under</v>
      </c>
    </row>
    <row r="196" spans="5:6" x14ac:dyDescent="0.35">
      <c r="E196" s="32">
        <v>24</v>
      </c>
      <c r="F196" s="22" t="str" cm="1">
        <f t="array" ref="F196">_xlfn.IFS(E196&lt;30,"Under",E196&lt;40,"between",E196&gt;=40,"plus")</f>
        <v>Under</v>
      </c>
    </row>
    <row r="197" spans="5:6" x14ac:dyDescent="0.35">
      <c r="E197" s="32">
        <v>39</v>
      </c>
      <c r="F197" s="22" t="str" cm="1">
        <f t="array" ref="F197">_xlfn.IFS(E197&lt;30,"Under",E197&lt;40,"between",E197&gt;=40,"plus")</f>
        <v>between</v>
      </c>
    </row>
    <row r="198" spans="5:6" x14ac:dyDescent="0.35">
      <c r="E198" s="32">
        <v>29</v>
      </c>
      <c r="F198" s="22" t="str" cm="1">
        <f t="array" ref="F198">_xlfn.IFS(E198&lt;30,"Under",E198&lt;40,"between",E198&gt;=40,"plus")</f>
        <v>Under</v>
      </c>
    </row>
    <row r="199" spans="5:6" x14ac:dyDescent="0.35">
      <c r="E199" s="32">
        <v>35</v>
      </c>
      <c r="F199" s="22" t="str" cm="1">
        <f t="array" ref="F199">_xlfn.IFS(E199&lt;30,"Under",E199&lt;40,"between",E199&gt;=40,"plus")</f>
        <v>between</v>
      </c>
    </row>
    <row r="200" spans="5:6" x14ac:dyDescent="0.35">
      <c r="E200" s="32">
        <v>38</v>
      </c>
      <c r="F200" s="22" t="str" cm="1">
        <f t="array" ref="F200">_xlfn.IFS(E200&lt;30,"Under",E200&lt;40,"between",E200&gt;=40,"plus")</f>
        <v>between</v>
      </c>
    </row>
    <row r="201" spans="5:6" x14ac:dyDescent="0.35">
      <c r="E201" s="32">
        <v>40</v>
      </c>
      <c r="F201" s="22" t="str" cm="1">
        <f t="array" ref="F201">_xlfn.IFS(E201&lt;30,"Under",E201&lt;40,"between",E201&gt;=40,"plus")</f>
        <v>plus</v>
      </c>
    </row>
    <row r="202" spans="5:6" x14ac:dyDescent="0.35">
      <c r="E202" s="32">
        <v>28</v>
      </c>
      <c r="F202" s="22" t="str" cm="1">
        <f t="array" ref="F202">_xlfn.IFS(E202&lt;30,"Under",E202&lt;40,"between",E202&gt;=40,"plus")</f>
        <v>Under</v>
      </c>
    </row>
    <row r="203" spans="5:6" x14ac:dyDescent="0.35">
      <c r="E203" s="32">
        <v>25</v>
      </c>
      <c r="F203" s="22" t="str" cm="1">
        <f t="array" ref="F203">_xlfn.IFS(E203&lt;30,"Under",E203&lt;40,"between",E203&gt;=40,"plus")</f>
        <v>Under</v>
      </c>
    </row>
    <row r="204" spans="5:6" x14ac:dyDescent="0.35">
      <c r="E204" s="32">
        <v>30</v>
      </c>
      <c r="F204" s="22" t="str" cm="1">
        <f t="array" ref="F204">_xlfn.IFS(E204&lt;30,"Under",E204&lt;40,"between",E204&gt;=40,"plus")</f>
        <v>between</v>
      </c>
    </row>
    <row r="205" spans="5:6" x14ac:dyDescent="0.35">
      <c r="E205" s="32">
        <v>35</v>
      </c>
      <c r="F205" s="22" t="str" cm="1">
        <f t="array" ref="F205">_xlfn.IFS(E205&lt;30,"Under",E205&lt;40,"between",E205&gt;=40,"plus")</f>
        <v>between</v>
      </c>
    </row>
    <row r="206" spans="5:6" x14ac:dyDescent="0.35">
      <c r="E206" s="32">
        <v>35</v>
      </c>
      <c r="F206" s="22" t="str" cm="1">
        <f t="array" ref="F206">_xlfn.IFS(E206&lt;30,"Under",E206&lt;40,"between",E206&gt;=40,"plus")</f>
        <v>between</v>
      </c>
    </row>
    <row r="207" spans="5:6" x14ac:dyDescent="0.35">
      <c r="E207" s="32">
        <v>32</v>
      </c>
      <c r="F207" s="22" t="str" cm="1">
        <f t="array" ref="F207">_xlfn.IFS(E207&lt;30,"Under",E207&lt;40,"between",E207&gt;=40,"plus")</f>
        <v>between</v>
      </c>
    </row>
    <row r="208" spans="5:6" x14ac:dyDescent="0.35">
      <c r="E208" s="32">
        <v>33</v>
      </c>
      <c r="F208" s="22" t="str" cm="1">
        <f t="array" ref="F208">_xlfn.IFS(E208&lt;30,"Under",E208&lt;40,"between",E208&gt;=40,"plus")</f>
        <v>between</v>
      </c>
    </row>
    <row r="209" spans="5:6" x14ac:dyDescent="0.35">
      <c r="E209" s="32">
        <v>44</v>
      </c>
      <c r="F209" s="22" t="str" cm="1">
        <f t="array" ref="F209">_xlfn.IFS(E209&lt;30,"Under",E209&lt;40,"between",E209&gt;=40,"plus")</f>
        <v>plus</v>
      </c>
    </row>
    <row r="210" spans="5:6" x14ac:dyDescent="0.35">
      <c r="E210" s="32">
        <v>43</v>
      </c>
      <c r="F210" s="22" t="str" cm="1">
        <f t="array" ref="F210">_xlfn.IFS(E210&lt;30,"Under",E210&lt;40,"between",E210&gt;=40,"plus")</f>
        <v>plus</v>
      </c>
    </row>
    <row r="211" spans="5:6" x14ac:dyDescent="0.35">
      <c r="E211" s="32">
        <v>43</v>
      </c>
      <c r="F211" s="22" t="str" cm="1">
        <f t="array" ref="F211">_xlfn.IFS(E211&lt;30,"Under",E211&lt;40,"between",E211&gt;=40,"plus")</f>
        <v>plus</v>
      </c>
    </row>
    <row r="212" spans="5:6" x14ac:dyDescent="0.35">
      <c r="E212" s="32">
        <v>29</v>
      </c>
      <c r="F212" s="22" t="str" cm="1">
        <f t="array" ref="F212">_xlfn.IFS(E212&lt;30,"Under",E212&lt;40,"between",E212&gt;=40,"plus")</f>
        <v>Under</v>
      </c>
    </row>
    <row r="213" spans="5:6" x14ac:dyDescent="0.35">
      <c r="E213" s="32">
        <v>32</v>
      </c>
      <c r="F213" s="22" t="str" cm="1">
        <f t="array" ref="F213">_xlfn.IFS(E213&lt;30,"Under",E213&lt;40,"between",E213&gt;=40,"plus")</f>
        <v>between</v>
      </c>
    </row>
    <row r="214" spans="5:6" x14ac:dyDescent="0.35">
      <c r="E214" s="32">
        <v>38</v>
      </c>
      <c r="F214" s="22" t="str" cm="1">
        <f t="array" ref="F214">_xlfn.IFS(E214&lt;30,"Under",E214&lt;40,"between",E214&gt;=40,"plus")</f>
        <v>between</v>
      </c>
    </row>
    <row r="215" spans="5:6" x14ac:dyDescent="0.35">
      <c r="E215" s="32">
        <v>53</v>
      </c>
      <c r="F215" s="22" t="str" cm="1">
        <f t="array" ref="F215">_xlfn.IFS(E215&lt;30,"Under",E215&lt;40,"between",E215&gt;=40,"plus")</f>
        <v>plus</v>
      </c>
    </row>
    <row r="216" spans="5:6" x14ac:dyDescent="0.35">
      <c r="E216" s="32">
        <v>35</v>
      </c>
      <c r="F216" s="22" t="str" cm="1">
        <f t="array" ref="F216">_xlfn.IFS(E216&lt;30,"Under",E216&lt;40,"between",E216&gt;=40,"plus")</f>
        <v>between</v>
      </c>
    </row>
    <row r="217" spans="5:6" x14ac:dyDescent="0.35">
      <c r="E217" s="32">
        <v>41</v>
      </c>
      <c r="F217" s="22" t="str" cm="1">
        <f t="array" ref="F217">_xlfn.IFS(E217&lt;30,"Under",E217&lt;40,"between",E217&gt;=40,"plus")</f>
        <v>plus</v>
      </c>
    </row>
    <row r="218" spans="5:6" x14ac:dyDescent="0.35">
      <c r="E218" s="32">
        <v>22</v>
      </c>
      <c r="F218" s="22" t="str" cm="1">
        <f t="array" ref="F218">_xlfn.IFS(E218&lt;30,"Under",E218&lt;40,"between",E218&gt;=40,"plus")</f>
        <v>Under</v>
      </c>
    </row>
    <row r="219" spans="5:6" x14ac:dyDescent="0.35">
      <c r="E219" s="32">
        <v>29</v>
      </c>
      <c r="F219" s="22" t="str" cm="1">
        <f t="array" ref="F219">_xlfn.IFS(E219&lt;30,"Under",E219&lt;40,"between",E219&gt;=40,"plus")</f>
        <v>Under</v>
      </c>
    </row>
    <row r="220" spans="5:6" x14ac:dyDescent="0.35">
      <c r="E220" s="32">
        <v>43</v>
      </c>
      <c r="F220" s="22" t="str" cm="1">
        <f t="array" ref="F220">_xlfn.IFS(E220&lt;30,"Under",E220&lt;40,"between",E220&gt;=40,"plus")</f>
        <v>plus</v>
      </c>
    </row>
    <row r="221" spans="5:6" x14ac:dyDescent="0.35">
      <c r="E221" s="32">
        <v>51</v>
      </c>
      <c r="F221" s="22" t="str" cm="1">
        <f t="array" ref="F221">_xlfn.IFS(E221&lt;30,"Under",E221&lt;40,"between",E221&gt;=40,"plus")</f>
        <v>plus</v>
      </c>
    </row>
    <row r="222" spans="5:6" x14ac:dyDescent="0.35">
      <c r="E222" s="32">
        <v>38</v>
      </c>
      <c r="F222" s="22" t="str" cm="1">
        <f t="array" ref="F222">_xlfn.IFS(E222&lt;30,"Under",E222&lt;40,"between",E222&gt;=40,"plus")</f>
        <v>between</v>
      </c>
    </row>
    <row r="223" spans="5:6" x14ac:dyDescent="0.35">
      <c r="E223" s="32">
        <v>22</v>
      </c>
      <c r="F223" s="22" t="str" cm="1">
        <f t="array" ref="F223">_xlfn.IFS(E223&lt;30,"Under",E223&lt;40,"between",E223&gt;=40,"plus")</f>
        <v>Under</v>
      </c>
    </row>
    <row r="224" spans="5:6" x14ac:dyDescent="0.35">
      <c r="E224" s="32">
        <v>30</v>
      </c>
      <c r="F224" s="22" t="str" cm="1">
        <f t="array" ref="F224">_xlfn.IFS(E224&lt;30,"Under",E224&lt;40,"between",E224&gt;=40,"plus")</f>
        <v>between</v>
      </c>
    </row>
    <row r="225" spans="5:6" x14ac:dyDescent="0.35">
      <c r="E225" s="32">
        <v>27</v>
      </c>
      <c r="F225" s="22" t="str" cm="1">
        <f t="array" ref="F225">_xlfn.IFS(E225&lt;30,"Under",E225&lt;40,"between",E225&gt;=40,"plus")</f>
        <v>Under</v>
      </c>
    </row>
    <row r="226" spans="5:6" x14ac:dyDescent="0.35">
      <c r="E226" s="32">
        <v>58</v>
      </c>
      <c r="F226" s="22" t="str" cm="1">
        <f t="array" ref="F226">_xlfn.IFS(E226&lt;30,"Under",E226&lt;40,"between",E226&gt;=40,"plus")</f>
        <v>plus</v>
      </c>
    </row>
    <row r="227" spans="5:6" x14ac:dyDescent="0.35">
      <c r="E227" s="32">
        <v>33</v>
      </c>
      <c r="F227" s="22" t="str" cm="1">
        <f t="array" ref="F227">_xlfn.IFS(E227&lt;30,"Under",E227&lt;40,"between",E227&gt;=40,"plus")</f>
        <v>between</v>
      </c>
    </row>
    <row r="228" spans="5:6" x14ac:dyDescent="0.35">
      <c r="E228" s="32">
        <v>33</v>
      </c>
      <c r="F228" s="22" t="str" cm="1">
        <f t="array" ref="F228">_xlfn.IFS(E228&lt;30,"Under",E228&lt;40,"between",E228&gt;=40,"plus")</f>
        <v>between</v>
      </c>
    </row>
    <row r="229" spans="5:6" x14ac:dyDescent="0.35">
      <c r="E229" s="32">
        <v>23</v>
      </c>
      <c r="F229" s="22" t="str" cm="1">
        <f t="array" ref="F229">_xlfn.IFS(E229&lt;30,"Under",E229&lt;40,"between",E229&gt;=40,"plus")</f>
        <v>Under</v>
      </c>
    </row>
    <row r="230" spans="5:6" x14ac:dyDescent="0.35">
      <c r="E230" s="32">
        <v>31</v>
      </c>
      <c r="F230" s="22" t="str" cm="1">
        <f t="array" ref="F230">_xlfn.IFS(E230&lt;30,"Under",E230&lt;40,"between",E230&gt;=40,"plus")</f>
        <v>between</v>
      </c>
    </row>
    <row r="231" spans="5:6" x14ac:dyDescent="0.35">
      <c r="E231" s="32">
        <v>35</v>
      </c>
      <c r="F231" s="22" t="str" cm="1">
        <f t="array" ref="F231">_xlfn.IFS(E231&lt;30,"Under",E231&lt;40,"between",E231&gt;=40,"plus")</f>
        <v>between</v>
      </c>
    </row>
    <row r="232" spans="5:6" x14ac:dyDescent="0.35">
      <c r="E232" s="32">
        <v>29</v>
      </c>
      <c r="F232" s="22" t="str" cm="1">
        <f t="array" ref="F232">_xlfn.IFS(E232&lt;30,"Under",E232&lt;40,"between",E232&gt;=40,"plus")</f>
        <v>Under</v>
      </c>
    </row>
    <row r="233" spans="5:6" x14ac:dyDescent="0.35">
      <c r="E233" s="32">
        <v>42</v>
      </c>
      <c r="F233" s="22" t="str" cm="1">
        <f t="array" ref="F233">_xlfn.IFS(E233&lt;30,"Under",E233&lt;40,"between",E233&gt;=40,"plus")</f>
        <v>plus</v>
      </c>
    </row>
    <row r="234" spans="5:6" x14ac:dyDescent="0.35">
      <c r="E234" s="32">
        <v>28</v>
      </c>
      <c r="F234" s="22" t="str" cm="1">
        <f t="array" ref="F234">_xlfn.IFS(E234&lt;30,"Under",E234&lt;40,"between",E234&gt;=40,"plus")</f>
        <v>Under</v>
      </c>
    </row>
    <row r="235" spans="5:6" x14ac:dyDescent="0.35">
      <c r="E235" s="32">
        <v>27</v>
      </c>
      <c r="F235" s="22" t="str" cm="1">
        <f t="array" ref="F235">_xlfn.IFS(E235&lt;30,"Under",E235&lt;40,"between",E235&gt;=40,"plus")</f>
        <v>Under</v>
      </c>
    </row>
    <row r="236" spans="5:6" x14ac:dyDescent="0.35">
      <c r="E236" s="32">
        <v>36</v>
      </c>
      <c r="F236" s="22" t="str" cm="1">
        <f t="array" ref="F236">_xlfn.IFS(E236&lt;30,"Under",E236&lt;40,"between",E236&gt;=40,"plus")</f>
        <v>between</v>
      </c>
    </row>
    <row r="237" spans="5:6" x14ac:dyDescent="0.35">
      <c r="E237" s="32">
        <v>22</v>
      </c>
      <c r="F237" s="22" t="str" cm="1">
        <f t="array" ref="F237">_xlfn.IFS(E237&lt;30,"Under",E237&lt;40,"between",E237&gt;=40,"plus")</f>
        <v>Under</v>
      </c>
    </row>
    <row r="238" spans="5:6" x14ac:dyDescent="0.35">
      <c r="E238" s="32">
        <v>29</v>
      </c>
      <c r="F238" s="22" t="str" cm="1">
        <f t="array" ref="F238">_xlfn.IFS(E238&lt;30,"Under",E238&lt;40,"between",E238&gt;=40,"plus")</f>
        <v>Under</v>
      </c>
    </row>
    <row r="239" spans="5:6" x14ac:dyDescent="0.35">
      <c r="E239" s="32">
        <v>27</v>
      </c>
      <c r="F239" s="22" t="str" cm="1">
        <f t="array" ref="F239">_xlfn.IFS(E239&lt;30,"Under",E239&lt;40,"between",E239&gt;=40,"plus")</f>
        <v>Under</v>
      </c>
    </row>
    <row r="240" spans="5:6" x14ac:dyDescent="0.35">
      <c r="E240" s="32">
        <v>27</v>
      </c>
      <c r="F240" s="22" t="str" cm="1">
        <f t="array" ref="F240">_xlfn.IFS(E240&lt;30,"Under",E240&lt;40,"between",E240&gt;=40,"plus")</f>
        <v>Under</v>
      </c>
    </row>
    <row r="241" spans="5:6" x14ac:dyDescent="0.35">
      <c r="E241" s="32">
        <v>36</v>
      </c>
      <c r="F241" s="22" t="str" cm="1">
        <f t="array" ref="F241">_xlfn.IFS(E241&lt;30,"Under",E241&lt;40,"between",E241&gt;=40,"plus")</f>
        <v>between</v>
      </c>
    </row>
    <row r="242" spans="5:6" x14ac:dyDescent="0.35">
      <c r="E242" s="32">
        <v>26</v>
      </c>
      <c r="F242" s="22" t="str" cm="1">
        <f t="array" ref="F242">_xlfn.IFS(E242&lt;30,"Under",E242&lt;40,"between",E242&gt;=40,"plus")</f>
        <v>Under</v>
      </c>
    </row>
    <row r="243" spans="5:6" x14ac:dyDescent="0.35">
      <c r="E243" s="32">
        <v>29</v>
      </c>
      <c r="F243" s="22" t="str" cm="1">
        <f t="array" ref="F243">_xlfn.IFS(E243&lt;30,"Under",E243&lt;40,"between",E243&gt;=40,"plus")</f>
        <v>Under</v>
      </c>
    </row>
    <row r="244" spans="5:6" x14ac:dyDescent="0.35">
      <c r="E244" s="32">
        <v>19</v>
      </c>
      <c r="F244" s="22" t="str" cm="1">
        <f t="array" ref="F244">_xlfn.IFS(E244&lt;30,"Under",E244&lt;40,"between",E244&gt;=40,"plus")</f>
        <v>Under</v>
      </c>
    </row>
    <row r="245" spans="5:6" x14ac:dyDescent="0.35">
      <c r="E245" s="32">
        <v>34</v>
      </c>
      <c r="F245" s="22" t="str" cm="1">
        <f t="array" ref="F245">_xlfn.IFS(E245&lt;30,"Under",E245&lt;40,"between",E245&gt;=40,"plus")</f>
        <v>between</v>
      </c>
    </row>
    <row r="246" spans="5:6" x14ac:dyDescent="0.35">
      <c r="E246" s="32">
        <v>35</v>
      </c>
      <c r="F246" s="22" t="str" cm="1">
        <f t="array" ref="F246">_xlfn.IFS(E246&lt;30,"Under",E246&lt;40,"between",E246&gt;=40,"plus")</f>
        <v>between</v>
      </c>
    </row>
    <row r="247" spans="5:6" x14ac:dyDescent="0.35">
      <c r="E247" s="32">
        <v>44</v>
      </c>
      <c r="F247" s="22" t="str" cm="1">
        <f t="array" ref="F247">_xlfn.IFS(E247&lt;30,"Under",E247&lt;40,"between",E247&gt;=40,"plus")</f>
        <v>plus</v>
      </c>
    </row>
    <row r="248" spans="5:6" x14ac:dyDescent="0.35">
      <c r="E248" s="32">
        <v>48</v>
      </c>
      <c r="F248" s="22" t="str" cm="1">
        <f t="array" ref="F248">_xlfn.IFS(E248&lt;30,"Under",E248&lt;40,"between",E248&gt;=40,"plus")</f>
        <v>plus</v>
      </c>
    </row>
    <row r="249" spans="5:6" x14ac:dyDescent="0.35">
      <c r="E249" s="32">
        <v>28</v>
      </c>
      <c r="F249" s="22" t="str" cm="1">
        <f t="array" ref="F249">_xlfn.IFS(E249&lt;30,"Under",E249&lt;40,"between",E249&gt;=40,"plus")</f>
        <v>Under</v>
      </c>
    </row>
    <row r="250" spans="5:6" x14ac:dyDescent="0.35">
      <c r="E250" s="32">
        <v>19</v>
      </c>
      <c r="F250" s="22" t="str" cm="1">
        <f t="array" ref="F250">_xlfn.IFS(E250&lt;30,"Under",E250&lt;40,"between",E250&gt;=40,"plus")</f>
        <v>Under</v>
      </c>
    </row>
    <row r="251" spans="5:6" x14ac:dyDescent="0.35">
      <c r="E251" s="32">
        <v>30</v>
      </c>
      <c r="F251" s="22" t="str" cm="1">
        <f t="array" ref="F251">_xlfn.IFS(E251&lt;30,"Under",E251&lt;40,"between",E251&gt;=40,"plus")</f>
        <v>between</v>
      </c>
    </row>
    <row r="252" spans="5:6" x14ac:dyDescent="0.35">
      <c r="E252" s="32">
        <v>27</v>
      </c>
      <c r="F252" s="22" t="str" cm="1">
        <f t="array" ref="F252">_xlfn.IFS(E252&lt;30,"Under",E252&lt;40,"between",E252&gt;=40,"plus")</f>
        <v>Under</v>
      </c>
    </row>
    <row r="253" spans="5:6" x14ac:dyDescent="0.35">
      <c r="E253" s="32">
        <v>26</v>
      </c>
      <c r="F253" s="22" t="str" cm="1">
        <f t="array" ref="F253">_xlfn.IFS(E253&lt;30,"Under",E253&lt;40,"between",E253&gt;=40,"plus")</f>
        <v>Under</v>
      </c>
    </row>
    <row r="254" spans="5:6" x14ac:dyDescent="0.35">
      <c r="E254" s="32">
        <v>36</v>
      </c>
      <c r="F254" s="22" t="str" cm="1">
        <f t="array" ref="F254">_xlfn.IFS(E254&lt;30,"Under",E254&lt;40,"between",E254&gt;=40,"plus")</f>
        <v>between</v>
      </c>
    </row>
    <row r="255" spans="5:6" x14ac:dyDescent="0.35">
      <c r="E255" s="32">
        <v>35</v>
      </c>
      <c r="F255" s="22" t="str" cm="1">
        <f t="array" ref="F255">_xlfn.IFS(E255&lt;30,"Under",E255&lt;40,"between",E255&gt;=40,"plus")</f>
        <v>between</v>
      </c>
    </row>
    <row r="256" spans="5:6" x14ac:dyDescent="0.35">
      <c r="E256" s="32">
        <v>42</v>
      </c>
      <c r="F256" s="22" t="str" cm="1">
        <f t="array" ref="F256">_xlfn.IFS(E256&lt;30,"Under",E256&lt;40,"between",E256&gt;=40,"plus")</f>
        <v>plus</v>
      </c>
    </row>
    <row r="257" spans="5:6" x14ac:dyDescent="0.35">
      <c r="E257" s="32">
        <v>34</v>
      </c>
      <c r="F257" s="22" t="str" cm="1">
        <f t="array" ref="F257">_xlfn.IFS(E257&lt;30,"Under",E257&lt;40,"between",E257&gt;=40,"plus")</f>
        <v>between</v>
      </c>
    </row>
    <row r="258" spans="5:6" x14ac:dyDescent="0.35">
      <c r="E258" s="32">
        <v>27</v>
      </c>
      <c r="F258" s="22" t="str" cm="1">
        <f t="array" ref="F258">_xlfn.IFS(E258&lt;30,"Under",E258&lt;40,"between",E258&gt;=40,"plus")</f>
        <v>Under</v>
      </c>
    </row>
    <row r="259" spans="5:6" x14ac:dyDescent="0.35">
      <c r="E259" s="32">
        <v>34</v>
      </c>
      <c r="F259" s="22" t="str" cm="1">
        <f t="array" ref="F259">_xlfn.IFS(E259&lt;30,"Under",E259&lt;40,"between",E259&gt;=40,"plus")</f>
        <v>between</v>
      </c>
    </row>
    <row r="260" spans="5:6" x14ac:dyDescent="0.35">
      <c r="E260" s="32">
        <v>49</v>
      </c>
      <c r="F260" s="22" t="str" cm="1">
        <f t="array" ref="F260">_xlfn.IFS(E260&lt;30,"Under",E260&lt;40,"between",E260&gt;=40,"plus")</f>
        <v>plus</v>
      </c>
    </row>
    <row r="261" spans="5:6" x14ac:dyDescent="0.35">
      <c r="E261" s="32">
        <v>56</v>
      </c>
      <c r="F261" s="22" t="str" cm="1">
        <f t="array" ref="F261">_xlfn.IFS(E261&lt;30,"Under",E261&lt;40,"between",E261&gt;=40,"plus")</f>
        <v>plus</v>
      </c>
    </row>
    <row r="262" spans="5:6" x14ac:dyDescent="0.35">
      <c r="E262" s="32">
        <v>38</v>
      </c>
      <c r="F262" s="22" t="str" cm="1">
        <f t="array" ref="F262">_xlfn.IFS(E262&lt;30,"Under",E262&lt;40,"between",E262&gt;=40,"plus")</f>
        <v>between</v>
      </c>
    </row>
    <row r="263" spans="5:6" x14ac:dyDescent="0.35">
      <c r="E263" s="32">
        <v>42</v>
      </c>
      <c r="F263" s="22" t="str" cm="1">
        <f t="array" ref="F263">_xlfn.IFS(E263&lt;30,"Under",E263&lt;40,"between",E263&gt;=40,"plus")</f>
        <v>plus</v>
      </c>
    </row>
    <row r="264" spans="5:6" x14ac:dyDescent="0.35">
      <c r="E264" s="32">
        <v>28</v>
      </c>
      <c r="F264" s="22" t="str" cm="1">
        <f t="array" ref="F264">_xlfn.IFS(E264&lt;30,"Under",E264&lt;40,"between",E264&gt;=40,"plus")</f>
        <v>Under</v>
      </c>
    </row>
    <row r="265" spans="5:6" x14ac:dyDescent="0.35">
      <c r="E265" s="32">
        <v>20</v>
      </c>
      <c r="F265" s="22" t="str" cm="1">
        <f t="array" ref="F265">_xlfn.IFS(E265&lt;30,"Under",E265&lt;40,"between",E265&gt;=40,"plus")</f>
        <v>Under</v>
      </c>
    </row>
    <row r="266" spans="5:6" x14ac:dyDescent="0.35">
      <c r="E266" s="32">
        <v>21</v>
      </c>
      <c r="F266" s="22" t="str" cm="1">
        <f t="array" ref="F266">_xlfn.IFS(E266&lt;30,"Under",E266&lt;40,"between",E266&gt;=40,"plus")</f>
        <v>Under</v>
      </c>
    </row>
    <row r="267" spans="5:6" x14ac:dyDescent="0.35">
      <c r="E267" s="32">
        <v>31</v>
      </c>
      <c r="F267" s="22" t="str" cm="1">
        <f t="array" ref="F267">_xlfn.IFS(E267&lt;30,"Under",E267&lt;40,"between",E267&gt;=40,"plus")</f>
        <v>between</v>
      </c>
    </row>
    <row r="268" spans="5:6" x14ac:dyDescent="0.35">
      <c r="E268" s="32">
        <v>38</v>
      </c>
      <c r="F268" s="22" t="str" cm="1">
        <f t="array" ref="F268">_xlfn.IFS(E268&lt;30,"Under",E268&lt;40,"between",E268&gt;=40,"plus")</f>
        <v>between</v>
      </c>
    </row>
    <row r="269" spans="5:6" x14ac:dyDescent="0.35">
      <c r="E269" s="32">
        <v>30</v>
      </c>
      <c r="F269" s="22" t="str" cm="1">
        <f t="array" ref="F269">_xlfn.IFS(E269&lt;30,"Under",E269&lt;40,"between",E269&gt;=40,"plus")</f>
        <v>between</v>
      </c>
    </row>
    <row r="270" spans="5:6" x14ac:dyDescent="0.35">
      <c r="E270" s="32">
        <v>38</v>
      </c>
      <c r="F270" s="22" t="str" cm="1">
        <f t="array" ref="F270">_xlfn.IFS(E270&lt;30,"Under",E270&lt;40,"between",E270&gt;=40,"plus")</f>
        <v>between</v>
      </c>
    </row>
    <row r="271" spans="5:6" x14ac:dyDescent="0.35">
      <c r="E271" s="32">
        <v>33</v>
      </c>
      <c r="F271" s="22" t="str" cm="1">
        <f t="array" ref="F271">_xlfn.IFS(E271&lt;30,"Under",E271&lt;40,"between",E271&gt;=40,"plus")</f>
        <v>between</v>
      </c>
    </row>
    <row r="272" spans="5:6" x14ac:dyDescent="0.35">
      <c r="E272" s="32">
        <v>21</v>
      </c>
      <c r="F272" s="22" t="str" cm="1">
        <f t="array" ref="F272">_xlfn.IFS(E272&lt;30,"Under",E272&lt;40,"between",E272&gt;=40,"plus")</f>
        <v>Under</v>
      </c>
    </row>
    <row r="273" spans="5:6" x14ac:dyDescent="0.35">
      <c r="E273" s="32">
        <v>30</v>
      </c>
      <c r="F273" s="22" t="str" cm="1">
        <f t="array" ref="F273">_xlfn.IFS(E273&lt;30,"Under",E273&lt;40,"between",E273&gt;=40,"plus")</f>
        <v>between</v>
      </c>
    </row>
    <row r="274" spans="5:6" x14ac:dyDescent="0.35">
      <c r="E274" s="32">
        <v>29</v>
      </c>
      <c r="F274" s="22" t="str" cm="1">
        <f t="array" ref="F274">_xlfn.IFS(E274&lt;30,"Under",E274&lt;40,"between",E274&gt;=40,"plus")</f>
        <v>Under</v>
      </c>
    </row>
    <row r="275" spans="5:6" x14ac:dyDescent="0.35">
      <c r="E275" s="32">
        <v>36</v>
      </c>
      <c r="F275" s="22" t="str" cm="1">
        <f t="array" ref="F275">_xlfn.IFS(E275&lt;30,"Under",E275&lt;40,"between",E275&gt;=40,"plus")</f>
        <v>between</v>
      </c>
    </row>
    <row r="276" spans="5:6" x14ac:dyDescent="0.35">
      <c r="E276" s="32">
        <v>43</v>
      </c>
      <c r="F276" s="22" t="str" cm="1">
        <f t="array" ref="F276">_xlfn.IFS(E276&lt;30,"Under",E276&lt;40,"between",E276&gt;=40,"plus")</f>
        <v>plus</v>
      </c>
    </row>
    <row r="277" spans="5:6" x14ac:dyDescent="0.35">
      <c r="E277" s="32">
        <v>23</v>
      </c>
      <c r="F277" s="22" t="str" cm="1">
        <f t="array" ref="F277">_xlfn.IFS(E277&lt;30,"Under",E277&lt;40,"between",E277&gt;=40,"plus")</f>
        <v>Under</v>
      </c>
    </row>
    <row r="278" spans="5:6" x14ac:dyDescent="0.35">
      <c r="E278" s="32">
        <v>45</v>
      </c>
      <c r="F278" s="22" t="str" cm="1">
        <f t="array" ref="F278">_xlfn.IFS(E278&lt;30,"Under",E278&lt;40,"between",E278&gt;=40,"plus")</f>
        <v>plus</v>
      </c>
    </row>
    <row r="279" spans="5:6" x14ac:dyDescent="0.35">
      <c r="E279" s="32">
        <v>48</v>
      </c>
      <c r="F279" s="22" t="str" cm="1">
        <f t="array" ref="F279">_xlfn.IFS(E279&lt;30,"Under",E279&lt;40,"between",E279&gt;=40,"plus")</f>
        <v>plus</v>
      </c>
    </row>
    <row r="280" spans="5:6" x14ac:dyDescent="0.35">
      <c r="E280" s="32">
        <v>30</v>
      </c>
      <c r="F280" s="22" t="str" cm="1">
        <f t="array" ref="F280">_xlfn.IFS(E280&lt;30,"Under",E280&lt;40,"between",E280&gt;=40,"plus")</f>
        <v>between</v>
      </c>
    </row>
    <row r="281" spans="5:6" x14ac:dyDescent="0.35">
      <c r="E281" s="32">
        <v>31</v>
      </c>
      <c r="F281" s="22" t="str" cm="1">
        <f t="array" ref="F281">_xlfn.IFS(E281&lt;30,"Under",E281&lt;40,"between",E281&gt;=40,"plus")</f>
        <v>between</v>
      </c>
    </row>
    <row r="282" spans="5:6" x14ac:dyDescent="0.35">
      <c r="E282" s="32">
        <v>26</v>
      </c>
      <c r="F282" s="22" t="str" cm="1">
        <f t="array" ref="F282">_xlfn.IFS(E282&lt;30,"Under",E282&lt;40,"between",E282&gt;=40,"plus")</f>
        <v>Under</v>
      </c>
    </row>
    <row r="283" spans="5:6" x14ac:dyDescent="0.35">
      <c r="E283" s="32">
        <v>35</v>
      </c>
      <c r="F283" s="22" t="str" cm="1">
        <f t="array" ref="F283">_xlfn.IFS(E283&lt;30,"Under",E283&lt;40,"between",E283&gt;=40,"plus")</f>
        <v>between</v>
      </c>
    </row>
    <row r="284" spans="5:6" x14ac:dyDescent="0.35">
      <c r="E284" s="32">
        <v>34</v>
      </c>
      <c r="F284" s="22" t="str" cm="1">
        <f t="array" ref="F284">_xlfn.IFS(E284&lt;30,"Under",E284&lt;40,"between",E284&gt;=40,"plus")</f>
        <v>between</v>
      </c>
    </row>
    <row r="285" spans="5:6" x14ac:dyDescent="0.35">
      <c r="E285" s="32">
        <v>55</v>
      </c>
      <c r="F285" s="22" t="str" cm="1">
        <f t="array" ref="F285">_xlfn.IFS(E285&lt;30,"Under",E285&lt;40,"between",E285&gt;=40,"plus")</f>
        <v>plus</v>
      </c>
    </row>
    <row r="286" spans="5:6" x14ac:dyDescent="0.35">
      <c r="E286" s="32">
        <v>59</v>
      </c>
      <c r="F286" s="22" t="str" cm="1">
        <f t="array" ref="F286">_xlfn.IFS(E286&lt;30,"Under",E286&lt;40,"between",E286&gt;=40,"plus")</f>
        <v>plus</v>
      </c>
    </row>
    <row r="287" spans="5:6" x14ac:dyDescent="0.35">
      <c r="E287" s="32">
        <v>20</v>
      </c>
      <c r="F287" s="22" t="str" cm="1">
        <f t="array" ref="F287">_xlfn.IFS(E287&lt;30,"Under",E287&lt;40,"between",E287&gt;=40,"plus")</f>
        <v>Under</v>
      </c>
    </row>
    <row r="288" spans="5:6" x14ac:dyDescent="0.35">
      <c r="E288" s="32">
        <v>21</v>
      </c>
      <c r="F288" s="22" t="str" cm="1">
        <f t="array" ref="F288">_xlfn.IFS(E288&lt;30,"Under",E288&lt;40,"between",E288&gt;=40,"plus")</f>
        <v>Under</v>
      </c>
    </row>
    <row r="289" spans="5:6" x14ac:dyDescent="0.35">
      <c r="E289" s="32">
        <v>50</v>
      </c>
      <c r="F289" s="22" t="str" cm="1">
        <f t="array" ref="F289">_xlfn.IFS(E289&lt;30,"Under",E289&lt;40,"between",E289&gt;=40,"plus")</f>
        <v>plus</v>
      </c>
    </row>
    <row r="290" spans="5:6" x14ac:dyDescent="0.35">
      <c r="E290" s="32">
        <v>38</v>
      </c>
      <c r="F290" s="22" t="str" cm="1">
        <f t="array" ref="F290">_xlfn.IFS(E290&lt;30,"Under",E290&lt;40,"between",E290&gt;=40,"plus")</f>
        <v>between</v>
      </c>
    </row>
    <row r="291" spans="5:6" x14ac:dyDescent="0.35">
      <c r="E291" s="32">
        <v>33</v>
      </c>
      <c r="F291" s="22" t="str" cm="1">
        <f t="array" ref="F291">_xlfn.IFS(E291&lt;30,"Under",E291&lt;40,"between",E291&gt;=40,"plus")</f>
        <v>between</v>
      </c>
    </row>
    <row r="292" spans="5:6" x14ac:dyDescent="0.35">
      <c r="E292" s="32">
        <v>35</v>
      </c>
      <c r="F292" s="22" t="str" cm="1">
        <f t="array" ref="F292">_xlfn.IFS(E292&lt;30,"Under",E292&lt;40,"between",E292&gt;=40,"plus")</f>
        <v>between</v>
      </c>
    </row>
    <row r="293" spans="5:6" x14ac:dyDescent="0.35">
      <c r="E293" s="32">
        <v>34</v>
      </c>
      <c r="F293" s="22" t="str" cm="1">
        <f t="array" ref="F293">_xlfn.IFS(E293&lt;30,"Under",E293&lt;40,"between",E293&gt;=40,"plus")</f>
        <v>between</v>
      </c>
    </row>
    <row r="294" spans="5:6" x14ac:dyDescent="0.35">
      <c r="E294" s="32">
        <v>30</v>
      </c>
      <c r="F294" s="22" t="str" cm="1">
        <f t="array" ref="F294">_xlfn.IFS(E294&lt;30,"Under",E294&lt;40,"between",E294&gt;=40,"plus")</f>
        <v>between</v>
      </c>
    </row>
    <row r="295" spans="5:6" x14ac:dyDescent="0.35">
      <c r="E295" s="32">
        <v>21</v>
      </c>
      <c r="F295" s="22" t="str" cm="1">
        <f t="array" ref="F295">_xlfn.IFS(E295&lt;30,"Under",E295&lt;40,"between",E295&gt;=40,"plus")</f>
        <v>Under</v>
      </c>
    </row>
    <row r="296" spans="5:6" x14ac:dyDescent="0.35">
      <c r="E296" s="32">
        <v>24</v>
      </c>
      <c r="F296" s="22" t="str" cm="1">
        <f t="array" ref="F296">_xlfn.IFS(E296&lt;30,"Under",E296&lt;40,"between",E296&gt;=40,"plus")</f>
        <v>Under</v>
      </c>
    </row>
    <row r="297" spans="5:6" x14ac:dyDescent="0.35">
      <c r="E297" s="32">
        <v>31</v>
      </c>
      <c r="F297" s="22" t="str" cm="1">
        <f t="array" ref="F297">_xlfn.IFS(E297&lt;30,"Under",E297&lt;40,"between",E297&gt;=40,"plus")</f>
        <v>between</v>
      </c>
    </row>
    <row r="298" spans="5:6" x14ac:dyDescent="0.35">
      <c r="E298" s="32">
        <v>42</v>
      </c>
      <c r="F298" s="22" t="str" cm="1">
        <f t="array" ref="F298">_xlfn.IFS(E298&lt;30,"Under",E298&lt;40,"between",E298&gt;=40,"plus")</f>
        <v>plus</v>
      </c>
    </row>
    <row r="299" spans="5:6" x14ac:dyDescent="0.35">
      <c r="E299" s="32">
        <v>29</v>
      </c>
      <c r="F299" s="22" t="str" cm="1">
        <f t="array" ref="F299">_xlfn.IFS(E299&lt;30,"Under",E299&lt;40,"between",E299&gt;=40,"plus")</f>
        <v>Under</v>
      </c>
    </row>
    <row r="300" spans="5:6" x14ac:dyDescent="0.35">
      <c r="E300" s="32">
        <v>29</v>
      </c>
      <c r="F300" s="22" t="str" cm="1">
        <f t="array" ref="F300">_xlfn.IFS(E300&lt;30,"Under",E300&lt;40,"between",E300&gt;=40,"plus")</f>
        <v>Under</v>
      </c>
    </row>
    <row r="301" spans="5:6" x14ac:dyDescent="0.35">
      <c r="E301" s="32">
        <v>28</v>
      </c>
      <c r="F301" s="22" t="str" cm="1">
        <f t="array" ref="F301">_xlfn.IFS(E301&lt;30,"Under",E301&lt;40,"between",E301&gt;=40,"plus")</f>
        <v>Under</v>
      </c>
    </row>
    <row r="302" spans="5:6" x14ac:dyDescent="0.35">
      <c r="E302" s="32">
        <v>35</v>
      </c>
      <c r="F302" s="22" t="str" cm="1">
        <f t="array" ref="F302">_xlfn.IFS(E302&lt;30,"Under",E302&lt;40,"between",E302&gt;=40,"plus")</f>
        <v>between</v>
      </c>
    </row>
    <row r="303" spans="5:6" x14ac:dyDescent="0.35">
      <c r="E303" s="32">
        <v>28</v>
      </c>
      <c r="F303" s="22" t="str" cm="1">
        <f t="array" ref="F303">_xlfn.IFS(E303&lt;30,"Under",E303&lt;40,"between",E303&gt;=40,"plus")</f>
        <v>Under</v>
      </c>
    </row>
    <row r="304" spans="5:6" x14ac:dyDescent="0.35">
      <c r="E304" s="32">
        <v>33</v>
      </c>
      <c r="F304" s="22" t="str" cm="1">
        <f t="array" ref="F304">_xlfn.IFS(E304&lt;30,"Under",E304&lt;40,"between",E304&gt;=40,"plus")</f>
        <v>between</v>
      </c>
    </row>
    <row r="305" spans="5:6" x14ac:dyDescent="0.35">
      <c r="E305" s="32">
        <v>28</v>
      </c>
      <c r="F305" s="22" t="str" cm="1">
        <f t="array" ref="F305">_xlfn.IFS(E305&lt;30,"Under",E305&lt;40,"between",E305&gt;=40,"plus")</f>
        <v>Under</v>
      </c>
    </row>
    <row r="306" spans="5:6" x14ac:dyDescent="0.35">
      <c r="E306" s="32">
        <v>21</v>
      </c>
      <c r="F306" s="22" t="str" cm="1">
        <f t="array" ref="F306">_xlfn.IFS(E306&lt;30,"Under",E306&lt;40,"between",E306&gt;=40,"plus")</f>
        <v>Under</v>
      </c>
    </row>
    <row r="307" spans="5:6" x14ac:dyDescent="0.35">
      <c r="E307" s="32">
        <v>32</v>
      </c>
      <c r="F307" s="22" t="str" cm="1">
        <f t="array" ref="F307">_xlfn.IFS(E307&lt;30,"Under",E307&lt;40,"between",E307&gt;=40,"plus")</f>
        <v>between</v>
      </c>
    </row>
    <row r="308" spans="5:6" x14ac:dyDescent="0.35">
      <c r="E308" s="32">
        <v>30</v>
      </c>
      <c r="F308" s="22" t="str" cm="1">
        <f t="array" ref="F308">_xlfn.IFS(E308&lt;30,"Under",E308&lt;40,"between",E308&gt;=40,"plus")</f>
        <v>between</v>
      </c>
    </row>
    <row r="309" spans="5:6" x14ac:dyDescent="0.35">
      <c r="E309" s="32">
        <v>29</v>
      </c>
      <c r="F309" s="22" t="str" cm="1">
        <f t="array" ref="F309">_xlfn.IFS(E309&lt;30,"Under",E309&lt;40,"between",E309&gt;=40,"plus")</f>
        <v>Under</v>
      </c>
    </row>
    <row r="310" spans="5:6" x14ac:dyDescent="0.35">
      <c r="E310" s="32">
        <v>51</v>
      </c>
      <c r="F310" s="22" t="str" cm="1">
        <f t="array" ref="F310">_xlfn.IFS(E310&lt;30,"Under",E310&lt;40,"between",E310&gt;=40,"plus")</f>
        <v>plus</v>
      </c>
    </row>
    <row r="311" spans="5:6" x14ac:dyDescent="0.35">
      <c r="E311" s="32">
        <v>24</v>
      </c>
      <c r="F311" s="22" t="str" cm="1">
        <f t="array" ref="F311">_xlfn.IFS(E311&lt;30,"Under",E311&lt;40,"between",E311&gt;=40,"plus")</f>
        <v>Under</v>
      </c>
    </row>
    <row r="312" spans="5:6" x14ac:dyDescent="0.35">
      <c r="E312" s="32">
        <v>20</v>
      </c>
      <c r="F312" s="22" t="str" cm="1">
        <f t="array" ref="F312">_xlfn.IFS(E312&lt;30,"Under",E312&lt;40,"between",E312&gt;=40,"plus")</f>
        <v>Under</v>
      </c>
    </row>
    <row r="313" spans="5:6" x14ac:dyDescent="0.35">
      <c r="E313" s="32">
        <v>40</v>
      </c>
      <c r="F313" s="22" t="str" cm="1">
        <f t="array" ref="F313">_xlfn.IFS(E313&lt;30,"Under",E313&lt;40,"between",E313&gt;=40,"plus")</f>
        <v>plus</v>
      </c>
    </row>
    <row r="314" spans="5:6" x14ac:dyDescent="0.35">
      <c r="E314" s="32">
        <v>26</v>
      </c>
      <c r="F314" s="22" t="str" cm="1">
        <f t="array" ref="F314">_xlfn.IFS(E314&lt;30,"Under",E314&lt;40,"between",E314&gt;=40,"plus")</f>
        <v>Under</v>
      </c>
    </row>
    <row r="315" spans="5:6" x14ac:dyDescent="0.35">
      <c r="E315" s="32">
        <v>36</v>
      </c>
      <c r="F315" s="22" t="str" cm="1">
        <f t="array" ref="F315">_xlfn.IFS(E315&lt;30,"Under",E315&lt;40,"between",E315&gt;=40,"plus")</f>
        <v>between</v>
      </c>
    </row>
    <row r="316" spans="5:6" x14ac:dyDescent="0.35">
      <c r="E316" s="32">
        <v>34</v>
      </c>
      <c r="F316" s="22" t="str" cm="1">
        <f t="array" ref="F316">_xlfn.IFS(E316&lt;30,"Under",E316&lt;40,"between",E316&gt;=40,"plus")</f>
        <v>between</v>
      </c>
    </row>
    <row r="317" spans="5:6" x14ac:dyDescent="0.35">
      <c r="E317" s="32">
        <v>36</v>
      </c>
      <c r="F317" s="22" t="str" cm="1">
        <f t="array" ref="F317">_xlfn.IFS(E317&lt;30,"Under",E317&lt;40,"between",E317&gt;=40,"plus")</f>
        <v>between</v>
      </c>
    </row>
    <row r="318" spans="5:6" x14ac:dyDescent="0.35">
      <c r="E318" s="32">
        <v>32</v>
      </c>
      <c r="F318" s="22" t="str" cm="1">
        <f t="array" ref="F318">_xlfn.IFS(E318&lt;30,"Under",E318&lt;40,"between",E318&gt;=40,"plus")</f>
        <v>between</v>
      </c>
    </row>
    <row r="319" spans="5:6" x14ac:dyDescent="0.35">
      <c r="E319" s="32">
        <v>33</v>
      </c>
      <c r="F319" s="22" t="str" cm="1">
        <f t="array" ref="F319">_xlfn.IFS(E319&lt;30,"Under",E319&lt;40,"between",E319&gt;=40,"plus")</f>
        <v>between</v>
      </c>
    </row>
    <row r="320" spans="5:6" x14ac:dyDescent="0.35">
      <c r="E320" s="32">
        <v>42</v>
      </c>
      <c r="F320" s="22" t="str" cm="1">
        <f t="array" ref="F320">_xlfn.IFS(E320&lt;30,"Under",E320&lt;40,"between",E320&gt;=40,"plus")</f>
        <v>plus</v>
      </c>
    </row>
    <row r="321" spans="5:6" x14ac:dyDescent="0.35">
      <c r="E321" s="32">
        <v>29</v>
      </c>
      <c r="F321" s="22" t="str" cm="1">
        <f t="array" ref="F321">_xlfn.IFS(E321&lt;30,"Under",E321&lt;40,"between",E321&gt;=40,"plus")</f>
        <v>Under</v>
      </c>
    </row>
    <row r="322" spans="5:6" x14ac:dyDescent="0.35">
      <c r="E322" s="32">
        <v>42</v>
      </c>
      <c r="F322" s="22" t="str" cm="1">
        <f t="array" ref="F322">_xlfn.IFS(E322&lt;30,"Under",E322&lt;40,"between",E322&gt;=40,"plus")</f>
        <v>plus</v>
      </c>
    </row>
    <row r="323" spans="5:6" x14ac:dyDescent="0.35">
      <c r="E323" s="32">
        <v>34</v>
      </c>
      <c r="F323" s="22" t="str" cm="1">
        <f t="array" ref="F323">_xlfn.IFS(E323&lt;30,"Under",E323&lt;40,"between",E323&gt;=40,"plus")</f>
        <v>between</v>
      </c>
    </row>
    <row r="324" spans="5:6" x14ac:dyDescent="0.35">
      <c r="E324" s="32">
        <v>22</v>
      </c>
      <c r="F324" s="22" t="str" cm="1">
        <f t="array" ref="F324">_xlfn.IFS(E324&lt;30,"Under",E324&lt;40,"between",E324&gt;=40,"plus")</f>
        <v>Under</v>
      </c>
    </row>
    <row r="325" spans="5:6" x14ac:dyDescent="0.35">
      <c r="E325" s="32">
        <v>24</v>
      </c>
      <c r="F325" s="22" t="str" cm="1">
        <f t="array" ref="F325">_xlfn.IFS(E325&lt;30,"Under",E325&lt;40,"between",E325&gt;=40,"plus")</f>
        <v>Under</v>
      </c>
    </row>
    <row r="326" spans="5:6" x14ac:dyDescent="0.35">
      <c r="E326" s="32">
        <v>41</v>
      </c>
      <c r="F326" s="22" t="str" cm="1">
        <f t="array" ref="F326">_xlfn.IFS(E326&lt;30,"Under",E326&lt;40,"between",E326&gt;=40,"plus")</f>
        <v>plus</v>
      </c>
    </row>
    <row r="327" spans="5:6" x14ac:dyDescent="0.35">
      <c r="E327" s="32">
        <v>33</v>
      </c>
      <c r="F327" s="22" t="str" cm="1">
        <f t="array" ref="F327">_xlfn.IFS(E327&lt;30,"Under",E327&lt;40,"between",E327&gt;=40,"plus")</f>
        <v>between</v>
      </c>
    </row>
    <row r="328" spans="5:6" x14ac:dyDescent="0.35">
      <c r="E328" s="32">
        <v>37</v>
      </c>
      <c r="F328" s="22" t="str" cm="1">
        <f t="array" ref="F328">_xlfn.IFS(E328&lt;30,"Under",E328&lt;40,"between",E328&gt;=40,"plus")</f>
        <v>between</v>
      </c>
    </row>
    <row r="329" spans="5:6" x14ac:dyDescent="0.35">
      <c r="E329" s="32">
        <v>41</v>
      </c>
      <c r="F329" s="22" t="str" cm="1">
        <f t="array" ref="F329">_xlfn.IFS(E329&lt;30,"Under",E329&lt;40,"between",E329&gt;=40,"plus")</f>
        <v>plus</v>
      </c>
    </row>
    <row r="330" spans="5:6" x14ac:dyDescent="0.35">
      <c r="E330" s="32">
        <v>20</v>
      </c>
      <c r="F330" s="22" t="str" cm="1">
        <f t="array" ref="F330">_xlfn.IFS(E330&lt;30,"Under",E330&lt;40,"between",E330&gt;=40,"plus")</f>
        <v>Under</v>
      </c>
    </row>
    <row r="331" spans="5:6" x14ac:dyDescent="0.35">
      <c r="E331" s="32">
        <v>31</v>
      </c>
      <c r="F331" s="22" t="str" cm="1">
        <f t="array" ref="F331">_xlfn.IFS(E331&lt;30,"Under",E331&lt;40,"between",E331&gt;=40,"plus")</f>
        <v>between</v>
      </c>
    </row>
    <row r="332" spans="5:6" x14ac:dyDescent="0.35">
      <c r="E332" s="32">
        <v>31</v>
      </c>
      <c r="F332" s="22" t="str" cm="1">
        <f t="array" ref="F332">_xlfn.IFS(E332&lt;30,"Under",E332&lt;40,"between",E332&gt;=40,"plus")</f>
        <v>between</v>
      </c>
    </row>
    <row r="333" spans="5:6" x14ac:dyDescent="0.35">
      <c r="E333" s="32">
        <v>31</v>
      </c>
      <c r="F333" s="22" t="str" cm="1">
        <f t="array" ref="F333">_xlfn.IFS(E333&lt;30,"Under",E333&lt;40,"between",E333&gt;=40,"plus")</f>
        <v>between</v>
      </c>
    </row>
    <row r="334" spans="5:6" x14ac:dyDescent="0.35">
      <c r="E334" s="32">
        <v>37</v>
      </c>
      <c r="F334" s="22" t="str" cm="1">
        <f t="array" ref="F334">_xlfn.IFS(E334&lt;30,"Under",E334&lt;40,"between",E334&gt;=40,"plus")</f>
        <v>between</v>
      </c>
    </row>
    <row r="335" spans="5:6" x14ac:dyDescent="0.35">
      <c r="E335" s="32">
        <v>32</v>
      </c>
      <c r="F335" s="22" t="str" cm="1">
        <f t="array" ref="F335">_xlfn.IFS(E335&lt;30,"Under",E335&lt;40,"between",E335&gt;=40,"plus")</f>
        <v>between</v>
      </c>
    </row>
    <row r="336" spans="5:6" x14ac:dyDescent="0.35">
      <c r="E336" s="32">
        <v>32</v>
      </c>
      <c r="F336" s="22" t="str" cm="1">
        <f t="array" ref="F336">_xlfn.IFS(E336&lt;30,"Under",E336&lt;40,"between",E336&gt;=40,"plus")</f>
        <v>between</v>
      </c>
    </row>
    <row r="337" spans="5:6" x14ac:dyDescent="0.35">
      <c r="E337" s="32">
        <v>33</v>
      </c>
      <c r="F337" s="22" t="str" cm="1">
        <f t="array" ref="F337">_xlfn.IFS(E337&lt;30,"Under",E337&lt;40,"between",E337&gt;=40,"plus")</f>
        <v>between</v>
      </c>
    </row>
    <row r="338" spans="5:6" x14ac:dyDescent="0.35">
      <c r="E338" s="32">
        <v>29</v>
      </c>
      <c r="F338" s="22" t="str" cm="1">
        <f t="array" ref="F338">_xlfn.IFS(E338&lt;30,"Under",E338&lt;40,"between",E338&gt;=40,"plus")</f>
        <v>Under</v>
      </c>
    </row>
    <row r="339" spans="5:6" x14ac:dyDescent="0.35">
      <c r="E339" s="32">
        <v>29</v>
      </c>
      <c r="F339" s="22" t="str" cm="1">
        <f t="array" ref="F339">_xlfn.IFS(E339&lt;30,"Under",E339&lt;40,"between",E339&gt;=40,"plus")</f>
        <v>Under</v>
      </c>
    </row>
    <row r="340" spans="5:6" x14ac:dyDescent="0.35">
      <c r="E340" s="32">
        <v>40</v>
      </c>
      <c r="F340" s="22" t="str" cm="1">
        <f t="array" ref="F340">_xlfn.IFS(E340&lt;30,"Under",E340&lt;40,"between",E340&gt;=40,"plus")</f>
        <v>plus</v>
      </c>
    </row>
    <row r="341" spans="5:6" x14ac:dyDescent="0.35">
      <c r="E341" s="32">
        <v>36</v>
      </c>
      <c r="F341" s="22" t="str" cm="1">
        <f t="array" ref="F341">_xlfn.IFS(E341&lt;30,"Under",E341&lt;40,"between",E341&gt;=40,"plus")</f>
        <v>between</v>
      </c>
    </row>
    <row r="342" spans="5:6" x14ac:dyDescent="0.35">
      <c r="E342" s="32">
        <v>27</v>
      </c>
      <c r="F342" s="22" t="str" cm="1">
        <f t="array" ref="F342">_xlfn.IFS(E342&lt;30,"Under",E342&lt;40,"between",E342&gt;=40,"plus")</f>
        <v>Under</v>
      </c>
    </row>
    <row r="343" spans="5:6" x14ac:dyDescent="0.35">
      <c r="E343" s="32">
        <v>22</v>
      </c>
      <c r="F343" s="22" t="str" cm="1">
        <f t="array" ref="F343">_xlfn.IFS(E343&lt;30,"Under",E343&lt;40,"between",E343&gt;=40,"plus")</f>
        <v>Under</v>
      </c>
    </row>
    <row r="344" spans="5:6" x14ac:dyDescent="0.35">
      <c r="E344" s="32">
        <v>44</v>
      </c>
      <c r="F344" s="22" t="str" cm="1">
        <f t="array" ref="F344">_xlfn.IFS(E344&lt;30,"Under",E344&lt;40,"between",E344&gt;=40,"plus")</f>
        <v>plus</v>
      </c>
    </row>
    <row r="345" spans="5:6" x14ac:dyDescent="0.35">
      <c r="E345" s="32">
        <v>23</v>
      </c>
      <c r="F345" s="22" t="str" cm="1">
        <f t="array" ref="F345">_xlfn.IFS(E345&lt;30,"Under",E345&lt;40,"between",E345&gt;=40,"plus")</f>
        <v>Under</v>
      </c>
    </row>
    <row r="346" spans="5:6" x14ac:dyDescent="0.35">
      <c r="E346" s="32">
        <v>38</v>
      </c>
      <c r="F346" s="22" t="str" cm="1">
        <f t="array" ref="F346">_xlfn.IFS(E346&lt;30,"Under",E346&lt;40,"between",E346&gt;=40,"plus")</f>
        <v>between</v>
      </c>
    </row>
    <row r="347" spans="5:6" x14ac:dyDescent="0.35">
      <c r="E347" s="32">
        <v>32</v>
      </c>
      <c r="F347" s="22" t="str" cm="1">
        <f t="array" ref="F347">_xlfn.IFS(E347&lt;30,"Under",E347&lt;40,"between",E347&gt;=40,"plus")</f>
        <v>between</v>
      </c>
    </row>
    <row r="348" spans="5:6" x14ac:dyDescent="0.35">
      <c r="E348" s="32">
        <v>36</v>
      </c>
      <c r="F348" s="22" t="str" cm="1">
        <f t="array" ref="F348">_xlfn.IFS(E348&lt;30,"Under",E348&lt;40,"between",E348&gt;=40,"plus")</f>
        <v>between</v>
      </c>
    </row>
    <row r="349" spans="5:6" x14ac:dyDescent="0.35">
      <c r="E349" s="32">
        <v>20</v>
      </c>
      <c r="F349" s="22" t="str" cm="1">
        <f t="array" ref="F349">_xlfn.IFS(E349&lt;30,"Under",E349&lt;40,"between",E349&gt;=40,"plus")</f>
        <v>Under</v>
      </c>
    </row>
    <row r="350" spans="5:6" x14ac:dyDescent="0.35">
      <c r="E350" s="32">
        <v>32</v>
      </c>
      <c r="F350" s="22" t="str" cm="1">
        <f t="array" ref="F350">_xlfn.IFS(E350&lt;30,"Under",E350&lt;40,"between",E350&gt;=40,"plus")</f>
        <v>between</v>
      </c>
    </row>
    <row r="351" spans="5:6" x14ac:dyDescent="0.35">
      <c r="E351" s="32">
        <v>51</v>
      </c>
      <c r="F351" s="22" t="str" cm="1">
        <f t="array" ref="F351">_xlfn.IFS(E351&lt;30,"Under",E351&lt;40,"between",E351&gt;=40,"plus")</f>
        <v>plus</v>
      </c>
    </row>
    <row r="352" spans="5:6" x14ac:dyDescent="0.35">
      <c r="E352" s="32">
        <v>38</v>
      </c>
      <c r="F352" s="22" t="str" cm="1">
        <f t="array" ref="F352">_xlfn.IFS(E352&lt;30,"Under",E352&lt;40,"between",E352&gt;=40,"plus")</f>
        <v>between</v>
      </c>
    </row>
    <row r="353" spans="5:6" x14ac:dyDescent="0.35">
      <c r="E353" s="32">
        <v>33</v>
      </c>
      <c r="F353" s="22" t="str" cm="1">
        <f t="array" ref="F353">_xlfn.IFS(E353&lt;30,"Under",E353&lt;40,"between",E353&gt;=40,"plus")</f>
        <v>between</v>
      </c>
    </row>
    <row r="354" spans="5:6" x14ac:dyDescent="0.35">
      <c r="E354" s="32">
        <v>22</v>
      </c>
      <c r="F354" s="22" t="str" cm="1">
        <f t="array" ref="F354">_xlfn.IFS(E354&lt;30,"Under",E354&lt;40,"between",E354&gt;=40,"plus")</f>
        <v>Under</v>
      </c>
    </row>
    <row r="355" spans="5:6" x14ac:dyDescent="0.35">
      <c r="E355" s="32">
        <v>28</v>
      </c>
      <c r="F355" s="22" t="str" cm="1">
        <f t="array" ref="F355">_xlfn.IFS(E355&lt;30,"Under",E355&lt;40,"between",E355&gt;=40,"plus")</f>
        <v>Under</v>
      </c>
    </row>
    <row r="356" spans="5:6" x14ac:dyDescent="0.35">
      <c r="E356" s="32">
        <v>38</v>
      </c>
      <c r="F356" s="22" t="str" cm="1">
        <f t="array" ref="F356">_xlfn.IFS(E356&lt;30,"Under",E356&lt;40,"between",E356&gt;=40,"plus")</f>
        <v>between</v>
      </c>
    </row>
    <row r="357" spans="5:6" x14ac:dyDescent="0.35">
      <c r="E357" s="32">
        <v>35</v>
      </c>
      <c r="F357" s="22" t="str" cm="1">
        <f t="array" ref="F357">_xlfn.IFS(E357&lt;30,"Under",E357&lt;40,"between",E357&gt;=40,"plus")</f>
        <v>between</v>
      </c>
    </row>
    <row r="358" spans="5:6" x14ac:dyDescent="0.35">
      <c r="E358" s="32">
        <v>30</v>
      </c>
      <c r="F358" s="22" t="str" cm="1">
        <f t="array" ref="F358">_xlfn.IFS(E358&lt;30,"Under",E358&lt;40,"between",E358&gt;=40,"plus")</f>
        <v>between</v>
      </c>
    </row>
    <row r="359" spans="5:6" x14ac:dyDescent="0.35">
      <c r="E359" s="32">
        <v>27</v>
      </c>
      <c r="F359" s="22" t="str" cm="1">
        <f t="array" ref="F359">_xlfn.IFS(E359&lt;30,"Under",E359&lt;40,"between",E359&gt;=40,"plus")</f>
        <v>Under</v>
      </c>
    </row>
    <row r="360" spans="5:6" x14ac:dyDescent="0.35">
      <c r="E360" s="32">
        <v>26</v>
      </c>
      <c r="F360" s="22" t="str" cm="1">
        <f t="array" ref="F360">_xlfn.IFS(E360&lt;30,"Under",E360&lt;40,"between",E360&gt;=40,"plus")</f>
        <v>Under</v>
      </c>
    </row>
    <row r="361" spans="5:6" x14ac:dyDescent="0.35">
      <c r="E361" s="32">
        <v>22</v>
      </c>
      <c r="F361" s="22" t="str" cm="1">
        <f t="array" ref="F361">_xlfn.IFS(E361&lt;30,"Under",E361&lt;40,"between",E361&gt;=40,"plus")</f>
        <v>Under</v>
      </c>
    </row>
    <row r="362" spans="5:6" x14ac:dyDescent="0.35">
      <c r="E362" s="32">
        <v>26</v>
      </c>
      <c r="F362" s="22" t="str" cm="1">
        <f t="array" ref="F362">_xlfn.IFS(E362&lt;30,"Under",E362&lt;40,"between",E362&gt;=40,"plus")</f>
        <v>Under</v>
      </c>
    </row>
    <row r="363" spans="5:6" x14ac:dyDescent="0.35">
      <c r="E363" s="32">
        <v>26</v>
      </c>
      <c r="F363" s="22" t="str" cm="1">
        <f t="array" ref="F363">_xlfn.IFS(E363&lt;30,"Under",E363&lt;40,"between",E363&gt;=40,"plus")</f>
        <v>Under</v>
      </c>
    </row>
    <row r="364" spans="5:6" x14ac:dyDescent="0.35">
      <c r="E364" s="32">
        <v>24</v>
      </c>
      <c r="F364" s="22" t="str" cm="1">
        <f t="array" ref="F364">_xlfn.IFS(E364&lt;30,"Under",E364&lt;40,"between",E364&gt;=40,"plus")</f>
        <v>Under</v>
      </c>
    </row>
    <row r="365" spans="5:6" x14ac:dyDescent="0.35">
      <c r="E365" s="32">
        <v>25</v>
      </c>
      <c r="F365" s="22" t="str" cm="1">
        <f t="array" ref="F365">_xlfn.IFS(E365&lt;30,"Under",E365&lt;40,"between",E365&gt;=40,"plus")</f>
        <v>Under</v>
      </c>
    </row>
    <row r="366" spans="5:6" x14ac:dyDescent="0.35">
      <c r="E366" s="32">
        <v>54</v>
      </c>
      <c r="F366" s="22" t="str" cm="1">
        <f t="array" ref="F366">_xlfn.IFS(E366&lt;30,"Under",E366&lt;40,"between",E366&gt;=40,"plus")</f>
        <v>plus</v>
      </c>
    </row>
    <row r="367" spans="5:6" x14ac:dyDescent="0.35">
      <c r="E367" s="32">
        <v>38</v>
      </c>
      <c r="F367" s="22" t="str" cm="1">
        <f t="array" ref="F367">_xlfn.IFS(E367&lt;30,"Under",E367&lt;40,"between",E367&gt;=40,"plus")</f>
        <v>between</v>
      </c>
    </row>
    <row r="368" spans="5:6" x14ac:dyDescent="0.35">
      <c r="E368" s="32">
        <v>23</v>
      </c>
      <c r="F368" s="22" t="str" cm="1">
        <f t="array" ref="F368">_xlfn.IFS(E368&lt;30,"Under",E368&lt;40,"between",E368&gt;=40,"plus")</f>
        <v>Under</v>
      </c>
    </row>
    <row r="369" spans="5:6" x14ac:dyDescent="0.35">
      <c r="E369" s="32">
        <v>33</v>
      </c>
      <c r="F369" s="22" t="str" cm="1">
        <f t="array" ref="F369">_xlfn.IFS(E369&lt;30,"Under",E369&lt;40,"between",E369&gt;=40,"plus")</f>
        <v>between</v>
      </c>
    </row>
    <row r="370" spans="5:6" x14ac:dyDescent="0.35">
      <c r="E370" s="32">
        <v>28</v>
      </c>
      <c r="F370" s="22" t="str" cm="1">
        <f t="array" ref="F370">_xlfn.IFS(E370&lt;30,"Under",E370&lt;40,"between",E370&gt;=40,"plus")</f>
        <v>Under</v>
      </c>
    </row>
    <row r="371" spans="5:6" x14ac:dyDescent="0.35">
      <c r="E371" s="32">
        <v>31</v>
      </c>
      <c r="F371" s="22" t="str" cm="1">
        <f t="array" ref="F371">_xlfn.IFS(E371&lt;30,"Under",E371&lt;40,"between",E371&gt;=40,"plus")</f>
        <v>between</v>
      </c>
    </row>
    <row r="372" spans="5:6" x14ac:dyDescent="0.35">
      <c r="E372" s="32">
        <v>33</v>
      </c>
      <c r="F372" s="22" t="str" cm="1">
        <f t="array" ref="F372">_xlfn.IFS(E372&lt;30,"Under",E372&lt;40,"between",E372&gt;=40,"plus")</f>
        <v>between</v>
      </c>
    </row>
    <row r="373" spans="5:6" x14ac:dyDescent="0.35">
      <c r="E373" s="32">
        <v>20</v>
      </c>
      <c r="F373" s="22" t="str" cm="1">
        <f t="array" ref="F373">_xlfn.IFS(E373&lt;30,"Under",E373&lt;40,"between",E373&gt;=40,"plus")</f>
        <v>Under</v>
      </c>
    </row>
    <row r="374" spans="5:6" x14ac:dyDescent="0.35">
      <c r="E374" s="32">
        <v>34</v>
      </c>
      <c r="F374" s="22" t="str" cm="1">
        <f t="array" ref="F374">_xlfn.IFS(E374&lt;30,"Under",E374&lt;40,"between",E374&gt;=40,"plus")</f>
        <v>between</v>
      </c>
    </row>
    <row r="375" spans="5:6" x14ac:dyDescent="0.35">
      <c r="E375" s="32">
        <v>34</v>
      </c>
      <c r="F375" s="22" t="str" cm="1">
        <f t="array" ref="F375">_xlfn.IFS(E375&lt;30,"Under",E375&lt;40,"between",E375&gt;=40,"plus")</f>
        <v>between</v>
      </c>
    </row>
    <row r="376" spans="5:6" x14ac:dyDescent="0.35">
      <c r="E376" s="32">
        <v>26</v>
      </c>
      <c r="F376" s="22" t="str" cm="1">
        <f t="array" ref="F376">_xlfn.IFS(E376&lt;30,"Under",E376&lt;40,"between",E376&gt;=40,"plus")</f>
        <v>Under</v>
      </c>
    </row>
    <row r="377" spans="5:6" x14ac:dyDescent="0.35">
      <c r="E377" s="32">
        <v>22</v>
      </c>
      <c r="F377" s="22" t="str" cm="1">
        <f t="array" ref="F377">_xlfn.IFS(E377&lt;30,"Under",E377&lt;40,"between",E377&gt;=40,"plus")</f>
        <v>Under</v>
      </c>
    </row>
    <row r="378" spans="5:6" x14ac:dyDescent="0.35">
      <c r="E378" s="32">
        <v>44</v>
      </c>
      <c r="F378" s="22" t="str" cm="1">
        <f t="array" ref="F378">_xlfn.IFS(E378&lt;30,"Under",E378&lt;40,"between",E378&gt;=40,"plus")</f>
        <v>plus</v>
      </c>
    </row>
    <row r="379" spans="5:6" x14ac:dyDescent="0.35">
      <c r="E379" s="32">
        <v>42</v>
      </c>
      <c r="F379" s="22" t="str" cm="1">
        <f t="array" ref="F379">_xlfn.IFS(E379&lt;30,"Under",E379&lt;40,"between",E379&gt;=40,"plus")</f>
        <v>plus</v>
      </c>
    </row>
    <row r="380" spans="5:6" x14ac:dyDescent="0.35">
      <c r="E380" s="32">
        <v>26</v>
      </c>
      <c r="F380" s="22" t="str" cm="1">
        <f t="array" ref="F380">_xlfn.IFS(E380&lt;30,"Under",E380&lt;40,"between",E380&gt;=40,"plus")</f>
        <v>Under</v>
      </c>
    </row>
    <row r="381" spans="5:6" x14ac:dyDescent="0.35">
      <c r="E381" s="32">
        <v>56</v>
      </c>
      <c r="F381" s="22" t="str" cm="1">
        <f t="array" ref="F381">_xlfn.IFS(E381&lt;30,"Under",E381&lt;40,"between",E381&gt;=40,"plus")</f>
        <v>plus</v>
      </c>
    </row>
    <row r="382" spans="5:6" x14ac:dyDescent="0.35">
      <c r="E382" s="32">
        <v>52</v>
      </c>
      <c r="F382" s="22" t="str" cm="1">
        <f t="array" ref="F382">_xlfn.IFS(E382&lt;30,"Under",E382&lt;40,"between",E382&gt;=40,"plus")</f>
        <v>plus</v>
      </c>
    </row>
    <row r="383" spans="5:6" x14ac:dyDescent="0.35">
      <c r="E383" s="32">
        <v>32</v>
      </c>
      <c r="F383" s="22" t="str" cm="1">
        <f t="array" ref="F383">_xlfn.IFS(E383&lt;30,"Under",E383&lt;40,"between",E383&gt;=40,"plus")</f>
        <v>between</v>
      </c>
    </row>
    <row r="384" spans="5:6" x14ac:dyDescent="0.35">
      <c r="E384" s="32">
        <v>31</v>
      </c>
      <c r="F384" s="22" t="str" cm="1">
        <f t="array" ref="F384">_xlfn.IFS(E384&lt;30,"Under",E384&lt;40,"between",E384&gt;=40,"plus")</f>
        <v>between</v>
      </c>
    </row>
    <row r="385" spans="5:6" x14ac:dyDescent="0.35">
      <c r="E385" s="32">
        <v>34</v>
      </c>
      <c r="F385" s="22" t="str" cm="1">
        <f t="array" ref="F385">_xlfn.IFS(E385&lt;30,"Under",E385&lt;40,"between",E385&gt;=40,"plus")</f>
        <v>between</v>
      </c>
    </row>
    <row r="386" spans="5:6" x14ac:dyDescent="0.35">
      <c r="E386" s="32">
        <v>26</v>
      </c>
      <c r="F386" s="22" t="str" cm="1">
        <f t="array" ref="F386">_xlfn.IFS(E386&lt;30,"Under",E386&lt;40,"between",E386&gt;=40,"plus")</f>
        <v>Under</v>
      </c>
    </row>
    <row r="387" spans="5:6" x14ac:dyDescent="0.35">
      <c r="E387" s="32">
        <v>34</v>
      </c>
      <c r="F387" s="22" t="str" cm="1">
        <f t="array" ref="F387">_xlfn.IFS(E387&lt;30,"Under",E387&lt;40,"between",E387&gt;=40,"plus")</f>
        <v>between</v>
      </c>
    </row>
    <row r="388" spans="5:6" x14ac:dyDescent="0.35">
      <c r="E388" s="32">
        <v>37</v>
      </c>
      <c r="F388" s="22" t="str" cm="1">
        <f t="array" ref="F388">_xlfn.IFS(E388&lt;30,"Under",E388&lt;40,"between",E388&gt;=40,"plus")</f>
        <v>between</v>
      </c>
    </row>
    <row r="389" spans="5:6" x14ac:dyDescent="0.35">
      <c r="E389" s="32">
        <v>20</v>
      </c>
      <c r="F389" s="22" t="str" cm="1">
        <f t="array" ref="F389">_xlfn.IFS(E389&lt;30,"Under",E389&lt;40,"between",E389&gt;=40,"plus")</f>
        <v>Under</v>
      </c>
    </row>
    <row r="390" spans="5:6" x14ac:dyDescent="0.35">
      <c r="E390" s="32">
        <v>29</v>
      </c>
      <c r="F390" s="22" t="str" cm="1">
        <f t="array" ref="F390">_xlfn.IFS(E390&lt;30,"Under",E390&lt;40,"between",E390&gt;=40,"plus")</f>
        <v>Under</v>
      </c>
    </row>
    <row r="391" spans="5:6" x14ac:dyDescent="0.35">
      <c r="E391" s="32">
        <v>47</v>
      </c>
      <c r="F391" s="22" t="str" cm="1">
        <f t="array" ref="F391">_xlfn.IFS(E391&lt;30,"Under",E391&lt;40,"between",E391&gt;=40,"plus")</f>
        <v>plus</v>
      </c>
    </row>
    <row r="392" spans="5:6" x14ac:dyDescent="0.35">
      <c r="E392" s="32">
        <v>35</v>
      </c>
      <c r="F392" s="22" t="str" cm="1">
        <f t="array" ref="F392">_xlfn.IFS(E392&lt;30,"Under",E392&lt;40,"between",E392&gt;=40,"plus")</f>
        <v>between</v>
      </c>
    </row>
    <row r="393" spans="5:6" x14ac:dyDescent="0.35">
      <c r="E393" s="32">
        <v>34</v>
      </c>
      <c r="F393" s="22" t="str" cm="1">
        <f t="array" ref="F393">_xlfn.IFS(E393&lt;30,"Under",E393&lt;40,"between",E393&gt;=40,"plus")</f>
        <v>between</v>
      </c>
    </row>
    <row r="394" spans="5:6" x14ac:dyDescent="0.35">
      <c r="E394" s="32">
        <v>30</v>
      </c>
      <c r="F394" s="22" t="str" cm="1">
        <f t="array" ref="F394">_xlfn.IFS(E394&lt;30,"Under",E394&lt;40,"between",E394&gt;=40,"plus")</f>
        <v>between</v>
      </c>
    </row>
    <row r="395" spans="5:6" x14ac:dyDescent="0.35">
      <c r="E395" s="32">
        <v>38</v>
      </c>
      <c r="F395" s="22" t="str" cm="1">
        <f t="array" ref="F395">_xlfn.IFS(E395&lt;30,"Under",E395&lt;40,"between",E395&gt;=40,"plus")</f>
        <v>between</v>
      </c>
    </row>
    <row r="396" spans="5:6" x14ac:dyDescent="0.35">
      <c r="E396" s="32">
        <v>19</v>
      </c>
      <c r="F396" s="22" t="str" cm="1">
        <f t="array" ref="F396">_xlfn.IFS(E396&lt;30,"Under",E396&lt;40,"between",E396&gt;=40,"plus")</f>
        <v>Under</v>
      </c>
    </row>
    <row r="397" spans="5:6" x14ac:dyDescent="0.35">
      <c r="E397" s="32">
        <v>37</v>
      </c>
      <c r="F397" s="22" t="str" cm="1">
        <f t="array" ref="F397">_xlfn.IFS(E397&lt;30,"Under",E397&lt;40,"between",E397&gt;=40,"plus")</f>
        <v>between</v>
      </c>
    </row>
    <row r="398" spans="5:6" x14ac:dyDescent="0.35">
      <c r="E398" s="32">
        <v>34</v>
      </c>
      <c r="F398" s="22" t="str" cm="1">
        <f t="array" ref="F398">_xlfn.IFS(E398&lt;30,"Under",E398&lt;40,"between",E398&gt;=40,"plus")</f>
        <v>between</v>
      </c>
    </row>
    <row r="399" spans="5:6" x14ac:dyDescent="0.35">
      <c r="E399" s="32">
        <v>37</v>
      </c>
      <c r="F399" s="22" t="str" cm="1">
        <f t="array" ref="F399">_xlfn.IFS(E399&lt;30,"Under",E399&lt;40,"between",E399&gt;=40,"plus")</f>
        <v>between</v>
      </c>
    </row>
    <row r="400" spans="5:6" x14ac:dyDescent="0.35">
      <c r="E400" s="32">
        <v>20</v>
      </c>
      <c r="F400" s="22" t="str" cm="1">
        <f t="array" ref="F400">_xlfn.IFS(E400&lt;30,"Under",E400&lt;40,"between",E400&gt;=40,"plus")</f>
        <v>Under</v>
      </c>
    </row>
    <row r="401" spans="5:6" x14ac:dyDescent="0.35">
      <c r="E401" s="32">
        <v>37</v>
      </c>
      <c r="F401" s="22" t="str" cm="1">
        <f t="array" ref="F401">_xlfn.IFS(E401&lt;30,"Under",E401&lt;40,"between",E401&gt;=40,"plus")</f>
        <v>between</v>
      </c>
    </row>
    <row r="402" spans="5:6" x14ac:dyDescent="0.35">
      <c r="E402" s="32">
        <v>36</v>
      </c>
      <c r="F402" s="22" t="str" cm="1">
        <f t="array" ref="F402">_xlfn.IFS(E402&lt;30,"Under",E402&lt;40,"between",E402&gt;=40,"plus")</f>
        <v>between</v>
      </c>
    </row>
    <row r="403" spans="5:6" x14ac:dyDescent="0.35">
      <c r="E403" s="32">
        <v>32</v>
      </c>
      <c r="F403" s="22" t="str" cm="1">
        <f t="array" ref="F403">_xlfn.IFS(E403&lt;30,"Under",E403&lt;40,"between",E403&gt;=40,"plus")</f>
        <v>between</v>
      </c>
    </row>
    <row r="404" spans="5:6" x14ac:dyDescent="0.35">
      <c r="E404" s="32">
        <v>27</v>
      </c>
      <c r="F404" s="22" t="str" cm="1">
        <f t="array" ref="F404">_xlfn.IFS(E404&lt;30,"Under",E404&lt;40,"between",E404&gt;=40,"plus")</f>
        <v>Under</v>
      </c>
    </row>
    <row r="405" spans="5:6" x14ac:dyDescent="0.35">
      <c r="E405" s="32">
        <v>33</v>
      </c>
      <c r="F405" s="22" t="str" cm="1">
        <f t="array" ref="F405">_xlfn.IFS(E405&lt;30,"Under",E405&lt;40,"between",E405&gt;=40,"plus")</f>
        <v>between</v>
      </c>
    </row>
    <row r="406" spans="5:6" x14ac:dyDescent="0.35">
      <c r="E406" s="32">
        <v>38</v>
      </c>
      <c r="F406" s="22" t="str" cm="1">
        <f t="array" ref="F406">_xlfn.IFS(E406&lt;30,"Under",E406&lt;40,"between",E406&gt;=40,"plus")</f>
        <v>between</v>
      </c>
    </row>
    <row r="407" spans="5:6" x14ac:dyDescent="0.35">
      <c r="E407" s="32">
        <v>27</v>
      </c>
      <c r="F407" s="22" t="str" cm="1">
        <f t="array" ref="F407">_xlfn.IFS(E407&lt;30,"Under",E407&lt;40,"between",E407&gt;=40,"plus")</f>
        <v>Under</v>
      </c>
    </row>
    <row r="408" spans="5:6" x14ac:dyDescent="0.35">
      <c r="E408" s="32">
        <v>31</v>
      </c>
      <c r="F408" s="22" t="str" cm="1">
        <f t="array" ref="F408">_xlfn.IFS(E408&lt;30,"Under",E408&lt;40,"between",E408&gt;=40,"plus")</f>
        <v>between</v>
      </c>
    </row>
    <row r="409" spans="5:6" x14ac:dyDescent="0.35">
      <c r="E409" s="32">
        <v>31</v>
      </c>
      <c r="F409" s="22" t="str" cm="1">
        <f t="array" ref="F409">_xlfn.IFS(E409&lt;30,"Under",E409&lt;40,"between",E409&gt;=40,"plus")</f>
        <v>between</v>
      </c>
    </row>
    <row r="410" spans="5:6" x14ac:dyDescent="0.35">
      <c r="E410" s="32">
        <v>32</v>
      </c>
      <c r="F410" s="22" t="str" cm="1">
        <f t="array" ref="F410">_xlfn.IFS(E410&lt;30,"Under",E410&lt;40,"between",E410&gt;=40,"plus")</f>
        <v>between</v>
      </c>
    </row>
    <row r="411" spans="5:6" x14ac:dyDescent="0.35">
      <c r="E411" s="32">
        <v>39</v>
      </c>
      <c r="F411" s="22" t="str" cm="1">
        <f t="array" ref="F411">_xlfn.IFS(E411&lt;30,"Under",E411&lt;40,"between",E411&gt;=40,"plus")</f>
        <v>between</v>
      </c>
    </row>
    <row r="412" spans="5:6" x14ac:dyDescent="0.35">
      <c r="E412" s="32">
        <v>30</v>
      </c>
      <c r="F412" s="22" t="str" cm="1">
        <f t="array" ref="F412">_xlfn.IFS(E412&lt;30,"Under",E412&lt;40,"between",E412&gt;=40,"plus")</f>
        <v>between</v>
      </c>
    </row>
    <row r="413" spans="5:6" x14ac:dyDescent="0.35">
      <c r="E413" s="32">
        <v>41</v>
      </c>
      <c r="F413" s="22" t="str" cm="1">
        <f t="array" ref="F413">_xlfn.IFS(E413&lt;30,"Under",E413&lt;40,"between",E413&gt;=40,"plus")</f>
        <v>plus</v>
      </c>
    </row>
    <row r="414" spans="5:6" x14ac:dyDescent="0.35">
      <c r="E414" s="32">
        <v>26</v>
      </c>
      <c r="F414" s="22" t="str" cm="1">
        <f t="array" ref="F414">_xlfn.IFS(E414&lt;30,"Under",E414&lt;40,"between",E414&gt;=40,"plus")</f>
        <v>Under</v>
      </c>
    </row>
    <row r="415" spans="5:6" x14ac:dyDescent="0.35">
      <c r="E415" s="32">
        <v>21</v>
      </c>
      <c r="F415" s="22" t="str" cm="1">
        <f t="array" ref="F415">_xlfn.IFS(E415&lt;30,"Under",E415&lt;40,"between",E415&gt;=40,"plus")</f>
        <v>Under</v>
      </c>
    </row>
    <row r="416" spans="5:6" x14ac:dyDescent="0.35">
      <c r="E416" s="32">
        <v>29</v>
      </c>
      <c r="F416" s="22" t="str" cm="1">
        <f t="array" ref="F416">_xlfn.IFS(E416&lt;30,"Under",E416&lt;40,"between",E416&gt;=40,"plus")</f>
        <v>Under</v>
      </c>
    </row>
    <row r="417" spans="5:6" x14ac:dyDescent="0.35">
      <c r="E417" s="32">
        <v>41</v>
      </c>
      <c r="F417" s="22" t="str" cm="1">
        <f t="array" ref="F417">_xlfn.IFS(E417&lt;30,"Under",E417&lt;40,"between",E417&gt;=40,"plus")</f>
        <v>plus</v>
      </c>
    </row>
    <row r="418" spans="5:6" x14ac:dyDescent="0.35">
      <c r="E418" s="32">
        <v>33</v>
      </c>
      <c r="F418" s="22" t="str" cm="1">
        <f t="array" ref="F418">_xlfn.IFS(E418&lt;30,"Under",E418&lt;40,"between",E418&gt;=40,"plus")</f>
        <v>between</v>
      </c>
    </row>
    <row r="419" spans="5:6" x14ac:dyDescent="0.35">
      <c r="E419" s="32">
        <v>52</v>
      </c>
      <c r="F419" s="22" t="str" cm="1">
        <f t="array" ref="F419">_xlfn.IFS(E419&lt;30,"Under",E419&lt;40,"between",E419&gt;=40,"plus")</f>
        <v>plus</v>
      </c>
    </row>
    <row r="420" spans="5:6" x14ac:dyDescent="0.35">
      <c r="E420" s="32">
        <v>44</v>
      </c>
      <c r="F420" s="22" t="str" cm="1">
        <f t="array" ref="F420">_xlfn.IFS(E420&lt;30,"Under",E420&lt;40,"between",E420&gt;=40,"plus")</f>
        <v>plus</v>
      </c>
    </row>
    <row r="421" spans="5:6" x14ac:dyDescent="0.35">
      <c r="E421" s="32">
        <v>24</v>
      </c>
      <c r="F421" s="22" t="str" cm="1">
        <f t="array" ref="F421">_xlfn.IFS(E421&lt;30,"Under",E421&lt;40,"between",E421&gt;=40,"plus")</f>
        <v>Under</v>
      </c>
    </row>
    <row r="422" spans="5:6" x14ac:dyDescent="0.35">
      <c r="E422" s="32">
        <v>44</v>
      </c>
      <c r="F422" s="22" t="str" cm="1">
        <f t="array" ref="F422">_xlfn.IFS(E422&lt;30,"Under",E422&lt;40,"between",E422&gt;=40,"plus")</f>
        <v>plus</v>
      </c>
    </row>
    <row r="423" spans="5:6" x14ac:dyDescent="0.35">
      <c r="E423" s="32">
        <v>24</v>
      </c>
      <c r="F423" s="22" t="str" cm="1">
        <f t="array" ref="F423">_xlfn.IFS(E423&lt;30,"Under",E423&lt;40,"between",E423&gt;=40,"plus")</f>
        <v>Under</v>
      </c>
    </row>
    <row r="424" spans="5:6" x14ac:dyDescent="0.35">
      <c r="E424" s="32">
        <v>29</v>
      </c>
      <c r="F424" s="22" t="str" cm="1">
        <f t="array" ref="F424">_xlfn.IFS(E424&lt;30,"Under",E424&lt;40,"between",E424&gt;=40,"plus")</f>
        <v>Under</v>
      </c>
    </row>
    <row r="425" spans="5:6" x14ac:dyDescent="0.35">
      <c r="E425" s="32">
        <v>44</v>
      </c>
      <c r="F425" s="22" t="str" cm="1">
        <f t="array" ref="F425">_xlfn.IFS(E425&lt;30,"Under",E425&lt;40,"between",E425&gt;=40,"plus")</f>
        <v>plus</v>
      </c>
    </row>
    <row r="426" spans="5:6" x14ac:dyDescent="0.35">
      <c r="E426" s="32">
        <v>28</v>
      </c>
      <c r="F426" s="22" t="str" cm="1">
        <f t="array" ref="F426">_xlfn.IFS(E426&lt;30,"Under",E426&lt;40,"between",E426&gt;=40,"plus")</f>
        <v>Under</v>
      </c>
    </row>
    <row r="427" spans="5:6" x14ac:dyDescent="0.35">
      <c r="E427" s="32">
        <v>28</v>
      </c>
      <c r="F427" s="22" t="str" cm="1">
        <f t="array" ref="F427">_xlfn.IFS(E427&lt;30,"Under",E427&lt;40,"between",E427&gt;=40,"plus")</f>
        <v>Under</v>
      </c>
    </row>
    <row r="428" spans="5:6" x14ac:dyDescent="0.35">
      <c r="E428" s="32">
        <v>24</v>
      </c>
      <c r="F428" s="22" t="str" cm="1">
        <f t="array" ref="F428">_xlfn.IFS(E428&lt;30,"Under",E428&lt;40,"between",E428&gt;=40,"plus")</f>
        <v>Under</v>
      </c>
    </row>
    <row r="429" spans="5:6" x14ac:dyDescent="0.35">
      <c r="E429" s="32">
        <v>30</v>
      </c>
      <c r="F429" s="22" t="str" cm="1">
        <f t="array" ref="F429">_xlfn.IFS(E429&lt;30,"Under",E429&lt;40,"between",E429&gt;=40,"plus")</f>
        <v>between</v>
      </c>
    </row>
    <row r="430" spans="5:6" x14ac:dyDescent="0.35">
      <c r="E430" s="32">
        <v>36</v>
      </c>
      <c r="F430" s="22" t="str" cm="1">
        <f t="array" ref="F430">_xlfn.IFS(E430&lt;30,"Under",E430&lt;40,"between",E430&gt;=40,"plus")</f>
        <v>between</v>
      </c>
    </row>
    <row r="431" spans="5:6" x14ac:dyDescent="0.35">
      <c r="E431" s="32">
        <v>49</v>
      </c>
      <c r="F431" s="22" t="str" cm="1">
        <f t="array" ref="F431">_xlfn.IFS(E431&lt;30,"Under",E431&lt;40,"between",E431&gt;=40,"plus")</f>
        <v>plus</v>
      </c>
    </row>
    <row r="432" spans="5:6" x14ac:dyDescent="0.35">
      <c r="E432" s="32">
        <v>52</v>
      </c>
      <c r="F432" s="22" t="str" cm="1">
        <f t="array" ref="F432">_xlfn.IFS(E432&lt;30,"Under",E432&lt;40,"between",E432&gt;=40,"plus")</f>
        <v>plus</v>
      </c>
    </row>
    <row r="433" spans="5:6" x14ac:dyDescent="0.35">
      <c r="E433" s="32">
        <v>50</v>
      </c>
      <c r="F433" s="22" t="str" cm="1">
        <f t="array" ref="F433">_xlfn.IFS(E433&lt;30,"Under",E433&lt;40,"between",E433&gt;=40,"plus")</f>
        <v>plus</v>
      </c>
    </row>
    <row r="434" spans="5:6" x14ac:dyDescent="0.35">
      <c r="E434" s="32">
        <v>25</v>
      </c>
      <c r="F434" s="22" t="str" cm="1">
        <f t="array" ref="F434">_xlfn.IFS(E434&lt;30,"Under",E434&lt;40,"between",E434&gt;=40,"plus")</f>
        <v>Under</v>
      </c>
    </row>
    <row r="435" spans="5:6" x14ac:dyDescent="0.35">
      <c r="E435" s="32">
        <v>21</v>
      </c>
      <c r="F435" s="22" t="str" cm="1">
        <f t="array" ref="F435">_xlfn.IFS(E435&lt;30,"Under",E435&lt;40,"between",E435&gt;=40,"plus")</f>
        <v>Under</v>
      </c>
    </row>
    <row r="436" spans="5:6" x14ac:dyDescent="0.35">
      <c r="E436" s="32">
        <v>34</v>
      </c>
      <c r="F436" s="22" t="str" cm="1">
        <f t="array" ref="F436">_xlfn.IFS(E436&lt;30,"Under",E436&lt;40,"between",E436&gt;=40,"plus")</f>
        <v>between</v>
      </c>
    </row>
    <row r="437" spans="5:6" x14ac:dyDescent="0.35">
      <c r="E437" s="32">
        <v>29</v>
      </c>
      <c r="F437" s="22" t="str" cm="1">
        <f t="array" ref="F437">_xlfn.IFS(E437&lt;30,"Under",E437&lt;40,"between",E437&gt;=40,"plus")</f>
        <v>Under</v>
      </c>
    </row>
    <row r="438" spans="5:6" x14ac:dyDescent="0.35">
      <c r="E438" s="32">
        <v>47</v>
      </c>
      <c r="F438" s="22" t="str" cm="1">
        <f t="array" ref="F438">_xlfn.IFS(E438&lt;30,"Under",E438&lt;40,"between",E438&gt;=40,"plus")</f>
        <v>plus</v>
      </c>
    </row>
    <row r="439" spans="5:6" x14ac:dyDescent="0.35">
      <c r="E439" s="32">
        <v>34</v>
      </c>
      <c r="F439" s="22" t="str" cm="1">
        <f t="array" ref="F439">_xlfn.IFS(E439&lt;30,"Under",E439&lt;40,"between",E439&gt;=40,"plus")</f>
        <v>between</v>
      </c>
    </row>
    <row r="440" spans="5:6" x14ac:dyDescent="0.35">
      <c r="E440" s="32">
        <v>23</v>
      </c>
      <c r="F440" s="22" t="str" cm="1">
        <f t="array" ref="F440">_xlfn.IFS(E440&lt;30,"Under",E440&lt;40,"between",E440&gt;=40,"plus")</f>
        <v>Under</v>
      </c>
    </row>
    <row r="441" spans="5:6" x14ac:dyDescent="0.35">
      <c r="E441" s="32">
        <v>32</v>
      </c>
      <c r="F441" s="22" t="str" cm="1">
        <f t="array" ref="F441">_xlfn.IFS(E441&lt;30,"Under",E441&lt;40,"between",E441&gt;=40,"plus")</f>
        <v>between</v>
      </c>
    </row>
    <row r="442" spans="5:6" x14ac:dyDescent="0.35">
      <c r="E442" s="32">
        <v>38</v>
      </c>
      <c r="F442" s="22" t="str" cm="1">
        <f t="array" ref="F442">_xlfn.IFS(E442&lt;30,"Under",E442&lt;40,"between",E442&gt;=40,"plus")</f>
        <v>between</v>
      </c>
    </row>
    <row r="443" spans="5:6" x14ac:dyDescent="0.35">
      <c r="E443" s="32">
        <v>28</v>
      </c>
      <c r="F443" s="22" t="str" cm="1">
        <f t="array" ref="F443">_xlfn.IFS(E443&lt;30,"Under",E443&lt;40,"between",E443&gt;=40,"plus")</f>
        <v>Under</v>
      </c>
    </row>
    <row r="444" spans="5:6" x14ac:dyDescent="0.35">
      <c r="E444" s="32">
        <v>32</v>
      </c>
      <c r="F444" s="22" t="str" cm="1">
        <f t="array" ref="F444">_xlfn.IFS(E444&lt;30,"Under",E444&lt;40,"between",E444&gt;=40,"plus")</f>
        <v>between</v>
      </c>
    </row>
    <row r="445" spans="5:6" x14ac:dyDescent="0.35">
      <c r="E445" s="32">
        <v>40</v>
      </c>
      <c r="F445" s="22" t="str" cm="1">
        <f t="array" ref="F445">_xlfn.IFS(E445&lt;30,"Under",E445&lt;40,"between",E445&gt;=40,"plus")</f>
        <v>plus</v>
      </c>
    </row>
    <row r="446" spans="5:6" x14ac:dyDescent="0.35">
      <c r="E446" s="32">
        <v>29</v>
      </c>
      <c r="F446" s="22" t="str" cm="1">
        <f t="array" ref="F446">_xlfn.IFS(E446&lt;30,"Under",E446&lt;40,"between",E446&gt;=40,"plus")</f>
        <v>Under</v>
      </c>
    </row>
    <row r="447" spans="5:6" x14ac:dyDescent="0.35">
      <c r="E447" s="32">
        <v>58</v>
      </c>
      <c r="F447" s="22" t="str" cm="1">
        <f t="array" ref="F447">_xlfn.IFS(E447&lt;30,"Under",E447&lt;40,"between",E447&gt;=40,"plus")</f>
        <v>plus</v>
      </c>
    </row>
    <row r="448" spans="5:6" x14ac:dyDescent="0.35">
      <c r="E448" s="32">
        <v>33</v>
      </c>
      <c r="F448" s="22" t="str" cm="1">
        <f t="array" ref="F448">_xlfn.IFS(E448&lt;30,"Under",E448&lt;40,"between",E448&gt;=40,"plus")</f>
        <v>between</v>
      </c>
    </row>
    <row r="449" spans="5:6" x14ac:dyDescent="0.35">
      <c r="E449" s="32">
        <v>22</v>
      </c>
      <c r="F449" s="22" t="str" cm="1">
        <f t="array" ref="F449">_xlfn.IFS(E449&lt;30,"Under",E449&lt;40,"between",E449&gt;=40,"plus")</f>
        <v>Under</v>
      </c>
    </row>
    <row r="450" spans="5:6" x14ac:dyDescent="0.35">
      <c r="E450" s="32">
        <v>41</v>
      </c>
      <c r="F450" s="22" t="str" cm="1">
        <f t="array" ref="F450">_xlfn.IFS(E450&lt;30,"Under",E450&lt;40,"between",E450&gt;=40,"plus")</f>
        <v>plus</v>
      </c>
    </row>
    <row r="451" spans="5:6" x14ac:dyDescent="0.35">
      <c r="E451" s="32">
        <v>40</v>
      </c>
      <c r="F451" s="22" t="str" cm="1">
        <f t="array" ref="F451">_xlfn.IFS(E451&lt;30,"Under",E451&lt;40,"between",E451&gt;=40,"plus")</f>
        <v>plus</v>
      </c>
    </row>
    <row r="452" spans="5:6" x14ac:dyDescent="0.35">
      <c r="E452" s="32">
        <v>36</v>
      </c>
      <c r="F452" s="22" t="str" cm="1">
        <f t="array" ref="F452">_xlfn.IFS(E452&lt;30,"Under",E452&lt;40,"between",E452&gt;=40,"plus")</f>
        <v>between</v>
      </c>
    </row>
    <row r="453" spans="5:6" x14ac:dyDescent="0.35">
      <c r="E453" s="32">
        <v>36</v>
      </c>
      <c r="F453" s="22" t="str" cm="1">
        <f t="array" ref="F453">_xlfn.IFS(E453&lt;30,"Under",E453&lt;40,"between",E453&gt;=40,"plus")</f>
        <v>between</v>
      </c>
    </row>
    <row r="454" spans="5:6" x14ac:dyDescent="0.35">
      <c r="E454" s="32">
        <v>35</v>
      </c>
      <c r="F454" s="22" t="str" cm="1">
        <f t="array" ref="F454">_xlfn.IFS(E454&lt;30,"Under",E454&lt;40,"between",E454&gt;=40,"plus")</f>
        <v>between</v>
      </c>
    </row>
    <row r="455" spans="5:6" x14ac:dyDescent="0.35">
      <c r="E455" s="32">
        <v>33</v>
      </c>
      <c r="F455" s="22" t="str" cm="1">
        <f t="array" ref="F455">_xlfn.IFS(E455&lt;30,"Under",E455&lt;40,"between",E455&gt;=40,"plus")</f>
        <v>between</v>
      </c>
    </row>
    <row r="456" spans="5:6" x14ac:dyDescent="0.35">
      <c r="E456" s="32">
        <v>36</v>
      </c>
      <c r="F456" s="22" t="str" cm="1">
        <f t="array" ref="F456">_xlfn.IFS(E456&lt;30,"Under",E456&lt;40,"between",E456&gt;=40,"plus")</f>
        <v>between</v>
      </c>
    </row>
    <row r="457" spans="5:6" x14ac:dyDescent="0.35">
      <c r="E457" s="32">
        <v>47</v>
      </c>
      <c r="F457" s="22" t="str" cm="1">
        <f t="array" ref="F457">_xlfn.IFS(E457&lt;30,"Under",E457&lt;40,"between",E457&gt;=40,"plus")</f>
        <v>plus</v>
      </c>
    </row>
    <row r="458" spans="5:6" x14ac:dyDescent="0.35">
      <c r="E458" s="32">
        <v>44</v>
      </c>
      <c r="F458" s="22" t="str" cm="1">
        <f t="array" ref="F458">_xlfn.IFS(E458&lt;30,"Under",E458&lt;40,"between",E458&gt;=40,"plus")</f>
        <v>plus</v>
      </c>
    </row>
    <row r="459" spans="5:6" x14ac:dyDescent="0.35">
      <c r="E459" s="32">
        <v>46</v>
      </c>
      <c r="F459" s="22" t="str" cm="1">
        <f t="array" ref="F459">_xlfn.IFS(E459&lt;30,"Under",E459&lt;40,"between",E459&gt;=40,"plus")</f>
        <v>plus</v>
      </c>
    </row>
    <row r="460" spans="5:6" x14ac:dyDescent="0.35">
      <c r="E460" s="32">
        <v>25</v>
      </c>
      <c r="F460" s="22" t="str" cm="1">
        <f t="array" ref="F460">_xlfn.IFS(E460&lt;30,"Under",E460&lt;40,"between",E460&gt;=40,"plus")</f>
        <v>Under</v>
      </c>
    </row>
    <row r="461" spans="5:6" x14ac:dyDescent="0.35">
      <c r="E461" s="32">
        <v>32</v>
      </c>
      <c r="F461" s="22" t="str" cm="1">
        <f t="array" ref="F461">_xlfn.IFS(E461&lt;30,"Under",E461&lt;40,"between",E461&gt;=40,"plus")</f>
        <v>between</v>
      </c>
    </row>
    <row r="462" spans="5:6" x14ac:dyDescent="0.35">
      <c r="E462" s="32">
        <v>28</v>
      </c>
      <c r="F462" s="22" t="str" cm="1">
        <f t="array" ref="F462">_xlfn.IFS(E462&lt;30,"Under",E462&lt;40,"between",E462&gt;=40,"plus")</f>
        <v>Under</v>
      </c>
    </row>
    <row r="463" spans="5:6" x14ac:dyDescent="0.35">
      <c r="E463" s="32">
        <v>27</v>
      </c>
      <c r="F463" s="22" t="str" cm="1">
        <f t="array" ref="F463">_xlfn.IFS(E463&lt;30,"Under",E463&lt;40,"between",E463&gt;=40,"plus")</f>
        <v>Under</v>
      </c>
    </row>
    <row r="464" spans="5:6" x14ac:dyDescent="0.35">
      <c r="E464" s="32">
        <v>21</v>
      </c>
      <c r="F464" s="22" t="str" cm="1">
        <f t="array" ref="F464">_xlfn.IFS(E464&lt;30,"Under",E464&lt;40,"between",E464&gt;=40,"plus")</f>
        <v>Under</v>
      </c>
    </row>
    <row r="465" spans="5:6" x14ac:dyDescent="0.35">
      <c r="E465" s="32">
        <v>40</v>
      </c>
      <c r="F465" s="22" t="str" cm="1">
        <f t="array" ref="F465">_xlfn.IFS(E465&lt;30,"Under",E465&lt;40,"between",E465&gt;=40,"plus")</f>
        <v>plus</v>
      </c>
    </row>
    <row r="466" spans="5:6" x14ac:dyDescent="0.35">
      <c r="E466" s="32">
        <v>45</v>
      </c>
      <c r="F466" s="22" t="str" cm="1">
        <f t="array" ref="F466">_xlfn.IFS(E466&lt;30,"Under",E466&lt;40,"between",E466&gt;=40,"plus")</f>
        <v>plus</v>
      </c>
    </row>
    <row r="467" spans="5:6" x14ac:dyDescent="0.35">
      <c r="E467" s="32">
        <v>37</v>
      </c>
      <c r="F467" s="22" t="str" cm="1">
        <f t="array" ref="F467">_xlfn.IFS(E467&lt;30,"Under",E467&lt;40,"between",E467&gt;=40,"plus")</f>
        <v>between</v>
      </c>
    </row>
    <row r="468" spans="5:6" x14ac:dyDescent="0.35">
      <c r="E468" s="32">
        <v>33</v>
      </c>
      <c r="F468" s="22" t="str" cm="1">
        <f t="array" ref="F468">_xlfn.IFS(E468&lt;30,"Under",E468&lt;40,"between",E468&gt;=40,"plus")</f>
        <v>between</v>
      </c>
    </row>
    <row r="469" spans="5:6" x14ac:dyDescent="0.35">
      <c r="E469" s="32">
        <v>28</v>
      </c>
      <c r="F469" s="22" t="str" cm="1">
        <f t="array" ref="F469">_xlfn.IFS(E469&lt;30,"Under",E469&lt;40,"between",E469&gt;=40,"plus")</f>
        <v>Under</v>
      </c>
    </row>
    <row r="470" spans="5:6" x14ac:dyDescent="0.35">
      <c r="E470" s="32">
        <v>27</v>
      </c>
      <c r="F470" s="22" t="str" cm="1">
        <f t="array" ref="F470">_xlfn.IFS(E470&lt;30,"Under",E470&lt;40,"between",E470&gt;=40,"plus")</f>
        <v>Under</v>
      </c>
    </row>
    <row r="471" spans="5:6" x14ac:dyDescent="0.35">
      <c r="E471" s="32">
        <v>31</v>
      </c>
      <c r="F471" s="22" t="str" cm="1">
        <f t="array" ref="F471">_xlfn.IFS(E471&lt;30,"Under",E471&lt;40,"between",E471&gt;=40,"plus")</f>
        <v>between</v>
      </c>
    </row>
    <row r="472" spans="5:6" x14ac:dyDescent="0.35">
      <c r="E472" s="32">
        <v>31</v>
      </c>
      <c r="F472" s="22" t="str" cm="1">
        <f t="array" ref="F472">_xlfn.IFS(E472&lt;30,"Under",E472&lt;40,"between",E472&gt;=40,"plus")</f>
        <v>between</v>
      </c>
    </row>
    <row r="473" spans="5:6" x14ac:dyDescent="0.35">
      <c r="E473" s="32">
        <v>52</v>
      </c>
      <c r="F473" s="22" t="str" cm="1">
        <f t="array" ref="F473">_xlfn.IFS(E473&lt;30,"Under",E473&lt;40,"between",E473&gt;=40,"plus")</f>
        <v>plus</v>
      </c>
    </row>
    <row r="474" spans="5:6" x14ac:dyDescent="0.35">
      <c r="E474" s="32">
        <v>28</v>
      </c>
      <c r="F474" s="22" t="str" cm="1">
        <f t="array" ref="F474">_xlfn.IFS(E474&lt;30,"Under",E474&lt;40,"between",E474&gt;=40,"plus")</f>
        <v>Under</v>
      </c>
    </row>
    <row r="475" spans="5:6" x14ac:dyDescent="0.35">
      <c r="E475" s="32">
        <v>30</v>
      </c>
      <c r="F475" s="22" t="str" cm="1">
        <f t="array" ref="F475">_xlfn.IFS(E475&lt;30,"Under",E475&lt;40,"between",E475&gt;=40,"plus")</f>
        <v>between</v>
      </c>
    </row>
    <row r="476" spans="5:6" x14ac:dyDescent="0.35">
      <c r="E476" s="32">
        <v>37</v>
      </c>
      <c r="F476" s="22" t="str" cm="1">
        <f t="array" ref="F476">_xlfn.IFS(E476&lt;30,"Under",E476&lt;40,"between",E476&gt;=40,"plus")</f>
        <v>between</v>
      </c>
    </row>
    <row r="477" spans="5:6" x14ac:dyDescent="0.35">
      <c r="E477" s="32">
        <v>23</v>
      </c>
      <c r="F477" s="22" t="str" cm="1">
        <f t="array" ref="F477">_xlfn.IFS(E477&lt;30,"Under",E477&lt;40,"between",E477&gt;=40,"plus")</f>
        <v>Under</v>
      </c>
    </row>
    <row r="478" spans="5:6" x14ac:dyDescent="0.35">
      <c r="E478" s="32">
        <v>35</v>
      </c>
      <c r="F478" s="22" t="str" cm="1">
        <f t="array" ref="F478">_xlfn.IFS(E478&lt;30,"Under",E478&lt;40,"between",E478&gt;=40,"plus")</f>
        <v>between</v>
      </c>
    </row>
    <row r="479" spans="5:6" x14ac:dyDescent="0.35">
      <c r="E479" s="32">
        <v>27</v>
      </c>
      <c r="F479" s="22" t="str" cm="1">
        <f t="array" ref="F479">_xlfn.IFS(E479&lt;30,"Under",E479&lt;40,"between",E479&gt;=40,"plus")</f>
        <v>Under</v>
      </c>
    </row>
    <row r="480" spans="5:6" x14ac:dyDescent="0.35">
      <c r="E480" s="32">
        <v>55</v>
      </c>
      <c r="F480" s="22" t="str" cm="1">
        <f t="array" ref="F480">_xlfn.IFS(E480&lt;30,"Under",E480&lt;40,"between",E480&gt;=40,"plus")</f>
        <v>plus</v>
      </c>
    </row>
    <row r="481" spans="5:6" x14ac:dyDescent="0.35">
      <c r="E481" s="32">
        <v>43</v>
      </c>
      <c r="F481" s="22" t="str" cm="1">
        <f t="array" ref="F481">_xlfn.IFS(E481&lt;30,"Under",E481&lt;40,"between",E481&gt;=40,"plus")</f>
        <v>plus</v>
      </c>
    </row>
    <row r="482" spans="5:6" x14ac:dyDescent="0.35">
      <c r="E482" s="32">
        <v>27</v>
      </c>
      <c r="F482" s="22" t="str" cm="1">
        <f t="array" ref="F482">_xlfn.IFS(E482&lt;30,"Under",E482&lt;40,"between",E482&gt;=40,"plus")</f>
        <v>Under</v>
      </c>
    </row>
    <row r="483" spans="5:6" x14ac:dyDescent="0.35">
      <c r="E483" s="32">
        <v>40</v>
      </c>
      <c r="F483" s="22" t="str" cm="1">
        <f t="array" ref="F483">_xlfn.IFS(E483&lt;30,"Under",E483&lt;40,"between",E483&gt;=40,"plus")</f>
        <v>plus</v>
      </c>
    </row>
    <row r="484" spans="5:6" x14ac:dyDescent="0.35">
      <c r="E484" s="32">
        <v>37</v>
      </c>
      <c r="F484" s="22" t="str" cm="1">
        <f t="array" ref="F484">_xlfn.IFS(E484&lt;30,"Under",E484&lt;40,"between",E484&gt;=40,"plus")</f>
        <v>between</v>
      </c>
    </row>
    <row r="485" spans="5:6" x14ac:dyDescent="0.35">
      <c r="E485" s="32">
        <v>26</v>
      </c>
      <c r="F485" s="22" t="str" cm="1">
        <f t="array" ref="F485">_xlfn.IFS(E485&lt;30,"Under",E485&lt;40,"between",E485&gt;=40,"plus")</f>
        <v>Under</v>
      </c>
    </row>
    <row r="486" spans="5:6" x14ac:dyDescent="0.35">
      <c r="E486" s="32">
        <v>30</v>
      </c>
      <c r="F486" s="22" t="str" cm="1">
        <f t="array" ref="F486">_xlfn.IFS(E486&lt;30,"Under",E486&lt;40,"between",E486&gt;=40,"plus")</f>
        <v>between</v>
      </c>
    </row>
    <row r="487" spans="5:6" x14ac:dyDescent="0.35">
      <c r="E487" s="32">
        <v>49</v>
      </c>
      <c r="F487" s="22" t="str" cm="1">
        <f t="array" ref="F487">_xlfn.IFS(E487&lt;30,"Under",E487&lt;40,"between",E487&gt;=40,"plus")</f>
        <v>plus</v>
      </c>
    </row>
    <row r="488" spans="5:6" x14ac:dyDescent="0.35">
      <c r="E488" s="32">
        <v>28</v>
      </c>
      <c r="F488" s="22" t="str" cm="1">
        <f t="array" ref="F488">_xlfn.IFS(E488&lt;30,"Under",E488&lt;40,"between",E488&gt;=40,"plus")</f>
        <v>Under</v>
      </c>
    </row>
    <row r="489" spans="5:6" x14ac:dyDescent="0.35">
      <c r="E489" s="32">
        <v>24</v>
      </c>
      <c r="F489" s="22" t="str" cm="1">
        <f t="array" ref="F489">_xlfn.IFS(E489&lt;30,"Under",E489&lt;40,"between",E489&gt;=40,"plus")</f>
        <v>Under</v>
      </c>
    </row>
    <row r="490" spans="5:6" x14ac:dyDescent="0.35">
      <c r="E490" s="32">
        <v>33</v>
      </c>
      <c r="F490" s="22" t="str" cm="1">
        <f t="array" ref="F490">_xlfn.IFS(E490&lt;30,"Under",E490&lt;40,"between",E490&gt;=40,"plus")</f>
        <v>between</v>
      </c>
    </row>
    <row r="491" spans="5:6" x14ac:dyDescent="0.35">
      <c r="E491" s="32">
        <v>40</v>
      </c>
      <c r="F491" s="22" t="str" cm="1">
        <f t="array" ref="F491">_xlfn.IFS(E491&lt;30,"Under",E491&lt;40,"between",E491&gt;=40,"plus")</f>
        <v>plus</v>
      </c>
    </row>
    <row r="492" spans="5:6" x14ac:dyDescent="0.35">
      <c r="E492" s="32">
        <v>34</v>
      </c>
      <c r="F492" s="22" t="str" cm="1">
        <f t="array" ref="F492">_xlfn.IFS(E492&lt;30,"Under",E492&lt;40,"between",E492&gt;=40,"plus")</f>
        <v>between</v>
      </c>
    </row>
    <row r="493" spans="5:6" x14ac:dyDescent="0.35">
      <c r="E493" s="32">
        <v>37</v>
      </c>
      <c r="F493" s="22" t="str" cm="1">
        <f t="array" ref="F493">_xlfn.IFS(E493&lt;30,"Under",E493&lt;40,"between",E493&gt;=40,"plus")</f>
        <v>between</v>
      </c>
    </row>
    <row r="494" spans="5:6" x14ac:dyDescent="0.35">
      <c r="E494" s="32">
        <v>45</v>
      </c>
      <c r="F494" s="22" t="str" cm="1">
        <f t="array" ref="F494">_xlfn.IFS(E494&lt;30,"Under",E494&lt;40,"between",E494&gt;=40,"plus")</f>
        <v>plus</v>
      </c>
    </row>
    <row r="495" spans="5:6" x14ac:dyDescent="0.35">
      <c r="E495" s="32">
        <v>39</v>
      </c>
      <c r="F495" s="22" t="str" cm="1">
        <f t="array" ref="F495">_xlfn.IFS(E495&lt;30,"Under",E495&lt;40,"between",E495&gt;=40,"plus")</f>
        <v>between</v>
      </c>
    </row>
    <row r="496" spans="5:6" x14ac:dyDescent="0.35">
      <c r="E496" s="32">
        <v>28</v>
      </c>
      <c r="F496" s="22" t="str" cm="1">
        <f t="array" ref="F496">_xlfn.IFS(E496&lt;30,"Under",E496&lt;40,"between",E496&gt;=40,"plus")</f>
        <v>Under</v>
      </c>
    </row>
    <row r="497" spans="5:6" x14ac:dyDescent="0.35">
      <c r="E497" s="32">
        <v>25</v>
      </c>
      <c r="F497" s="22" t="str" cm="1">
        <f t="array" ref="F497">_xlfn.IFS(E497&lt;30,"Under",E497&lt;40,"between",E497&gt;=40,"plus")</f>
        <v>Under</v>
      </c>
    </row>
    <row r="498" spans="5:6" x14ac:dyDescent="0.35">
      <c r="E498" s="32">
        <v>42</v>
      </c>
      <c r="F498" s="22" t="str" cm="1">
        <f t="array" ref="F498">_xlfn.IFS(E498&lt;30,"Under",E498&lt;40,"between",E498&gt;=40,"plus")</f>
        <v>plus</v>
      </c>
    </row>
    <row r="499" spans="5:6" x14ac:dyDescent="0.35">
      <c r="E499" s="32">
        <v>35</v>
      </c>
      <c r="F499" s="22" t="str" cm="1">
        <f t="array" ref="F499">_xlfn.IFS(E499&lt;30,"Under",E499&lt;40,"between",E499&gt;=40,"plus")</f>
        <v>between</v>
      </c>
    </row>
    <row r="500" spans="5:6" x14ac:dyDescent="0.35">
      <c r="E500" s="32">
        <v>36</v>
      </c>
      <c r="F500" s="22" t="str" cm="1">
        <f t="array" ref="F500">_xlfn.IFS(E500&lt;30,"Under",E500&lt;40,"between",E500&gt;=40,"plus")</f>
        <v>between</v>
      </c>
    </row>
    <row r="501" spans="5:6" x14ac:dyDescent="0.35">
      <c r="E501" s="32">
        <v>50</v>
      </c>
      <c r="F501" s="22" t="str" cm="1">
        <f t="array" ref="F501">_xlfn.IFS(E501&lt;30,"Under",E501&lt;40,"between",E501&gt;=40,"plus")</f>
        <v>plus</v>
      </c>
    </row>
    <row r="502" spans="5:6" x14ac:dyDescent="0.35">
      <c r="E502" s="32">
        <v>25</v>
      </c>
      <c r="F502" s="22" t="str" cm="1">
        <f t="array" ref="F502">_xlfn.IFS(E502&lt;30,"Under",E502&lt;40,"between",E502&gt;=40,"plus")</f>
        <v>Under</v>
      </c>
    </row>
    <row r="503" spans="5:6" x14ac:dyDescent="0.35">
      <c r="E503" s="32">
        <v>36</v>
      </c>
      <c r="F503" s="22" t="str" cm="1">
        <f t="array" ref="F503">_xlfn.IFS(E503&lt;30,"Under",E503&lt;40,"between",E503&gt;=40,"plus")</f>
        <v>between</v>
      </c>
    </row>
    <row r="504" spans="5:6" x14ac:dyDescent="0.35">
      <c r="E504" s="32">
        <v>45</v>
      </c>
      <c r="F504" s="22" t="str" cm="1">
        <f t="array" ref="F504">_xlfn.IFS(E504&lt;30,"Under",E504&lt;40,"between",E504&gt;=40,"plus")</f>
        <v>plus</v>
      </c>
    </row>
    <row r="505" spans="5:6" x14ac:dyDescent="0.35">
      <c r="E505" s="32">
        <v>38</v>
      </c>
      <c r="F505" s="22" t="str" cm="1">
        <f t="array" ref="F505">_xlfn.IFS(E505&lt;30,"Under",E505&lt;40,"between",E505&gt;=40,"plus")</f>
        <v>between</v>
      </c>
    </row>
    <row r="506" spans="5:6" x14ac:dyDescent="0.35">
      <c r="E506" s="32">
        <v>44</v>
      </c>
      <c r="F506" s="22" t="str" cm="1">
        <f t="array" ref="F506">_xlfn.IFS(E506&lt;30,"Under",E506&lt;40,"between",E506&gt;=40,"plus")</f>
        <v>plus</v>
      </c>
    </row>
    <row r="507" spans="5:6" x14ac:dyDescent="0.35">
      <c r="E507" s="32">
        <v>31</v>
      </c>
      <c r="F507" s="22" t="str" cm="1">
        <f t="array" ref="F507">_xlfn.IFS(E507&lt;30,"Under",E507&lt;40,"between",E507&gt;=40,"plus")</f>
        <v>between</v>
      </c>
    </row>
    <row r="508" spans="5:6" x14ac:dyDescent="0.35">
      <c r="E508" s="32">
        <v>32</v>
      </c>
      <c r="F508" s="22" t="str" cm="1">
        <f t="array" ref="F508">_xlfn.IFS(E508&lt;30,"Under",E508&lt;40,"between",E508&gt;=40,"plus")</f>
        <v>between</v>
      </c>
    </row>
    <row r="509" spans="5:6" x14ac:dyDescent="0.35">
      <c r="E509" s="32">
        <v>34</v>
      </c>
      <c r="F509" s="22" t="str" cm="1">
        <f t="array" ref="F509">_xlfn.IFS(E509&lt;30,"Under",E509&lt;40,"between",E509&gt;=40,"plus")</f>
        <v>between</v>
      </c>
    </row>
    <row r="510" spans="5:6" x14ac:dyDescent="0.35">
      <c r="E510" s="32">
        <v>35</v>
      </c>
      <c r="F510" s="22" t="str" cm="1">
        <f t="array" ref="F510">_xlfn.IFS(E510&lt;30,"Under",E510&lt;40,"between",E510&gt;=40,"plus")</f>
        <v>between</v>
      </c>
    </row>
    <row r="511" spans="5:6" x14ac:dyDescent="0.35">
      <c r="E511" s="32">
        <v>30</v>
      </c>
      <c r="F511" s="22" t="str" cm="1">
        <f t="array" ref="F511">_xlfn.IFS(E511&lt;30,"Under",E511&lt;40,"between",E511&gt;=40,"plus")</f>
        <v>between</v>
      </c>
    </row>
    <row r="512" spans="5:6" x14ac:dyDescent="0.35">
      <c r="E512" s="32">
        <v>39</v>
      </c>
      <c r="F512" s="22" t="str" cm="1">
        <f t="array" ref="F512">_xlfn.IFS(E512&lt;30,"Under",E512&lt;40,"between",E512&gt;=40,"plus")</f>
        <v>between</v>
      </c>
    </row>
    <row r="513" spans="5:6" x14ac:dyDescent="0.35">
      <c r="E513" s="32">
        <v>29</v>
      </c>
      <c r="F513" s="22" t="str" cm="1">
        <f t="array" ref="F513">_xlfn.IFS(E513&lt;30,"Under",E513&lt;40,"between",E513&gt;=40,"plus")</f>
        <v>Under</v>
      </c>
    </row>
    <row r="514" spans="5:6" x14ac:dyDescent="0.35">
      <c r="E514" s="32">
        <v>24</v>
      </c>
      <c r="F514" s="22" t="str" cm="1">
        <f t="array" ref="F514">_xlfn.IFS(E514&lt;30,"Under",E514&lt;40,"between",E514&gt;=40,"plus")</f>
        <v>Under</v>
      </c>
    </row>
    <row r="515" spans="5:6" x14ac:dyDescent="0.35">
      <c r="E515" s="32">
        <v>30</v>
      </c>
      <c r="F515" s="22" t="str" cm="1">
        <f t="array" ref="F515">_xlfn.IFS(E515&lt;30,"Under",E515&lt;40,"between",E515&gt;=40,"plus")</f>
        <v>between</v>
      </c>
    </row>
    <row r="516" spans="5:6" x14ac:dyDescent="0.35">
      <c r="E516" s="32">
        <v>54</v>
      </c>
      <c r="F516" s="22" t="str" cm="1">
        <f t="array" ref="F516">_xlfn.IFS(E516&lt;30,"Under",E516&lt;40,"between",E516&gt;=40,"plus")</f>
        <v>plus</v>
      </c>
    </row>
    <row r="517" spans="5:6" x14ac:dyDescent="0.35">
      <c r="E517" s="32">
        <v>29</v>
      </c>
      <c r="F517" s="22" t="str" cm="1">
        <f t="array" ref="F517">_xlfn.IFS(E517&lt;30,"Under",E517&lt;40,"between",E517&gt;=40,"plus")</f>
        <v>Under</v>
      </c>
    </row>
    <row r="518" spans="5:6" x14ac:dyDescent="0.35">
      <c r="E518" s="32">
        <v>29</v>
      </c>
      <c r="F518" s="22" t="str" cm="1">
        <f t="array" ref="F518">_xlfn.IFS(E518&lt;30,"Under",E518&lt;40,"between",E518&gt;=40,"plus")</f>
        <v>Under</v>
      </c>
    </row>
    <row r="519" spans="5:6" x14ac:dyDescent="0.35">
      <c r="E519" s="32">
        <v>34</v>
      </c>
      <c r="F519" s="22" t="str" cm="1">
        <f t="array" ref="F519">_xlfn.IFS(E519&lt;30,"Under",E519&lt;40,"between",E519&gt;=40,"plus")</f>
        <v>between</v>
      </c>
    </row>
    <row r="520" spans="5:6" x14ac:dyDescent="0.35">
      <c r="E520" s="32">
        <v>27</v>
      </c>
      <c r="F520" s="22" t="str" cm="1">
        <f t="array" ref="F520">_xlfn.IFS(E520&lt;30,"Under",E520&lt;40,"between",E520&gt;=40,"plus")</f>
        <v>Under</v>
      </c>
    </row>
    <row r="521" spans="5:6" x14ac:dyDescent="0.35">
      <c r="E521" s="32">
        <v>30</v>
      </c>
      <c r="F521" s="22" t="str" cm="1">
        <f t="array" ref="F521">_xlfn.IFS(E521&lt;30,"Under",E521&lt;40,"between",E521&gt;=40,"plus")</f>
        <v>between</v>
      </c>
    </row>
    <row r="522" spans="5:6" x14ac:dyDescent="0.35">
      <c r="E522" s="32">
        <v>33</v>
      </c>
      <c r="F522" s="22" t="str" cm="1">
        <f t="array" ref="F522">_xlfn.IFS(E522&lt;30,"Under",E522&lt;40,"between",E522&gt;=40,"plus")</f>
        <v>between</v>
      </c>
    </row>
    <row r="523" spans="5:6" x14ac:dyDescent="0.35">
      <c r="E523" s="32">
        <v>28</v>
      </c>
      <c r="F523" s="22" t="str" cm="1">
        <f t="array" ref="F523">_xlfn.IFS(E523&lt;30,"Under",E523&lt;40,"between",E523&gt;=40,"plus")</f>
        <v>Under</v>
      </c>
    </row>
    <row r="524" spans="5:6" x14ac:dyDescent="0.35">
      <c r="E524" s="32">
        <v>50</v>
      </c>
      <c r="F524" s="22" t="str" cm="1">
        <f t="array" ref="F524">_xlfn.IFS(E524&lt;30,"Under",E524&lt;40,"between",E524&gt;=40,"plus")</f>
        <v>plus</v>
      </c>
    </row>
    <row r="525" spans="5:6" x14ac:dyDescent="0.35">
      <c r="E525" s="32">
        <v>36</v>
      </c>
      <c r="F525" s="22" t="str" cm="1">
        <f t="array" ref="F525">_xlfn.IFS(E525&lt;30,"Under",E525&lt;40,"between",E525&gt;=40,"plus")</f>
        <v>between</v>
      </c>
    </row>
    <row r="526" spans="5:6" x14ac:dyDescent="0.35">
      <c r="E526" s="32">
        <v>22</v>
      </c>
      <c r="F526" s="22" t="str" cm="1">
        <f t="array" ref="F526">_xlfn.IFS(E526&lt;30,"Under",E526&lt;40,"between",E526&gt;=40,"plus")</f>
        <v>Under</v>
      </c>
    </row>
    <row r="527" spans="5:6" x14ac:dyDescent="0.35">
      <c r="E527" s="32">
        <v>39</v>
      </c>
      <c r="F527" s="22" t="str" cm="1">
        <f t="array" ref="F527">_xlfn.IFS(E527&lt;30,"Under",E527&lt;40,"between",E527&gt;=40,"plus")</f>
        <v>between</v>
      </c>
    </row>
    <row r="528" spans="5:6" x14ac:dyDescent="0.35">
      <c r="E528" s="32">
        <v>39</v>
      </c>
      <c r="F528" s="22" t="str" cm="1">
        <f t="array" ref="F528">_xlfn.IFS(E528&lt;30,"Under",E528&lt;40,"between",E528&gt;=40,"plus")</f>
        <v>between</v>
      </c>
    </row>
    <row r="529" spans="5:6" x14ac:dyDescent="0.35">
      <c r="E529" s="32">
        <v>26</v>
      </c>
      <c r="F529" s="22" t="str" cm="1">
        <f t="array" ref="F529">_xlfn.IFS(E529&lt;30,"Under",E529&lt;40,"between",E529&gt;=40,"plus")</f>
        <v>Under</v>
      </c>
    </row>
    <row r="530" spans="5:6" x14ac:dyDescent="0.35">
      <c r="E530" s="32">
        <v>24</v>
      </c>
      <c r="F530" s="22" t="str" cm="1">
        <f t="array" ref="F530">_xlfn.IFS(E530&lt;30,"Under",E530&lt;40,"between",E530&gt;=40,"plus")</f>
        <v>Under</v>
      </c>
    </row>
    <row r="531" spans="5:6" x14ac:dyDescent="0.35">
      <c r="E531" s="32">
        <v>35</v>
      </c>
      <c r="F531" s="22" t="str" cm="1">
        <f t="array" ref="F531">_xlfn.IFS(E531&lt;30,"Under",E531&lt;40,"between",E531&gt;=40,"plus")</f>
        <v>between</v>
      </c>
    </row>
    <row r="532" spans="5:6" x14ac:dyDescent="0.35">
      <c r="E532" s="32">
        <v>32</v>
      </c>
      <c r="F532" s="22" t="str" cm="1">
        <f t="array" ref="F532">_xlfn.IFS(E532&lt;30,"Under",E532&lt;40,"between",E532&gt;=40,"plus")</f>
        <v>between</v>
      </c>
    </row>
    <row r="533" spans="5:6" x14ac:dyDescent="0.35">
      <c r="E533" s="32">
        <v>37</v>
      </c>
      <c r="F533" s="22" t="str" cm="1">
        <f t="array" ref="F533">_xlfn.IFS(E533&lt;30,"Under",E533&lt;40,"between",E533&gt;=40,"plus")</f>
        <v>between</v>
      </c>
    </row>
    <row r="534" spans="5:6" x14ac:dyDescent="0.35">
      <c r="E534" s="32">
        <v>31</v>
      </c>
      <c r="F534" s="22" t="str" cm="1">
        <f t="array" ref="F534">_xlfn.IFS(E534&lt;30,"Under",E534&lt;40,"between",E534&gt;=40,"plus")</f>
        <v>between</v>
      </c>
    </row>
    <row r="535" spans="5:6" x14ac:dyDescent="0.35">
      <c r="E535" s="32">
        <v>32</v>
      </c>
      <c r="F535" s="22" t="str" cm="1">
        <f t="array" ref="F535">_xlfn.IFS(E535&lt;30,"Under",E535&lt;40,"between",E535&gt;=40,"plus")</f>
        <v>between</v>
      </c>
    </row>
    <row r="536" spans="5:6" x14ac:dyDescent="0.35">
      <c r="E536" s="32">
        <v>37</v>
      </c>
      <c r="F536" s="22" t="str" cm="1">
        <f t="array" ref="F536">_xlfn.IFS(E536&lt;30,"Under",E536&lt;40,"between",E536&gt;=40,"plus")</f>
        <v>between</v>
      </c>
    </row>
    <row r="537" spans="5:6" x14ac:dyDescent="0.35">
      <c r="E537" s="32">
        <v>38</v>
      </c>
      <c r="F537" s="22" t="str" cm="1">
        <f t="array" ref="F537">_xlfn.IFS(E537&lt;30,"Under",E537&lt;40,"between",E537&gt;=40,"plus")</f>
        <v>between</v>
      </c>
    </row>
    <row r="538" spans="5:6" x14ac:dyDescent="0.35">
      <c r="E538" s="32">
        <v>26</v>
      </c>
      <c r="F538" s="22" t="str" cm="1">
        <f t="array" ref="F538">_xlfn.IFS(E538&lt;30,"Under",E538&lt;40,"between",E538&gt;=40,"plus")</f>
        <v>Under</v>
      </c>
    </row>
    <row r="539" spans="5:6" x14ac:dyDescent="0.35">
      <c r="E539" s="32">
        <v>42</v>
      </c>
      <c r="F539" s="22" t="str" cm="1">
        <f t="array" ref="F539">_xlfn.IFS(E539&lt;30,"Under",E539&lt;40,"between",E539&gt;=40,"plus")</f>
        <v>plus</v>
      </c>
    </row>
    <row r="540" spans="5:6" x14ac:dyDescent="0.35">
      <c r="E540" s="32">
        <v>40</v>
      </c>
      <c r="F540" s="22" t="str" cm="1">
        <f t="array" ref="F540">_xlfn.IFS(E540&lt;30,"Under",E540&lt;40,"between",E540&gt;=40,"plus")</f>
        <v>plus</v>
      </c>
    </row>
    <row r="541" spans="5:6" x14ac:dyDescent="0.35">
      <c r="E541" s="32">
        <v>25</v>
      </c>
      <c r="F541" s="22" t="str" cm="1">
        <f t="array" ref="F541">_xlfn.IFS(E541&lt;30,"Under",E541&lt;40,"between",E541&gt;=40,"plus")</f>
        <v>Under</v>
      </c>
    </row>
    <row r="542" spans="5:6" x14ac:dyDescent="0.35">
      <c r="E542" s="32">
        <v>31</v>
      </c>
      <c r="F542" s="22" t="str" cm="1">
        <f t="array" ref="F542">_xlfn.IFS(E542&lt;30,"Under",E542&lt;40,"between",E542&gt;=40,"plus")</f>
        <v>between</v>
      </c>
    </row>
    <row r="543" spans="5:6" x14ac:dyDescent="0.35">
      <c r="E543" s="32">
        <v>29</v>
      </c>
      <c r="F543" s="22" t="str" cm="1">
        <f t="array" ref="F543">_xlfn.IFS(E543&lt;30,"Under",E543&lt;40,"between",E543&gt;=40,"plus")</f>
        <v>Under</v>
      </c>
    </row>
    <row r="544" spans="5:6" x14ac:dyDescent="0.35">
      <c r="E544" s="32">
        <v>34</v>
      </c>
      <c r="F544" s="22" t="str" cm="1">
        <f t="array" ref="F544">_xlfn.IFS(E544&lt;30,"Under",E544&lt;40,"between",E544&gt;=40,"plus")</f>
        <v>between</v>
      </c>
    </row>
    <row r="545" spans="5:6" x14ac:dyDescent="0.35">
      <c r="E545" s="32">
        <v>23</v>
      </c>
      <c r="F545" s="22" t="str" cm="1">
        <f t="array" ref="F545">_xlfn.IFS(E545&lt;30,"Under",E545&lt;40,"between",E545&gt;=40,"plus")</f>
        <v>Under</v>
      </c>
    </row>
    <row r="546" spans="5:6" x14ac:dyDescent="0.35">
      <c r="E546" s="32">
        <v>25</v>
      </c>
      <c r="F546" s="22" t="str" cm="1">
        <f t="array" ref="F546">_xlfn.IFS(E546&lt;30,"Under",E546&lt;40,"between",E546&gt;=40,"plus")</f>
        <v>Under</v>
      </c>
    </row>
    <row r="547" spans="5:6" x14ac:dyDescent="0.35">
      <c r="E547" s="32">
        <v>34</v>
      </c>
      <c r="F547" s="22" t="str" cm="1">
        <f t="array" ref="F547">_xlfn.IFS(E547&lt;30,"Under",E547&lt;40,"between",E547&gt;=40,"plus")</f>
        <v>between</v>
      </c>
    </row>
    <row r="548" spans="5:6" x14ac:dyDescent="0.35">
      <c r="E548" s="32">
        <v>24</v>
      </c>
      <c r="F548" s="22" t="str" cm="1">
        <f t="array" ref="F548">_xlfn.IFS(E548&lt;30,"Under",E548&lt;40,"between",E548&gt;=40,"plus")</f>
        <v>Under</v>
      </c>
    </row>
    <row r="549" spans="5:6" x14ac:dyDescent="0.35">
      <c r="E549" s="32">
        <v>30</v>
      </c>
      <c r="F549" s="22" t="str" cm="1">
        <f t="array" ref="F549">_xlfn.IFS(E549&lt;30,"Under",E549&lt;40,"between",E549&gt;=40,"plus")</f>
        <v>between</v>
      </c>
    </row>
    <row r="550" spans="5:6" x14ac:dyDescent="0.35">
      <c r="E550" s="32">
        <v>35</v>
      </c>
      <c r="F550" s="22" t="str" cm="1">
        <f t="array" ref="F550">_xlfn.IFS(E550&lt;30,"Under",E550&lt;40,"between",E550&gt;=40,"plus")</f>
        <v>between</v>
      </c>
    </row>
    <row r="551" spans="5:6" x14ac:dyDescent="0.35">
      <c r="E551" s="32">
        <v>35</v>
      </c>
      <c r="F551" s="22" t="str" cm="1">
        <f t="array" ref="F551">_xlfn.IFS(E551&lt;30,"Under",E551&lt;40,"between",E551&gt;=40,"plus")</f>
        <v>between</v>
      </c>
    </row>
    <row r="552" spans="5:6" x14ac:dyDescent="0.35">
      <c r="E552" s="32">
        <v>32</v>
      </c>
      <c r="F552" s="22" t="str" cm="1">
        <f t="array" ref="F552">_xlfn.IFS(E552&lt;30,"Under",E552&lt;40,"between",E552&gt;=40,"plus")</f>
        <v>between</v>
      </c>
    </row>
    <row r="553" spans="5:6" x14ac:dyDescent="0.35">
      <c r="E553" s="32">
        <v>29</v>
      </c>
      <c r="F553" s="22" t="str" cm="1">
        <f t="array" ref="F553">_xlfn.IFS(E553&lt;30,"Under",E553&lt;40,"between",E553&gt;=40,"plus")</f>
        <v>Under</v>
      </c>
    </row>
    <row r="554" spans="5:6" x14ac:dyDescent="0.35">
      <c r="E554" s="32">
        <v>38</v>
      </c>
      <c r="F554" s="22" t="str" cm="1">
        <f t="array" ref="F554">_xlfn.IFS(E554&lt;30,"Under",E554&lt;40,"between",E554&gt;=40,"plus")</f>
        <v>between</v>
      </c>
    </row>
    <row r="555" spans="5:6" x14ac:dyDescent="0.35">
      <c r="E555" s="32">
        <v>25</v>
      </c>
      <c r="F555" s="22" t="str" cm="1">
        <f t="array" ref="F555">_xlfn.IFS(E555&lt;30,"Under",E555&lt;40,"between",E555&gt;=40,"plus")</f>
        <v>Under</v>
      </c>
    </row>
    <row r="556" spans="5:6" x14ac:dyDescent="0.35">
      <c r="E556" s="32">
        <v>34</v>
      </c>
      <c r="F556" s="22" t="str" cm="1">
        <f t="array" ref="F556">_xlfn.IFS(E556&lt;30,"Under",E556&lt;40,"between",E556&gt;=40,"plus")</f>
        <v>between</v>
      </c>
    </row>
    <row r="557" spans="5:6" x14ac:dyDescent="0.35">
      <c r="E557" s="32">
        <v>55</v>
      </c>
      <c r="F557" s="22" t="str" cm="1">
        <f t="array" ref="F557">_xlfn.IFS(E557&lt;30,"Under",E557&lt;40,"between",E557&gt;=40,"plus")</f>
        <v>plus</v>
      </c>
    </row>
    <row r="558" spans="5:6" x14ac:dyDescent="0.35">
      <c r="E558" s="32">
        <v>33</v>
      </c>
      <c r="F558" s="22" t="str" cm="1">
        <f t="array" ref="F558">_xlfn.IFS(E558&lt;30,"Under",E558&lt;40,"between",E558&gt;=40,"plus")</f>
        <v>between</v>
      </c>
    </row>
    <row r="559" spans="5:6" x14ac:dyDescent="0.35">
      <c r="E559" s="32">
        <v>48</v>
      </c>
      <c r="F559" s="22" t="str" cm="1">
        <f t="array" ref="F559">_xlfn.IFS(E559&lt;30,"Under",E559&lt;40,"between",E559&gt;=40,"plus")</f>
        <v>plus</v>
      </c>
    </row>
    <row r="560" spans="5:6" x14ac:dyDescent="0.35">
      <c r="E560" s="32">
        <v>27</v>
      </c>
      <c r="F560" s="22" t="str" cm="1">
        <f t="array" ref="F560">_xlfn.IFS(E560&lt;30,"Under",E560&lt;40,"between",E560&gt;=40,"plus")</f>
        <v>Under</v>
      </c>
    </row>
    <row r="561" spans="5:6" x14ac:dyDescent="0.35">
      <c r="E561" s="32">
        <v>40</v>
      </c>
      <c r="F561" s="22" t="str" cm="1">
        <f t="array" ref="F561">_xlfn.IFS(E561&lt;30,"Under",E561&lt;40,"between",E561&gt;=40,"plus")</f>
        <v>plus</v>
      </c>
    </row>
    <row r="562" spans="5:6" x14ac:dyDescent="0.35">
      <c r="E562" s="32">
        <v>37</v>
      </c>
      <c r="F562" s="22" t="str" cm="1">
        <f t="array" ref="F562">_xlfn.IFS(E562&lt;30,"Under",E562&lt;40,"between",E562&gt;=40,"plus")</f>
        <v>between</v>
      </c>
    </row>
    <row r="563" spans="5:6" x14ac:dyDescent="0.35">
      <c r="E563" s="32">
        <v>32</v>
      </c>
      <c r="F563" s="22" t="str" cm="1">
        <f t="array" ref="F563">_xlfn.IFS(E563&lt;30,"Under",E563&lt;40,"between",E563&gt;=40,"plus")</f>
        <v>between</v>
      </c>
    </row>
    <row r="564" spans="5:6" x14ac:dyDescent="0.35">
      <c r="E564" s="32">
        <v>43</v>
      </c>
      <c r="F564" s="22" t="str" cm="1">
        <f t="array" ref="F564">_xlfn.IFS(E564&lt;30,"Under",E564&lt;40,"between",E564&gt;=40,"plus")</f>
        <v>plus</v>
      </c>
    </row>
    <row r="565" spans="5:6" x14ac:dyDescent="0.35">
      <c r="E565" s="32">
        <v>31</v>
      </c>
      <c r="F565" s="22" t="str" cm="1">
        <f t="array" ref="F565">_xlfn.IFS(E565&lt;30,"Under",E565&lt;40,"between",E565&gt;=40,"plus")</f>
        <v>between</v>
      </c>
    </row>
    <row r="566" spans="5:6" x14ac:dyDescent="0.35">
      <c r="E566" s="32">
        <v>32</v>
      </c>
      <c r="F566" s="22" t="str" cm="1">
        <f t="array" ref="F566">_xlfn.IFS(E566&lt;30,"Under",E566&lt;40,"between",E566&gt;=40,"plus")</f>
        <v>between</v>
      </c>
    </row>
    <row r="567" spans="5:6" x14ac:dyDescent="0.35">
      <c r="E567" s="32">
        <v>42</v>
      </c>
      <c r="F567" s="22" t="str" cm="1">
        <f t="array" ref="F567">_xlfn.IFS(E567&lt;30,"Under",E567&lt;40,"between",E567&gt;=40,"plus")</f>
        <v>plus</v>
      </c>
    </row>
    <row r="568" spans="5:6" x14ac:dyDescent="0.35">
      <c r="E568" s="32">
        <v>41</v>
      </c>
      <c r="F568" s="22" t="str" cm="1">
        <f t="array" ref="F568">_xlfn.IFS(E568&lt;30,"Under",E568&lt;40,"between",E568&gt;=40,"plus")</f>
        <v>plus</v>
      </c>
    </row>
    <row r="569" spans="5:6" x14ac:dyDescent="0.35">
      <c r="E569" s="32">
        <v>27</v>
      </c>
      <c r="F569" s="22" t="str" cm="1">
        <f t="array" ref="F569">_xlfn.IFS(E569&lt;30,"Under",E569&lt;40,"between",E569&gt;=40,"plus")</f>
        <v>Under</v>
      </c>
    </row>
    <row r="570" spans="5:6" x14ac:dyDescent="0.35">
      <c r="E570" s="32">
        <v>37</v>
      </c>
      <c r="F570" s="22" t="str" cm="1">
        <f t="array" ref="F570">_xlfn.IFS(E570&lt;30,"Under",E570&lt;40,"between",E570&gt;=40,"plus")</f>
        <v>between</v>
      </c>
    </row>
    <row r="571" spans="5:6" x14ac:dyDescent="0.35">
      <c r="E571" s="32">
        <v>39</v>
      </c>
      <c r="F571" s="22" t="str" cm="1">
        <f t="array" ref="F571">_xlfn.IFS(E571&lt;30,"Under",E571&lt;40,"between",E571&gt;=40,"plus")</f>
        <v>between</v>
      </c>
    </row>
    <row r="572" spans="5:6" x14ac:dyDescent="0.35">
      <c r="E572" s="32">
        <v>30</v>
      </c>
      <c r="F572" s="22" t="str" cm="1">
        <f t="array" ref="F572">_xlfn.IFS(E572&lt;30,"Under",E572&lt;40,"between",E572&gt;=40,"plus")</f>
        <v>between</v>
      </c>
    </row>
    <row r="573" spans="5:6" x14ac:dyDescent="0.35">
      <c r="E573" s="32">
        <v>39</v>
      </c>
      <c r="F573" s="22" t="str" cm="1">
        <f t="array" ref="F573">_xlfn.IFS(E573&lt;30,"Under",E573&lt;40,"between",E573&gt;=40,"plus")</f>
        <v>between</v>
      </c>
    </row>
    <row r="574" spans="5:6" x14ac:dyDescent="0.35">
      <c r="E574" s="32">
        <v>31</v>
      </c>
      <c r="F574" s="22" t="str" cm="1">
        <f t="array" ref="F574">_xlfn.IFS(E574&lt;30,"Under",E574&lt;40,"between",E574&gt;=40,"plus")</f>
        <v>between</v>
      </c>
    </row>
    <row r="575" spans="5:6" x14ac:dyDescent="0.35">
      <c r="E575" s="32">
        <v>35</v>
      </c>
      <c r="F575" s="22" t="str" cm="1">
        <f t="array" ref="F575">_xlfn.IFS(E575&lt;30,"Under",E575&lt;40,"between",E575&gt;=40,"plus")</f>
        <v>between</v>
      </c>
    </row>
    <row r="576" spans="5:6" x14ac:dyDescent="0.35">
      <c r="E576" s="32">
        <v>30</v>
      </c>
      <c r="F576" s="22" t="str" cm="1">
        <f t="array" ref="F576">_xlfn.IFS(E576&lt;30,"Under",E576&lt;40,"between",E576&gt;=40,"plus")</f>
        <v>between</v>
      </c>
    </row>
    <row r="577" spans="5:6" x14ac:dyDescent="0.35">
      <c r="E577" s="32">
        <v>26</v>
      </c>
      <c r="F577" s="22" t="str" cm="1">
        <f t="array" ref="F577">_xlfn.IFS(E577&lt;30,"Under",E577&lt;40,"between",E577&gt;=40,"plus")</f>
        <v>Under</v>
      </c>
    </row>
    <row r="578" spans="5:6" x14ac:dyDescent="0.35">
      <c r="E578" s="32">
        <v>24</v>
      </c>
      <c r="F578" s="22" t="str" cm="1">
        <f t="array" ref="F578">_xlfn.IFS(E578&lt;30,"Under",E578&lt;40,"between",E578&gt;=40,"plus")</f>
        <v>Under</v>
      </c>
    </row>
    <row r="579" spans="5:6" x14ac:dyDescent="0.35">
      <c r="E579" s="32">
        <v>47</v>
      </c>
      <c r="F579" s="22" t="str" cm="1">
        <f t="array" ref="F579">_xlfn.IFS(E579&lt;30,"Under",E579&lt;40,"between",E579&gt;=40,"plus")</f>
        <v>plus</v>
      </c>
    </row>
    <row r="580" spans="5:6" x14ac:dyDescent="0.35">
      <c r="E580" s="32">
        <v>22</v>
      </c>
      <c r="F580" s="22" t="str" cm="1">
        <f t="array" ref="F580">_xlfn.IFS(E580&lt;30,"Under",E580&lt;40,"between",E580&gt;=40,"plus")</f>
        <v>Under</v>
      </c>
    </row>
    <row r="581" spans="5:6" x14ac:dyDescent="0.35">
      <c r="E581" s="32">
        <v>29</v>
      </c>
      <c r="F581" s="22" t="str" cm="1">
        <f t="array" ref="F581">_xlfn.IFS(E581&lt;30,"Under",E581&lt;40,"between",E581&gt;=40,"plus")</f>
        <v>Under</v>
      </c>
    </row>
    <row r="582" spans="5:6" x14ac:dyDescent="0.35">
      <c r="E582" s="32">
        <v>37</v>
      </c>
      <c r="F582" s="22" t="str" cm="1">
        <f t="array" ref="F582">_xlfn.IFS(E582&lt;30,"Under",E582&lt;40,"between",E582&gt;=40,"plus")</f>
        <v>between</v>
      </c>
    </row>
    <row r="583" spans="5:6" x14ac:dyDescent="0.35">
      <c r="E583" s="32">
        <v>29</v>
      </c>
      <c r="F583" s="22" t="str" cm="1">
        <f t="array" ref="F583">_xlfn.IFS(E583&lt;30,"Under",E583&lt;40,"between",E583&gt;=40,"plus")</f>
        <v>Under</v>
      </c>
    </row>
    <row r="584" spans="5:6" x14ac:dyDescent="0.35">
      <c r="E584" s="32">
        <v>25</v>
      </c>
      <c r="F584" s="22" t="str" cm="1">
        <f t="array" ref="F584">_xlfn.IFS(E584&lt;30,"Under",E584&lt;40,"between",E584&gt;=40,"plus")</f>
        <v>Under</v>
      </c>
    </row>
    <row r="585" spans="5:6" x14ac:dyDescent="0.35">
      <c r="E585" s="32">
        <v>37</v>
      </c>
      <c r="F585" s="22" t="str" cm="1">
        <f t="array" ref="F585">_xlfn.IFS(E585&lt;30,"Under",E585&lt;40,"between",E585&gt;=40,"plus")</f>
        <v>between</v>
      </c>
    </row>
    <row r="586" spans="5:6" x14ac:dyDescent="0.35">
      <c r="E586" s="32">
        <v>31</v>
      </c>
      <c r="F586" s="22" t="str" cm="1">
        <f t="array" ref="F586">_xlfn.IFS(E586&lt;30,"Under",E586&lt;40,"between",E586&gt;=40,"plus")</f>
        <v>between</v>
      </c>
    </row>
    <row r="587" spans="5:6" x14ac:dyDescent="0.35">
      <c r="E587" s="32">
        <v>38</v>
      </c>
      <c r="F587" s="22" t="str" cm="1">
        <f t="array" ref="F587">_xlfn.IFS(E587&lt;30,"Under",E587&lt;40,"between",E587&gt;=40,"plus")</f>
        <v>between</v>
      </c>
    </row>
    <row r="588" spans="5:6" x14ac:dyDescent="0.35">
      <c r="E588" s="32">
        <v>32</v>
      </c>
      <c r="F588" s="22" t="str" cm="1">
        <f t="array" ref="F588">_xlfn.IFS(E588&lt;30,"Under",E588&lt;40,"between",E588&gt;=40,"plus")</f>
        <v>between</v>
      </c>
    </row>
    <row r="589" spans="5:6" x14ac:dyDescent="0.35">
      <c r="E589" s="32">
        <v>37</v>
      </c>
      <c r="F589" s="22" t="str" cm="1">
        <f t="array" ref="F589">_xlfn.IFS(E589&lt;30,"Under",E589&lt;40,"between",E589&gt;=40,"plus")</f>
        <v>between</v>
      </c>
    </row>
    <row r="590" spans="5:6" x14ac:dyDescent="0.35">
      <c r="E590" s="32">
        <v>28</v>
      </c>
      <c r="F590" s="22" t="str" cm="1">
        <f t="array" ref="F590">_xlfn.IFS(E590&lt;30,"Under",E590&lt;40,"between",E590&gt;=40,"plus")</f>
        <v>Under</v>
      </c>
    </row>
    <row r="591" spans="5:6" x14ac:dyDescent="0.35">
      <c r="E591" s="32">
        <v>27</v>
      </c>
      <c r="F591" s="22" t="str" cm="1">
        <f t="array" ref="F591">_xlfn.IFS(E591&lt;30,"Under",E591&lt;40,"between",E591&gt;=40,"plus")</f>
        <v>Under</v>
      </c>
    </row>
    <row r="592" spans="5:6" x14ac:dyDescent="0.35">
      <c r="E592" s="32">
        <v>35</v>
      </c>
      <c r="F592" s="22" t="str" cm="1">
        <f t="array" ref="F592">_xlfn.IFS(E592&lt;30,"Under",E592&lt;40,"between",E592&gt;=40,"plus")</f>
        <v>between</v>
      </c>
    </row>
    <row r="593" spans="5:6" x14ac:dyDescent="0.35">
      <c r="E593" s="32">
        <v>31</v>
      </c>
      <c r="F593" s="22" t="str" cm="1">
        <f t="array" ref="F593">_xlfn.IFS(E593&lt;30,"Under",E593&lt;40,"between",E593&gt;=40,"plus")</f>
        <v>between</v>
      </c>
    </row>
    <row r="594" spans="5:6" x14ac:dyDescent="0.35">
      <c r="E594" s="32">
        <v>48</v>
      </c>
      <c r="F594" s="22" t="str" cm="1">
        <f t="array" ref="F594">_xlfn.IFS(E594&lt;30,"Under",E594&lt;40,"between",E594&gt;=40,"plus")</f>
        <v>plus</v>
      </c>
    </row>
    <row r="595" spans="5:6" x14ac:dyDescent="0.35">
      <c r="E595" s="32">
        <v>40</v>
      </c>
      <c r="F595" s="22" t="str" cm="1">
        <f t="array" ref="F595">_xlfn.IFS(E595&lt;30,"Under",E595&lt;40,"between",E595&gt;=40,"plus")</f>
        <v>plus</v>
      </c>
    </row>
    <row r="596" spans="5:6" x14ac:dyDescent="0.35">
      <c r="E596" s="32">
        <v>35</v>
      </c>
      <c r="F596" s="22" t="str" cm="1">
        <f t="array" ref="F596">_xlfn.IFS(E596&lt;30,"Under",E596&lt;40,"between",E596&gt;=40,"plus")</f>
        <v>between</v>
      </c>
    </row>
    <row r="597" spans="5:6" x14ac:dyDescent="0.35">
      <c r="E597" s="32">
        <v>25</v>
      </c>
      <c r="F597" s="22" t="str" cm="1">
        <f t="array" ref="F597">_xlfn.IFS(E597&lt;30,"Under",E597&lt;40,"between",E597&gt;=40,"plus")</f>
        <v>Under</v>
      </c>
    </row>
    <row r="598" spans="5:6" x14ac:dyDescent="0.35">
      <c r="E598" s="32">
        <v>56</v>
      </c>
      <c r="F598" s="22" t="str" cm="1">
        <f t="array" ref="F598">_xlfn.IFS(E598&lt;30,"Under",E598&lt;40,"between",E598&gt;=40,"plus")</f>
        <v>plus</v>
      </c>
    </row>
    <row r="599" spans="5:6" x14ac:dyDescent="0.35">
      <c r="E599" s="32">
        <v>52</v>
      </c>
      <c r="F599" s="22" t="str" cm="1">
        <f t="array" ref="F599">_xlfn.IFS(E599&lt;30,"Under",E599&lt;40,"between",E599&gt;=40,"plus")</f>
        <v>plus</v>
      </c>
    </row>
    <row r="600" spans="5:6" x14ac:dyDescent="0.35">
      <c r="E600" s="32">
        <v>24</v>
      </c>
      <c r="F600" s="22" t="str" cm="1">
        <f t="array" ref="F600">_xlfn.IFS(E600&lt;30,"Under",E600&lt;40,"between",E600&gt;=40,"plus")</f>
        <v>Under</v>
      </c>
    </row>
    <row r="601" spans="5:6" x14ac:dyDescent="0.35">
      <c r="E601" s="32">
        <v>29</v>
      </c>
      <c r="F601" s="22" t="str" cm="1">
        <f t="array" ref="F601">_xlfn.IFS(E601&lt;30,"Under",E601&lt;40,"between",E601&gt;=40,"plus")</f>
        <v>Under</v>
      </c>
    </row>
    <row r="602" spans="5:6" x14ac:dyDescent="0.35">
      <c r="E602" s="32">
        <v>42</v>
      </c>
      <c r="F602" s="22" t="str" cm="1">
        <f t="array" ref="F602">_xlfn.IFS(E602&lt;30,"Under",E602&lt;40,"between",E602&gt;=40,"plus")</f>
        <v>plus</v>
      </c>
    </row>
    <row r="603" spans="5:6" x14ac:dyDescent="0.35">
      <c r="E603" s="32">
        <v>49</v>
      </c>
      <c r="F603" s="22" t="str" cm="1">
        <f t="array" ref="F603">_xlfn.IFS(E603&lt;30,"Under",E603&lt;40,"between",E603&gt;=40,"plus")</f>
        <v>plus</v>
      </c>
    </row>
    <row r="604" spans="5:6" x14ac:dyDescent="0.35">
      <c r="E604" s="32">
        <v>37</v>
      </c>
      <c r="F604" s="22" t="str" cm="1">
        <f t="array" ref="F604">_xlfn.IFS(E604&lt;30,"Under",E604&lt;40,"between",E604&gt;=40,"plus")</f>
        <v>between</v>
      </c>
    </row>
    <row r="605" spans="5:6" x14ac:dyDescent="0.35">
      <c r="E605" s="32">
        <v>37</v>
      </c>
      <c r="F605" s="22" t="str" cm="1">
        <f t="array" ref="F605">_xlfn.IFS(E605&lt;30,"Under",E605&lt;40,"between",E605&gt;=40,"plus")</f>
        <v>between</v>
      </c>
    </row>
    <row r="606" spans="5:6" x14ac:dyDescent="0.35">
      <c r="E606" s="32">
        <v>45</v>
      </c>
      <c r="F606" s="22" t="str" cm="1">
        <f t="array" ref="F606">_xlfn.IFS(E606&lt;30,"Under",E606&lt;40,"between",E606&gt;=40,"plus")</f>
        <v>plus</v>
      </c>
    </row>
    <row r="607" spans="5:6" x14ac:dyDescent="0.35">
      <c r="E607" s="32">
        <v>26</v>
      </c>
      <c r="F607" s="22" t="str" cm="1">
        <f t="array" ref="F607">_xlfn.IFS(E607&lt;30,"Under",E607&lt;40,"between",E607&gt;=40,"plus")</f>
        <v>Under</v>
      </c>
    </row>
    <row r="608" spans="5:6" x14ac:dyDescent="0.35">
      <c r="E608" s="32">
        <v>27</v>
      </c>
      <c r="F608" s="22" t="str" cm="1">
        <f t="array" ref="F608">_xlfn.IFS(E608&lt;30,"Under",E608&lt;40,"between",E608&gt;=40,"plus")</f>
        <v>Under</v>
      </c>
    </row>
    <row r="609" spans="5:6" x14ac:dyDescent="0.35">
      <c r="E609" s="32">
        <v>33</v>
      </c>
      <c r="F609" s="22" t="str" cm="1">
        <f t="array" ref="F609">_xlfn.IFS(E609&lt;30,"Under",E609&lt;40,"between",E609&gt;=40,"plus")</f>
        <v>between</v>
      </c>
    </row>
    <row r="610" spans="5:6" x14ac:dyDescent="0.35">
      <c r="E610" s="32">
        <v>31</v>
      </c>
      <c r="F610" s="22" t="str" cm="1">
        <f t="array" ref="F610">_xlfn.IFS(E610&lt;30,"Under",E610&lt;40,"between",E610&gt;=40,"plus")</f>
        <v>between</v>
      </c>
    </row>
    <row r="611" spans="5:6" x14ac:dyDescent="0.35">
      <c r="E611" s="32">
        <v>26</v>
      </c>
      <c r="F611" s="22" t="str" cm="1">
        <f t="array" ref="F611">_xlfn.IFS(E611&lt;30,"Under",E611&lt;40,"between",E611&gt;=40,"plus")</f>
        <v>Under</v>
      </c>
    </row>
    <row r="612" spans="5:6" x14ac:dyDescent="0.35">
      <c r="E612" s="32">
        <v>35</v>
      </c>
      <c r="F612" s="22" t="str" cm="1">
        <f t="array" ref="F612">_xlfn.IFS(E612&lt;30,"Under",E612&lt;40,"between",E612&gt;=40,"plus")</f>
        <v>between</v>
      </c>
    </row>
    <row r="613" spans="5:6" x14ac:dyDescent="0.35">
      <c r="E613" s="32">
        <v>38</v>
      </c>
      <c r="F613" s="22" t="str" cm="1">
        <f t="array" ref="F613">_xlfn.IFS(E613&lt;30,"Under",E613&lt;40,"between",E613&gt;=40,"plus")</f>
        <v>between</v>
      </c>
    </row>
    <row r="614" spans="5:6" x14ac:dyDescent="0.35">
      <c r="E614" s="32">
        <v>29</v>
      </c>
      <c r="F614" s="22" t="str" cm="1">
        <f t="array" ref="F614">_xlfn.IFS(E614&lt;30,"Under",E614&lt;40,"between",E614&gt;=40,"plus")</f>
        <v>Under</v>
      </c>
    </row>
    <row r="615" spans="5:6" x14ac:dyDescent="0.35">
      <c r="E615" s="32">
        <v>33</v>
      </c>
      <c r="F615" s="22" t="str" cm="1">
        <f t="array" ref="F615">_xlfn.IFS(E615&lt;30,"Under",E615&lt;40,"between",E615&gt;=40,"plus")</f>
        <v>between</v>
      </c>
    </row>
    <row r="616" spans="5:6" x14ac:dyDescent="0.35">
      <c r="E616" s="32">
        <v>35</v>
      </c>
      <c r="F616" s="22" t="str" cm="1">
        <f t="array" ref="F616">_xlfn.IFS(E616&lt;30,"Under",E616&lt;40,"between",E616&gt;=40,"plus")</f>
        <v>between</v>
      </c>
    </row>
    <row r="617" spans="5:6" x14ac:dyDescent="0.35">
      <c r="E617" s="32">
        <v>34</v>
      </c>
      <c r="F617" s="22" t="str" cm="1">
        <f t="array" ref="F617">_xlfn.IFS(E617&lt;30,"Under",E617&lt;40,"between",E617&gt;=40,"plus")</f>
        <v>between</v>
      </c>
    </row>
    <row r="618" spans="5:6" x14ac:dyDescent="0.35">
      <c r="E618" s="32">
        <v>40</v>
      </c>
      <c r="F618" s="22" t="str" cm="1">
        <f t="array" ref="F618">_xlfn.IFS(E618&lt;30,"Under",E618&lt;40,"between",E618&gt;=40,"plus")</f>
        <v>plus</v>
      </c>
    </row>
    <row r="619" spans="5:6" x14ac:dyDescent="0.35">
      <c r="E619" s="32">
        <v>42</v>
      </c>
      <c r="F619" s="22" t="str" cm="1">
        <f t="array" ref="F619">_xlfn.IFS(E619&lt;30,"Under",E619&lt;40,"between",E619&gt;=40,"plus")</f>
        <v>plus</v>
      </c>
    </row>
    <row r="620" spans="5:6" x14ac:dyDescent="0.35">
      <c r="E620" s="32">
        <v>29</v>
      </c>
      <c r="F620" s="22" t="str" cm="1">
        <f t="array" ref="F620">_xlfn.IFS(E620&lt;30,"Under",E620&lt;40,"between",E620&gt;=40,"plus")</f>
        <v>Under</v>
      </c>
    </row>
    <row r="621" spans="5:6" x14ac:dyDescent="0.35">
      <c r="E621" s="32">
        <v>27</v>
      </c>
      <c r="F621" s="22" t="str" cm="1">
        <f t="array" ref="F621">_xlfn.IFS(E621&lt;30,"Under",E621&lt;40,"between",E621&gt;=40,"plus")</f>
        <v>Under</v>
      </c>
    </row>
    <row r="622" spans="5:6" x14ac:dyDescent="0.35">
      <c r="E622" s="32">
        <v>31</v>
      </c>
      <c r="F622" s="22" t="str" cm="1">
        <f t="array" ref="F622">_xlfn.IFS(E622&lt;30,"Under",E622&lt;40,"between",E622&gt;=40,"plus")</f>
        <v>between</v>
      </c>
    </row>
    <row r="623" spans="5:6" x14ac:dyDescent="0.35">
      <c r="E623" s="32">
        <v>26</v>
      </c>
      <c r="F623" s="22" t="str" cm="1">
        <f t="array" ref="F623">_xlfn.IFS(E623&lt;30,"Under",E623&lt;40,"between",E623&gt;=40,"plus")</f>
        <v>Under</v>
      </c>
    </row>
    <row r="624" spans="5:6" x14ac:dyDescent="0.35">
      <c r="E624" s="32">
        <v>33</v>
      </c>
      <c r="F624" s="22" t="str" cm="1">
        <f t="array" ref="F624">_xlfn.IFS(E624&lt;30,"Under",E624&lt;40,"between",E624&gt;=40,"plus")</f>
        <v>between</v>
      </c>
    </row>
    <row r="625" spans="5:6" x14ac:dyDescent="0.35">
      <c r="E625" s="32">
        <v>36</v>
      </c>
      <c r="F625" s="22" t="str" cm="1">
        <f t="array" ref="F625">_xlfn.IFS(E625&lt;30,"Under",E625&lt;40,"between",E625&gt;=40,"plus")</f>
        <v>between</v>
      </c>
    </row>
    <row r="626" spans="5:6" x14ac:dyDescent="0.35">
      <c r="E626" s="32">
        <v>24</v>
      </c>
      <c r="F626" s="22" t="str" cm="1">
        <f t="array" ref="F626">_xlfn.IFS(E626&lt;30,"Under",E626&lt;40,"between",E626&gt;=40,"plus")</f>
        <v>Under</v>
      </c>
    </row>
    <row r="627" spans="5:6" x14ac:dyDescent="0.35">
      <c r="E627" s="32">
        <v>34</v>
      </c>
      <c r="F627" s="22" t="str" cm="1">
        <f t="array" ref="F627">_xlfn.IFS(E627&lt;30,"Under",E627&lt;40,"between",E627&gt;=40,"plus")</f>
        <v>between</v>
      </c>
    </row>
    <row r="628" spans="5:6" x14ac:dyDescent="0.35">
      <c r="E628" s="32">
        <v>28</v>
      </c>
      <c r="F628" s="22" t="str" cm="1">
        <f t="array" ref="F628">_xlfn.IFS(E628&lt;30,"Under",E628&lt;40,"between",E628&gt;=40,"plus")</f>
        <v>Under</v>
      </c>
    </row>
    <row r="629" spans="5:6" x14ac:dyDescent="0.35">
      <c r="E629" s="32">
        <v>45</v>
      </c>
      <c r="F629" s="22" t="str" cm="1">
        <f t="array" ref="F629">_xlfn.IFS(E629&lt;30,"Under",E629&lt;40,"between",E629&gt;=40,"plus")</f>
        <v>plus</v>
      </c>
    </row>
    <row r="630" spans="5:6" x14ac:dyDescent="0.35">
      <c r="E630" s="32">
        <v>41</v>
      </c>
      <c r="F630" s="22" t="str" cm="1">
        <f t="array" ref="F630">_xlfn.IFS(E630&lt;30,"Under",E630&lt;40,"between",E630&gt;=40,"plus")</f>
        <v>plus</v>
      </c>
    </row>
    <row r="631" spans="5:6" x14ac:dyDescent="0.35">
      <c r="E631" s="32">
        <v>25</v>
      </c>
      <c r="F631" s="22" t="str" cm="1">
        <f t="array" ref="F631">_xlfn.IFS(E631&lt;30,"Under",E631&lt;40,"between",E631&gt;=40,"plus")</f>
        <v>Under</v>
      </c>
    </row>
    <row r="632" spans="5:6" x14ac:dyDescent="0.35">
      <c r="E632" s="32">
        <v>24</v>
      </c>
      <c r="F632" s="22" t="str" cm="1">
        <f t="array" ref="F632">_xlfn.IFS(E632&lt;30,"Under",E632&lt;40,"between",E632&gt;=40,"plus")</f>
        <v>Under</v>
      </c>
    </row>
    <row r="633" spans="5:6" x14ac:dyDescent="0.35">
      <c r="E633" s="32">
        <v>32</v>
      </c>
      <c r="F633" s="22" t="str" cm="1">
        <f t="array" ref="F633">_xlfn.IFS(E633&lt;30,"Under",E633&lt;40,"between",E633&gt;=40,"plus")</f>
        <v>between</v>
      </c>
    </row>
    <row r="634" spans="5:6" x14ac:dyDescent="0.35">
      <c r="E634" s="32">
        <v>34</v>
      </c>
      <c r="F634" s="22" t="str" cm="1">
        <f t="array" ref="F634">_xlfn.IFS(E634&lt;30,"Under",E634&lt;40,"between",E634&gt;=40,"plus")</f>
        <v>between</v>
      </c>
    </row>
    <row r="635" spans="5:6" x14ac:dyDescent="0.35">
      <c r="E635" s="32">
        <v>26</v>
      </c>
      <c r="F635" s="22" t="str" cm="1">
        <f t="array" ref="F635">_xlfn.IFS(E635&lt;30,"Under",E635&lt;40,"between",E635&gt;=40,"plus")</f>
        <v>Under</v>
      </c>
    </row>
    <row r="636" spans="5:6" x14ac:dyDescent="0.35">
      <c r="E636" s="32">
        <v>40</v>
      </c>
      <c r="F636" s="22" t="str" cm="1">
        <f t="array" ref="F636">_xlfn.IFS(E636&lt;30,"Under",E636&lt;40,"between",E636&gt;=40,"plus")</f>
        <v>plus</v>
      </c>
    </row>
    <row r="637" spans="5:6" x14ac:dyDescent="0.35">
      <c r="E637" s="32">
        <v>31</v>
      </c>
      <c r="F637" s="22" t="str" cm="1">
        <f t="array" ref="F637">_xlfn.IFS(E637&lt;30,"Under",E637&lt;40,"between",E637&gt;=40,"plus")</f>
        <v>between</v>
      </c>
    </row>
    <row r="638" spans="5:6" x14ac:dyDescent="0.35">
      <c r="E638" s="32">
        <v>35</v>
      </c>
      <c r="F638" s="22" t="str" cm="1">
        <f t="array" ref="F638">_xlfn.IFS(E638&lt;30,"Under",E638&lt;40,"between",E638&gt;=40,"plus")</f>
        <v>between</v>
      </c>
    </row>
    <row r="639" spans="5:6" x14ac:dyDescent="0.35">
      <c r="E639" s="32">
        <v>42</v>
      </c>
      <c r="F639" s="22" t="str" cm="1">
        <f t="array" ref="F639">_xlfn.IFS(E639&lt;30,"Under",E639&lt;40,"between",E639&gt;=40,"plus")</f>
        <v>plus</v>
      </c>
    </row>
    <row r="640" spans="5:6" x14ac:dyDescent="0.35">
      <c r="E640" s="32">
        <v>54</v>
      </c>
      <c r="F640" s="22" t="str" cm="1">
        <f t="array" ref="F640">_xlfn.IFS(E640&lt;30,"Under",E640&lt;40,"between",E640&gt;=40,"plus")</f>
        <v>plus</v>
      </c>
    </row>
    <row r="641" spans="5:6" x14ac:dyDescent="0.35">
      <c r="E641" s="32">
        <v>38</v>
      </c>
      <c r="F641" s="22" t="str" cm="1">
        <f t="array" ref="F641">_xlfn.IFS(E641&lt;30,"Under",E641&lt;40,"between",E641&gt;=40,"plus")</f>
        <v>between</v>
      </c>
    </row>
    <row r="642" spans="5:6" x14ac:dyDescent="0.35">
      <c r="E642" s="32">
        <v>34</v>
      </c>
      <c r="F642" s="22" t="str" cm="1">
        <f t="array" ref="F642">_xlfn.IFS(E642&lt;30,"Under",E642&lt;40,"between",E642&gt;=40,"plus")</f>
        <v>between</v>
      </c>
    </row>
    <row r="643" spans="5:6" x14ac:dyDescent="0.35">
      <c r="E643" s="32">
        <v>45</v>
      </c>
      <c r="F643" s="22" t="str" cm="1">
        <f t="array" ref="F643">_xlfn.IFS(E643&lt;30,"Under",E643&lt;40,"between",E643&gt;=40,"plus")</f>
        <v>plus</v>
      </c>
    </row>
    <row r="644" spans="5:6" x14ac:dyDescent="0.35">
      <c r="E644" s="32">
        <v>40</v>
      </c>
      <c r="F644" s="22" t="str" cm="1">
        <f t="array" ref="F644">_xlfn.IFS(E644&lt;30,"Under",E644&lt;40,"between",E644&gt;=40,"plus")</f>
        <v>plus</v>
      </c>
    </row>
    <row r="645" spans="5:6" x14ac:dyDescent="0.35">
      <c r="E645" s="32">
        <v>37</v>
      </c>
      <c r="F645" s="22" t="str" cm="1">
        <f t="array" ref="F645">_xlfn.IFS(E645&lt;30,"Under",E645&lt;40,"between",E645&gt;=40,"plus")</f>
        <v>between</v>
      </c>
    </row>
    <row r="646" spans="5:6" x14ac:dyDescent="0.35">
      <c r="E646" s="32">
        <v>53</v>
      </c>
      <c r="F646" s="22" t="str" cm="1">
        <f t="array" ref="F646">_xlfn.IFS(E646&lt;30,"Under",E646&lt;40,"between",E646&gt;=40,"plus")</f>
        <v>plus</v>
      </c>
    </row>
    <row r="647" spans="5:6" x14ac:dyDescent="0.35">
      <c r="E647" s="32">
        <v>32</v>
      </c>
      <c r="F647" s="22" t="str" cm="1">
        <f t="array" ref="F647">_xlfn.IFS(E647&lt;30,"Under",E647&lt;40,"between",E647&gt;=40,"plus")</f>
        <v>between</v>
      </c>
    </row>
    <row r="648" spans="5:6" x14ac:dyDescent="0.35">
      <c r="E648" s="32">
        <v>45</v>
      </c>
      <c r="F648" s="22" t="str" cm="1">
        <f t="array" ref="F648">_xlfn.IFS(E648&lt;30,"Under",E648&lt;40,"between",E648&gt;=40,"plus")</f>
        <v>plus</v>
      </c>
    </row>
    <row r="649" spans="5:6" x14ac:dyDescent="0.35">
      <c r="E649" s="32">
        <v>27</v>
      </c>
      <c r="F649" s="22" t="str" cm="1">
        <f t="array" ref="F649">_xlfn.IFS(E649&lt;30,"Under",E649&lt;40,"between",E649&gt;=40,"plus")</f>
        <v>Under</v>
      </c>
    </row>
    <row r="650" spans="5:6" x14ac:dyDescent="0.35">
      <c r="E650" s="32">
        <v>36</v>
      </c>
      <c r="F650" s="22" t="str" cm="1">
        <f t="array" ref="F650">_xlfn.IFS(E650&lt;30,"Under",E650&lt;40,"between",E650&gt;=40,"plus")</f>
        <v>between</v>
      </c>
    </row>
    <row r="651" spans="5:6" x14ac:dyDescent="0.35">
      <c r="E651" s="32">
        <v>25</v>
      </c>
      <c r="F651" s="22" t="str" cm="1">
        <f t="array" ref="F651">_xlfn.IFS(E651&lt;30,"Under",E651&lt;40,"between",E651&gt;=40,"plus")</f>
        <v>Under</v>
      </c>
    </row>
    <row r="652" spans="5:6" x14ac:dyDescent="0.35">
      <c r="E652" s="32">
        <v>34</v>
      </c>
      <c r="F652" s="22" t="str" cm="1">
        <f t="array" ref="F652">_xlfn.IFS(E652&lt;30,"Under",E652&lt;40,"between",E652&gt;=40,"plus")</f>
        <v>between</v>
      </c>
    </row>
    <row r="653" spans="5:6" x14ac:dyDescent="0.35">
      <c r="E653" s="32">
        <v>36</v>
      </c>
      <c r="F653" s="22" t="str" cm="1">
        <f t="array" ref="F653">_xlfn.IFS(E653&lt;30,"Under",E653&lt;40,"between",E653&gt;=40,"plus")</f>
        <v>between</v>
      </c>
    </row>
    <row r="654" spans="5:6" x14ac:dyDescent="0.35">
      <c r="E654" s="32">
        <v>34</v>
      </c>
      <c r="F654" s="22" t="str" cm="1">
        <f t="array" ref="F654">_xlfn.IFS(E654&lt;30,"Under",E654&lt;40,"between",E654&gt;=40,"plus")</f>
        <v>between</v>
      </c>
    </row>
    <row r="655" spans="5:6" x14ac:dyDescent="0.35">
      <c r="E655" s="32">
        <v>49</v>
      </c>
      <c r="F655" s="22" t="str" cm="1">
        <f t="array" ref="F655">_xlfn.IFS(E655&lt;30,"Under",E655&lt;40,"between",E655&gt;=40,"plus")</f>
        <v>plus</v>
      </c>
    </row>
    <row r="656" spans="5:6" x14ac:dyDescent="0.35">
      <c r="E656" s="32">
        <v>33</v>
      </c>
      <c r="F656" s="22" t="str" cm="1">
        <f t="array" ref="F656">_xlfn.IFS(E656&lt;30,"Under",E656&lt;40,"between",E656&gt;=40,"plus")</f>
        <v>between</v>
      </c>
    </row>
    <row r="657" spans="5:6" x14ac:dyDescent="0.35">
      <c r="E657" s="32">
        <v>43</v>
      </c>
      <c r="F657" s="22" t="str" cm="1">
        <f t="array" ref="F657">_xlfn.IFS(E657&lt;30,"Under",E657&lt;40,"between",E657&gt;=40,"plus")</f>
        <v>plus</v>
      </c>
    </row>
    <row r="658" spans="5:6" x14ac:dyDescent="0.35">
      <c r="E658" s="32">
        <v>42</v>
      </c>
      <c r="F658" s="22" t="str" cm="1">
        <f t="array" ref="F658">_xlfn.IFS(E658&lt;30,"Under",E658&lt;40,"between",E658&gt;=40,"plus")</f>
        <v>plus</v>
      </c>
    </row>
    <row r="659" spans="5:6" x14ac:dyDescent="0.35">
      <c r="E659" s="32">
        <v>39</v>
      </c>
      <c r="F659" s="22" t="str" cm="1">
        <f t="array" ref="F659">_xlfn.IFS(E659&lt;30,"Under",E659&lt;40,"between",E659&gt;=40,"plus")</f>
        <v>between</v>
      </c>
    </row>
    <row r="660" spans="5:6" x14ac:dyDescent="0.35">
      <c r="E660" s="32">
        <v>47</v>
      </c>
      <c r="F660" s="22" t="str" cm="1">
        <f t="array" ref="F660">_xlfn.IFS(E660&lt;30,"Under",E660&lt;40,"between",E660&gt;=40,"plus")</f>
        <v>plus</v>
      </c>
    </row>
    <row r="661" spans="5:6" x14ac:dyDescent="0.35">
      <c r="E661" s="32">
        <v>34</v>
      </c>
      <c r="F661" s="22" t="str" cm="1">
        <f t="array" ref="F661">_xlfn.IFS(E661&lt;30,"Under",E661&lt;40,"between",E661&gt;=40,"plus")</f>
        <v>between</v>
      </c>
    </row>
    <row r="662" spans="5:6" x14ac:dyDescent="0.35">
      <c r="E662" s="32">
        <v>33</v>
      </c>
      <c r="F662" s="22" t="str" cm="1">
        <f t="array" ref="F662">_xlfn.IFS(E662&lt;30,"Under",E662&lt;40,"between",E662&gt;=40,"plus")</f>
        <v>between</v>
      </c>
    </row>
    <row r="663" spans="5:6" x14ac:dyDescent="0.35">
      <c r="E663" s="32">
        <v>44</v>
      </c>
      <c r="F663" s="22" t="str" cm="1">
        <f t="array" ref="F663">_xlfn.IFS(E663&lt;30,"Under",E663&lt;40,"between",E663&gt;=40,"plus")</f>
        <v>plus</v>
      </c>
    </row>
    <row r="664" spans="5:6" x14ac:dyDescent="0.35">
      <c r="E664" s="32">
        <v>39</v>
      </c>
      <c r="F664" s="22" t="str" cm="1">
        <f t="array" ref="F664">_xlfn.IFS(E664&lt;30,"Under",E664&lt;40,"between",E664&gt;=40,"plus")</f>
        <v>between</v>
      </c>
    </row>
    <row r="665" spans="5:6" x14ac:dyDescent="0.35">
      <c r="E665" s="32">
        <v>29</v>
      </c>
      <c r="F665" s="22" t="str" cm="1">
        <f t="array" ref="F665">_xlfn.IFS(E665&lt;30,"Under",E665&lt;40,"between",E665&gt;=40,"plus")</f>
        <v>Under</v>
      </c>
    </row>
    <row r="666" spans="5:6" x14ac:dyDescent="0.35">
      <c r="E666" s="32">
        <v>42</v>
      </c>
      <c r="F666" s="22" t="str" cm="1">
        <f t="array" ref="F666">_xlfn.IFS(E666&lt;30,"Under",E666&lt;40,"between",E666&gt;=40,"plus")</f>
        <v>plus</v>
      </c>
    </row>
    <row r="667" spans="5:6" x14ac:dyDescent="0.35">
      <c r="E667" s="32">
        <v>28</v>
      </c>
      <c r="F667" s="22" t="str" cm="1">
        <f t="array" ref="F667">_xlfn.IFS(E667&lt;30,"Under",E667&lt;40,"between",E667&gt;=40,"plus")</f>
        <v>Under</v>
      </c>
    </row>
    <row r="668" spans="5:6" x14ac:dyDescent="0.35">
      <c r="E668" s="32">
        <v>31</v>
      </c>
      <c r="F668" s="22" t="str" cm="1">
        <f t="array" ref="F668">_xlfn.IFS(E668&lt;30,"Under",E668&lt;40,"between",E668&gt;=40,"plus")</f>
        <v>between</v>
      </c>
    </row>
    <row r="669" spans="5:6" x14ac:dyDescent="0.35">
      <c r="E669" s="32">
        <v>34</v>
      </c>
      <c r="F669" s="22" t="str" cm="1">
        <f t="array" ref="F669">_xlfn.IFS(E669&lt;30,"Under",E669&lt;40,"between",E669&gt;=40,"plus")</f>
        <v>between</v>
      </c>
    </row>
    <row r="670" spans="5:6" x14ac:dyDescent="0.35">
      <c r="E670" s="32">
        <v>24</v>
      </c>
      <c r="F670" s="22" t="str" cm="1">
        <f t="array" ref="F670">_xlfn.IFS(E670&lt;30,"Under",E670&lt;40,"between",E670&gt;=40,"plus")</f>
        <v>Under</v>
      </c>
    </row>
    <row r="671" spans="5:6" x14ac:dyDescent="0.35">
      <c r="E671" s="32">
        <v>35</v>
      </c>
      <c r="F671" s="22" t="str" cm="1">
        <f t="array" ref="F671">_xlfn.IFS(E671&lt;30,"Under",E671&lt;40,"between",E671&gt;=40,"plus")</f>
        <v>between</v>
      </c>
    </row>
    <row r="672" spans="5:6" x14ac:dyDescent="0.35">
      <c r="E672" s="32">
        <v>47</v>
      </c>
      <c r="F672" s="22" t="str" cm="1">
        <f t="array" ref="F672">_xlfn.IFS(E672&lt;30,"Under",E672&lt;40,"between",E672&gt;=40,"plus")</f>
        <v>plus</v>
      </c>
    </row>
    <row r="673" spans="5:6" x14ac:dyDescent="0.35">
      <c r="E673" s="32">
        <v>34</v>
      </c>
      <c r="F673" s="22" t="str" cm="1">
        <f t="array" ref="F673">_xlfn.IFS(E673&lt;30,"Under",E673&lt;40,"between",E673&gt;=40,"plus")</f>
        <v>between</v>
      </c>
    </row>
    <row r="674" spans="5:6" x14ac:dyDescent="0.35">
      <c r="E674" s="32">
        <v>35</v>
      </c>
      <c r="F674" s="22" t="str" cm="1">
        <f t="array" ref="F674">_xlfn.IFS(E674&lt;30,"Under",E674&lt;40,"between",E674&gt;=40,"plus")</f>
        <v>between</v>
      </c>
    </row>
    <row r="675" spans="5:6" x14ac:dyDescent="0.35">
      <c r="E675" s="32">
        <v>35</v>
      </c>
      <c r="F675" s="22" t="str" cm="1">
        <f t="array" ref="F675">_xlfn.IFS(E675&lt;30,"Under",E675&lt;40,"between",E675&gt;=40,"plus")</f>
        <v>between</v>
      </c>
    </row>
    <row r="676" spans="5:6" x14ac:dyDescent="0.35">
      <c r="E676" s="32">
        <v>46</v>
      </c>
      <c r="F676" s="22" t="str" cm="1">
        <f t="array" ref="F676">_xlfn.IFS(E676&lt;30,"Under",E676&lt;40,"between",E676&gt;=40,"plus")</f>
        <v>plus</v>
      </c>
    </row>
    <row r="677" spans="5:6" x14ac:dyDescent="0.35">
      <c r="E677" s="32">
        <v>24</v>
      </c>
      <c r="F677" s="22" t="str" cm="1">
        <f t="array" ref="F677">_xlfn.IFS(E677&lt;30,"Under",E677&lt;40,"between",E677&gt;=40,"plus")</f>
        <v>Under</v>
      </c>
    </row>
    <row r="678" spans="5:6" x14ac:dyDescent="0.35">
      <c r="E678" s="32">
        <v>27</v>
      </c>
      <c r="F678" s="22" t="str" cm="1">
        <f t="array" ref="F678">_xlfn.IFS(E678&lt;30,"Under",E678&lt;40,"between",E678&gt;=40,"plus")</f>
        <v>Under</v>
      </c>
    </row>
    <row r="679" spans="5:6" x14ac:dyDescent="0.35">
      <c r="E679" s="32">
        <v>30</v>
      </c>
      <c r="F679" s="22" t="str" cm="1">
        <f t="array" ref="F679">_xlfn.IFS(E679&lt;30,"Under",E679&lt;40,"between",E679&gt;=40,"plus")</f>
        <v>between</v>
      </c>
    </row>
    <row r="680" spans="5:6" x14ac:dyDescent="0.35">
      <c r="E680" s="32">
        <v>36</v>
      </c>
      <c r="F680" s="22" t="str" cm="1">
        <f t="array" ref="F680">_xlfn.IFS(E680&lt;30,"Under",E680&lt;40,"between",E680&gt;=40,"plus")</f>
        <v>between</v>
      </c>
    </row>
    <row r="681" spans="5:6" x14ac:dyDescent="0.35">
      <c r="E681" s="32">
        <v>40</v>
      </c>
      <c r="F681" s="22" t="str" cm="1">
        <f t="array" ref="F681">_xlfn.IFS(E681&lt;30,"Under",E681&lt;40,"between",E681&gt;=40,"plus")</f>
        <v>plus</v>
      </c>
    </row>
    <row r="682" spans="5:6" x14ac:dyDescent="0.35">
      <c r="E682" s="32">
        <v>27</v>
      </c>
      <c r="F682" s="22" t="str" cm="1">
        <f t="array" ref="F682">_xlfn.IFS(E682&lt;30,"Under",E682&lt;40,"between",E682&gt;=40,"plus")</f>
        <v>Under</v>
      </c>
    </row>
    <row r="683" spans="5:6" x14ac:dyDescent="0.35">
      <c r="E683" s="32">
        <v>32</v>
      </c>
      <c r="F683" s="22" t="str" cm="1">
        <f t="array" ref="F683">_xlfn.IFS(E683&lt;30,"Under",E683&lt;40,"between",E683&gt;=40,"plus")</f>
        <v>between</v>
      </c>
    </row>
    <row r="684" spans="5:6" x14ac:dyDescent="0.35">
      <c r="E684" s="32">
        <v>29</v>
      </c>
      <c r="F684" s="22" t="str" cm="1">
        <f t="array" ref="F684">_xlfn.IFS(E684&lt;30,"Under",E684&lt;40,"between",E684&gt;=40,"plus")</f>
        <v>Under</v>
      </c>
    </row>
    <row r="685" spans="5:6" x14ac:dyDescent="0.35">
      <c r="E685" s="32">
        <v>40</v>
      </c>
      <c r="F685" s="22" t="str" cm="1">
        <f t="array" ref="F685">_xlfn.IFS(E685&lt;30,"Under",E685&lt;40,"between",E685&gt;=40,"plus")</f>
        <v>plus</v>
      </c>
    </row>
    <row r="686" spans="5:6" x14ac:dyDescent="0.35">
      <c r="E686" s="32">
        <v>36</v>
      </c>
      <c r="F686" s="22" t="str" cm="1">
        <f t="array" ref="F686">_xlfn.IFS(E686&lt;30,"Under",E686&lt;40,"between",E686&gt;=40,"plus")</f>
        <v>between</v>
      </c>
    </row>
    <row r="687" spans="5:6" x14ac:dyDescent="0.35">
      <c r="E687" s="32">
        <v>32</v>
      </c>
      <c r="F687" s="22" t="str" cm="1">
        <f t="array" ref="F687">_xlfn.IFS(E687&lt;30,"Under",E687&lt;40,"between",E687&gt;=40,"plus")</f>
        <v>between</v>
      </c>
    </row>
    <row r="688" spans="5:6" x14ac:dyDescent="0.35">
      <c r="E688" s="32">
        <v>36</v>
      </c>
      <c r="F688" s="22" t="str" cm="1">
        <f t="array" ref="F688">_xlfn.IFS(E688&lt;30,"Under",E688&lt;40,"between",E688&gt;=40,"plus")</f>
        <v>between</v>
      </c>
    </row>
    <row r="689" spans="5:6" x14ac:dyDescent="0.35">
      <c r="E689" s="32">
        <v>37</v>
      </c>
      <c r="F689" s="22" t="str" cm="1">
        <f t="array" ref="F689">_xlfn.IFS(E689&lt;30,"Under",E689&lt;40,"between",E689&gt;=40,"plus")</f>
        <v>between</v>
      </c>
    </row>
    <row r="690" spans="5:6" x14ac:dyDescent="0.35">
      <c r="E690" s="32">
        <v>33</v>
      </c>
      <c r="F690" s="22" t="str" cm="1">
        <f t="array" ref="F690">_xlfn.IFS(E690&lt;30,"Under",E690&lt;40,"between",E690&gt;=40,"plus")</f>
        <v>between</v>
      </c>
    </row>
    <row r="691" spans="5:6" x14ac:dyDescent="0.35">
      <c r="E691" s="32">
        <v>26</v>
      </c>
      <c r="F691" s="22" t="str" cm="1">
        <f t="array" ref="F691">_xlfn.IFS(E691&lt;30,"Under",E691&lt;40,"between",E691&gt;=40,"plus")</f>
        <v>Under</v>
      </c>
    </row>
    <row r="692" spans="5:6" x14ac:dyDescent="0.35">
      <c r="E692" s="32">
        <v>30</v>
      </c>
      <c r="F692" s="22" t="str" cm="1">
        <f t="array" ref="F692">_xlfn.IFS(E692&lt;30,"Under",E692&lt;40,"between",E692&gt;=40,"plus")</f>
        <v>between</v>
      </c>
    </row>
    <row r="693" spans="5:6" x14ac:dyDescent="0.35">
      <c r="E693" s="32">
        <v>32</v>
      </c>
      <c r="F693" s="22" t="str" cm="1">
        <f t="array" ref="F693">_xlfn.IFS(E693&lt;30,"Under",E693&lt;40,"between",E693&gt;=40,"plus")</f>
        <v>between</v>
      </c>
    </row>
    <row r="694" spans="5:6" x14ac:dyDescent="0.35">
      <c r="E694" s="32">
        <v>35</v>
      </c>
      <c r="F694" s="22" t="str" cm="1">
        <f t="array" ref="F694">_xlfn.IFS(E694&lt;30,"Under",E694&lt;40,"between",E694&gt;=40,"plus")</f>
        <v>between</v>
      </c>
    </row>
    <row r="695" spans="5:6" x14ac:dyDescent="0.35">
      <c r="E695" s="32">
        <v>41</v>
      </c>
      <c r="F695" s="22" t="str" cm="1">
        <f t="array" ref="F695">_xlfn.IFS(E695&lt;30,"Under",E695&lt;40,"between",E695&gt;=40,"plus")</f>
        <v>plus</v>
      </c>
    </row>
    <row r="696" spans="5:6" x14ac:dyDescent="0.35">
      <c r="E696" s="32">
        <v>29</v>
      </c>
      <c r="F696" s="22" t="str" cm="1">
        <f t="array" ref="F696">_xlfn.IFS(E696&lt;30,"Under",E696&lt;40,"between",E696&gt;=40,"plus")</f>
        <v>Under</v>
      </c>
    </row>
    <row r="697" spans="5:6" x14ac:dyDescent="0.35">
      <c r="E697" s="32">
        <v>28</v>
      </c>
      <c r="F697" s="22" t="str" cm="1">
        <f t="array" ref="F697">_xlfn.IFS(E697&lt;30,"Under",E697&lt;40,"between",E697&gt;=40,"plus")</f>
        <v>Under</v>
      </c>
    </row>
    <row r="698" spans="5:6" x14ac:dyDescent="0.35">
      <c r="E698" s="32">
        <v>34</v>
      </c>
      <c r="F698" s="22" t="str" cm="1">
        <f t="array" ref="F698">_xlfn.IFS(E698&lt;30,"Under",E698&lt;40,"between",E698&gt;=40,"plus")</f>
        <v>between</v>
      </c>
    </row>
    <row r="699" spans="5:6" x14ac:dyDescent="0.35">
      <c r="E699" s="32">
        <v>50</v>
      </c>
      <c r="F699" s="22" t="str" cm="1">
        <f t="array" ref="F699">_xlfn.IFS(E699&lt;30,"Under",E699&lt;40,"between",E699&gt;=40,"plus")</f>
        <v>plus</v>
      </c>
    </row>
    <row r="700" spans="5:6" x14ac:dyDescent="0.35">
      <c r="E700" s="32">
        <v>38</v>
      </c>
      <c r="F700" s="22" t="str" cm="1">
        <f t="array" ref="F700">_xlfn.IFS(E700&lt;30,"Under",E700&lt;40,"between",E700&gt;=40,"plus")</f>
        <v>between</v>
      </c>
    </row>
    <row r="701" spans="5:6" x14ac:dyDescent="0.35">
      <c r="E701" s="32">
        <v>30</v>
      </c>
      <c r="F701" s="22" t="str" cm="1">
        <f t="array" ref="F701">_xlfn.IFS(E701&lt;30,"Under",E701&lt;40,"between",E701&gt;=40,"plus")</f>
        <v>between</v>
      </c>
    </row>
    <row r="702" spans="5:6" x14ac:dyDescent="0.35">
      <c r="E702" s="32">
        <v>43</v>
      </c>
      <c r="F702" s="22" t="str" cm="1">
        <f t="array" ref="F702">_xlfn.IFS(E702&lt;30,"Under",E702&lt;40,"between",E702&gt;=40,"plus")</f>
        <v>plus</v>
      </c>
    </row>
    <row r="703" spans="5:6" x14ac:dyDescent="0.35">
      <c r="E703" s="32">
        <v>26</v>
      </c>
      <c r="F703" s="22" t="str" cm="1">
        <f t="array" ref="F703">_xlfn.IFS(E703&lt;30,"Under",E703&lt;40,"between",E703&gt;=40,"plus")</f>
        <v>Under</v>
      </c>
    </row>
    <row r="704" spans="5:6" x14ac:dyDescent="0.35">
      <c r="E704" s="32">
        <v>34</v>
      </c>
      <c r="F704" s="22" t="str" cm="1">
        <f t="array" ref="F704">_xlfn.IFS(E704&lt;30,"Under",E704&lt;40,"between",E704&gt;=40,"plus")</f>
        <v>between</v>
      </c>
    </row>
    <row r="705" spans="5:6" x14ac:dyDescent="0.35">
      <c r="E705" s="32">
        <v>43</v>
      </c>
      <c r="F705" s="22" t="str" cm="1">
        <f t="array" ref="F705">_xlfn.IFS(E705&lt;30,"Under",E705&lt;40,"between",E705&gt;=40,"plus")</f>
        <v>plus</v>
      </c>
    </row>
    <row r="706" spans="5:6" x14ac:dyDescent="0.35">
      <c r="E706" s="32">
        <v>41</v>
      </c>
      <c r="F706" s="22" t="str" cm="1">
        <f t="array" ref="F706">_xlfn.IFS(E706&lt;30,"Under",E706&lt;40,"between",E706&gt;=40,"plus")</f>
        <v>plus</v>
      </c>
    </row>
    <row r="707" spans="5:6" x14ac:dyDescent="0.35">
      <c r="E707" s="32">
        <v>44</v>
      </c>
      <c r="F707" s="22" t="str" cm="1">
        <f t="array" ref="F707">_xlfn.IFS(E707&lt;30,"Under",E707&lt;40,"between",E707&gt;=40,"plus")</f>
        <v>plus</v>
      </c>
    </row>
    <row r="708" spans="5:6" x14ac:dyDescent="0.35">
      <c r="E708" s="32">
        <v>38</v>
      </c>
      <c r="F708" s="22" t="str" cm="1">
        <f t="array" ref="F708">_xlfn.IFS(E708&lt;30,"Under",E708&lt;40,"between",E708&gt;=40,"plus")</f>
        <v>between</v>
      </c>
    </row>
    <row r="709" spans="5:6" x14ac:dyDescent="0.35">
      <c r="E709" s="32">
        <v>27</v>
      </c>
      <c r="F709" s="22" t="str" cm="1">
        <f t="array" ref="F709">_xlfn.IFS(E709&lt;30,"Under",E709&lt;40,"between",E709&gt;=40,"plus")</f>
        <v>Under</v>
      </c>
    </row>
    <row r="710" spans="5:6" x14ac:dyDescent="0.35">
      <c r="E710" s="32">
        <v>22</v>
      </c>
      <c r="F710" s="22" t="str" cm="1">
        <f t="array" ref="F710">_xlfn.IFS(E710&lt;30,"Under",E710&lt;40,"between",E710&gt;=40,"plus")</f>
        <v>Under</v>
      </c>
    </row>
    <row r="711" spans="5:6" x14ac:dyDescent="0.35">
      <c r="E711" s="32">
        <v>37</v>
      </c>
      <c r="F711" s="22" t="str" cm="1">
        <f t="array" ref="F711">_xlfn.IFS(E711&lt;30,"Under",E711&lt;40,"between",E711&gt;=40,"plus")</f>
        <v>between</v>
      </c>
    </row>
    <row r="712" spans="5:6" x14ac:dyDescent="0.35">
      <c r="E712" s="32">
        <v>28</v>
      </c>
      <c r="F712" s="22" t="str" cm="1">
        <f t="array" ref="F712">_xlfn.IFS(E712&lt;30,"Under",E712&lt;40,"between",E712&gt;=40,"plus")</f>
        <v>Under</v>
      </c>
    </row>
    <row r="713" spans="5:6" x14ac:dyDescent="0.35">
      <c r="E713" s="32">
        <v>30</v>
      </c>
      <c r="F713" s="22" t="str" cm="1">
        <f t="array" ref="F713">_xlfn.IFS(E713&lt;30,"Under",E713&lt;40,"between",E713&gt;=40,"plus")</f>
        <v>between</v>
      </c>
    </row>
    <row r="714" spans="5:6" x14ac:dyDescent="0.35">
      <c r="E714" s="32">
        <v>29</v>
      </c>
      <c r="F714" s="22" t="str" cm="1">
        <f t="array" ref="F714">_xlfn.IFS(E714&lt;30,"Under",E714&lt;40,"between",E714&gt;=40,"plus")</f>
        <v>Under</v>
      </c>
    </row>
    <row r="715" spans="5:6" x14ac:dyDescent="0.35">
      <c r="E715" s="32">
        <v>35</v>
      </c>
      <c r="F715" s="22" t="str" cm="1">
        <f t="array" ref="F715">_xlfn.IFS(E715&lt;30,"Under",E715&lt;40,"between",E715&gt;=40,"plus")</f>
        <v>between</v>
      </c>
    </row>
    <row r="716" spans="5:6" x14ac:dyDescent="0.35">
      <c r="E716" s="32">
        <v>49</v>
      </c>
      <c r="F716" s="22" t="str" cm="1">
        <f t="array" ref="F716">_xlfn.IFS(E716&lt;30,"Under",E716&lt;40,"between",E716&gt;=40,"plus")</f>
        <v>plus</v>
      </c>
    </row>
    <row r="717" spans="5:6" x14ac:dyDescent="0.35">
      <c r="E717" s="32">
        <v>45</v>
      </c>
      <c r="F717" s="22" t="str" cm="1">
        <f t="array" ref="F717">_xlfn.IFS(E717&lt;30,"Under",E717&lt;40,"between",E717&gt;=40,"plus")</f>
        <v>plus</v>
      </c>
    </row>
    <row r="718" spans="5:6" x14ac:dyDescent="0.35">
      <c r="E718" s="32">
        <v>34</v>
      </c>
      <c r="F718" s="22" t="str" cm="1">
        <f t="array" ref="F718">_xlfn.IFS(E718&lt;30,"Under",E718&lt;40,"between",E718&gt;=40,"plus")</f>
        <v>between</v>
      </c>
    </row>
    <row r="719" spans="5:6" x14ac:dyDescent="0.35">
      <c r="E719" s="32">
        <v>46</v>
      </c>
      <c r="F719" s="22" t="str" cm="1">
        <f t="array" ref="F719">_xlfn.IFS(E719&lt;30,"Under",E719&lt;40,"between",E719&gt;=40,"plus")</f>
        <v>plus</v>
      </c>
    </row>
    <row r="720" spans="5:6" x14ac:dyDescent="0.35">
      <c r="E720" s="32">
        <v>31</v>
      </c>
      <c r="F720" s="22" t="str" cm="1">
        <f t="array" ref="F720">_xlfn.IFS(E720&lt;30,"Under",E720&lt;40,"between",E720&gt;=40,"plus")</f>
        <v>between</v>
      </c>
    </row>
    <row r="721" spans="5:6" x14ac:dyDescent="0.35">
      <c r="E721" s="32">
        <v>36</v>
      </c>
      <c r="F721" s="22" t="str" cm="1">
        <f t="array" ref="F721">_xlfn.IFS(E721&lt;30,"Under",E721&lt;40,"between",E721&gt;=40,"plus")</f>
        <v>between</v>
      </c>
    </row>
    <row r="722" spans="5:6" x14ac:dyDescent="0.35">
      <c r="E722" s="32">
        <v>42</v>
      </c>
      <c r="F722" s="22" t="str" cm="1">
        <f t="array" ref="F722">_xlfn.IFS(E722&lt;30,"Under",E722&lt;40,"between",E722&gt;=40,"plus")</f>
        <v>plus</v>
      </c>
    </row>
    <row r="723" spans="5:6" x14ac:dyDescent="0.35">
      <c r="E723" s="32">
        <v>45</v>
      </c>
      <c r="F723" s="22" t="str" cm="1">
        <f t="array" ref="F723">_xlfn.IFS(E723&lt;30,"Under",E723&lt;40,"between",E723&gt;=40,"plus")</f>
        <v>plus</v>
      </c>
    </row>
    <row r="724" spans="5:6" x14ac:dyDescent="0.35">
      <c r="E724" s="32">
        <v>25</v>
      </c>
      <c r="F724" s="22" t="str" cm="1">
        <f t="array" ref="F724">_xlfn.IFS(E724&lt;30,"Under",E724&lt;40,"between",E724&gt;=40,"plus")</f>
        <v>Under</v>
      </c>
    </row>
    <row r="725" spans="5:6" x14ac:dyDescent="0.35">
      <c r="E725" s="32">
        <v>38</v>
      </c>
      <c r="F725" s="22" t="str" cm="1">
        <f t="array" ref="F725">_xlfn.IFS(E725&lt;30,"Under",E725&lt;40,"between",E725&gt;=40,"plus")</f>
        <v>between</v>
      </c>
    </row>
    <row r="726" spans="5:6" x14ac:dyDescent="0.35">
      <c r="E726" s="32">
        <v>35</v>
      </c>
      <c r="F726" s="22" t="str" cm="1">
        <f t="array" ref="F726">_xlfn.IFS(E726&lt;30,"Under",E726&lt;40,"between",E726&gt;=40,"plus")</f>
        <v>between</v>
      </c>
    </row>
    <row r="727" spans="5:6" x14ac:dyDescent="0.35">
      <c r="E727" s="32">
        <v>54</v>
      </c>
      <c r="F727" s="22" t="str" cm="1">
        <f t="array" ref="F727">_xlfn.IFS(E727&lt;30,"Under",E727&lt;40,"between",E727&gt;=40,"plus")</f>
        <v>plus</v>
      </c>
    </row>
    <row r="728" spans="5:6" x14ac:dyDescent="0.35">
      <c r="E728" s="32">
        <v>40</v>
      </c>
      <c r="F728" s="22" t="str" cm="1">
        <f t="array" ref="F728">_xlfn.IFS(E728&lt;30,"Under",E728&lt;40,"between",E728&gt;=40,"plus")</f>
        <v>plus</v>
      </c>
    </row>
    <row r="729" spans="5:6" x14ac:dyDescent="0.35">
      <c r="E729" s="32">
        <v>43</v>
      </c>
      <c r="F729" s="22" t="str" cm="1">
        <f t="array" ref="F729">_xlfn.IFS(E729&lt;30,"Under",E729&lt;40,"between",E729&gt;=40,"plus")</f>
        <v>plus</v>
      </c>
    </row>
    <row r="730" spans="5:6" x14ac:dyDescent="0.35">
      <c r="E730" s="32">
        <v>28</v>
      </c>
      <c r="F730" s="22" t="str" cm="1">
        <f t="array" ref="F730">_xlfn.IFS(E730&lt;30,"Under",E730&lt;40,"between",E730&gt;=40,"plus")</f>
        <v>Under</v>
      </c>
    </row>
    <row r="731" spans="5:6" x14ac:dyDescent="0.35">
      <c r="E731" s="32">
        <v>33</v>
      </c>
      <c r="F731" s="22" t="str" cm="1">
        <f t="array" ref="F731">_xlfn.IFS(E731&lt;30,"Under",E731&lt;40,"between",E731&gt;=40,"plus")</f>
        <v>between</v>
      </c>
    </row>
    <row r="732" spans="5:6" x14ac:dyDescent="0.35">
      <c r="E732" s="32">
        <v>32</v>
      </c>
      <c r="F732" s="22" t="str" cm="1">
        <f t="array" ref="F732">_xlfn.IFS(E732&lt;30,"Under",E732&lt;40,"between",E732&gt;=40,"plus")</f>
        <v>between</v>
      </c>
    </row>
    <row r="733" spans="5:6" x14ac:dyDescent="0.35">
      <c r="E733" s="32">
        <v>25</v>
      </c>
      <c r="F733" s="22" t="str" cm="1">
        <f t="array" ref="F733">_xlfn.IFS(E733&lt;30,"Under",E733&lt;40,"between",E733&gt;=40,"plus")</f>
        <v>Under</v>
      </c>
    </row>
    <row r="734" spans="5:6" x14ac:dyDescent="0.35">
      <c r="E734" s="32">
        <v>28</v>
      </c>
      <c r="F734" s="22" t="str" cm="1">
        <f t="array" ref="F734">_xlfn.IFS(E734&lt;30,"Under",E734&lt;40,"between",E734&gt;=40,"plus")</f>
        <v>Under</v>
      </c>
    </row>
    <row r="735" spans="5:6" x14ac:dyDescent="0.35">
      <c r="E735" s="32">
        <v>57</v>
      </c>
      <c r="F735" s="22" t="str" cm="1">
        <f t="array" ref="F735">_xlfn.IFS(E735&lt;30,"Under",E735&lt;40,"between",E735&gt;=40,"plus")</f>
        <v>plus</v>
      </c>
    </row>
    <row r="736" spans="5:6" x14ac:dyDescent="0.35">
      <c r="E736" s="32">
        <v>42</v>
      </c>
      <c r="F736" s="22" t="str" cm="1">
        <f t="array" ref="F736">_xlfn.IFS(E736&lt;30,"Under",E736&lt;40,"between",E736&gt;=40,"plus")</f>
        <v>plus</v>
      </c>
    </row>
    <row r="737" spans="5:6" x14ac:dyDescent="0.35">
      <c r="E737" s="32">
        <v>25</v>
      </c>
      <c r="F737" s="22" t="str" cm="1">
        <f t="array" ref="F737">_xlfn.IFS(E737&lt;30,"Under",E737&lt;40,"between",E737&gt;=40,"plus")</f>
        <v>Under</v>
      </c>
    </row>
    <row r="738" spans="5:6" x14ac:dyDescent="0.35">
      <c r="E738" s="32">
        <v>28</v>
      </c>
      <c r="F738" s="22" t="str" cm="1">
        <f t="array" ref="F738">_xlfn.IFS(E738&lt;30,"Under",E738&lt;40,"between",E738&gt;=40,"plus")</f>
        <v>Under</v>
      </c>
    </row>
    <row r="739" spans="5:6" x14ac:dyDescent="0.35">
      <c r="E739" s="32">
        <v>35</v>
      </c>
      <c r="F739" s="22" t="str" cm="1">
        <f t="array" ref="F739">_xlfn.IFS(E739&lt;30,"Under",E739&lt;40,"between",E739&gt;=40,"plus")</f>
        <v>between</v>
      </c>
    </row>
    <row r="740" spans="5:6" x14ac:dyDescent="0.35">
      <c r="E740" s="32">
        <v>51</v>
      </c>
      <c r="F740" s="22" t="str" cm="1">
        <f t="array" ref="F740">_xlfn.IFS(E740&lt;30,"Under",E740&lt;40,"between",E740&gt;=40,"plus")</f>
        <v>plus</v>
      </c>
    </row>
    <row r="741" spans="5:6" x14ac:dyDescent="0.35">
      <c r="E741" s="32">
        <v>28</v>
      </c>
      <c r="F741" s="22" t="str" cm="1">
        <f t="array" ref="F741">_xlfn.IFS(E741&lt;30,"Under",E741&lt;40,"between",E741&gt;=40,"plus")</f>
        <v>Under</v>
      </c>
    </row>
    <row r="742" spans="5:6" x14ac:dyDescent="0.35">
      <c r="E742" s="32">
        <v>36</v>
      </c>
      <c r="F742" s="22" t="str" cm="1">
        <f t="array" ref="F742">_xlfn.IFS(E742&lt;30,"Under",E742&lt;40,"between",E742&gt;=40,"plus")</f>
        <v>between</v>
      </c>
    </row>
    <row r="743" spans="5:6" x14ac:dyDescent="0.35">
      <c r="E743" s="32">
        <v>52</v>
      </c>
      <c r="F743" s="22" t="str" cm="1">
        <f t="array" ref="F743">_xlfn.IFS(E743&lt;30,"Under",E743&lt;40,"between",E743&gt;=40,"plus")</f>
        <v>plus</v>
      </c>
    </row>
    <row r="744" spans="5:6" x14ac:dyDescent="0.35">
      <c r="E744" s="32">
        <v>25</v>
      </c>
      <c r="F744" s="22" t="str" cm="1">
        <f t="array" ref="F744">_xlfn.IFS(E744&lt;30,"Under",E744&lt;40,"between",E744&gt;=40,"plus")</f>
        <v>Under</v>
      </c>
    </row>
    <row r="745" spans="5:6" x14ac:dyDescent="0.35">
      <c r="E745" s="32">
        <v>47</v>
      </c>
      <c r="F745" s="22" t="str" cm="1">
        <f t="array" ref="F745">_xlfn.IFS(E745&lt;30,"Under",E745&lt;40,"between",E745&gt;=40,"plus")</f>
        <v>plus</v>
      </c>
    </row>
    <row r="746" spans="5:6" x14ac:dyDescent="0.35">
      <c r="E746" s="32">
        <v>56</v>
      </c>
      <c r="F746" s="22" t="str" cm="1">
        <f t="array" ref="F746">_xlfn.IFS(E746&lt;30,"Under",E746&lt;40,"between",E746&gt;=40,"plus")</f>
        <v>plus</v>
      </c>
    </row>
    <row r="747" spans="5:6" x14ac:dyDescent="0.35">
      <c r="E747" s="32">
        <v>35</v>
      </c>
      <c r="F747" s="22" t="str" cm="1">
        <f t="array" ref="F747">_xlfn.IFS(E747&lt;30,"Under",E747&lt;40,"between",E747&gt;=40,"plus")</f>
        <v>between</v>
      </c>
    </row>
    <row r="748" spans="5:6" x14ac:dyDescent="0.35">
      <c r="E748" s="32">
        <v>30</v>
      </c>
      <c r="F748" s="22" t="str" cm="1">
        <f t="array" ref="F748">_xlfn.IFS(E748&lt;30,"Under",E748&lt;40,"between",E748&gt;=40,"plus")</f>
        <v>between</v>
      </c>
    </row>
    <row r="749" spans="5:6" x14ac:dyDescent="0.35">
      <c r="E749" s="32">
        <v>26</v>
      </c>
      <c r="F749" s="22" t="str" cm="1">
        <f t="array" ref="F749">_xlfn.IFS(E749&lt;30,"Under",E749&lt;40,"between",E749&gt;=40,"plus")</f>
        <v>Under</v>
      </c>
    </row>
    <row r="750" spans="5:6" x14ac:dyDescent="0.35">
      <c r="E750" s="32">
        <v>47</v>
      </c>
      <c r="F750" s="22" t="str" cm="1">
        <f t="array" ref="F750">_xlfn.IFS(E750&lt;30,"Under",E750&lt;40,"between",E750&gt;=40,"plus")</f>
        <v>plus</v>
      </c>
    </row>
    <row r="751" spans="5:6" x14ac:dyDescent="0.35">
      <c r="E751" s="32">
        <v>32</v>
      </c>
      <c r="F751" s="22" t="str" cm="1">
        <f t="array" ref="F751">_xlfn.IFS(E751&lt;30,"Under",E751&lt;40,"between",E751&gt;=40,"plus")</f>
        <v>between</v>
      </c>
    </row>
    <row r="752" spans="5:6" x14ac:dyDescent="0.35">
      <c r="E752" s="32">
        <v>24</v>
      </c>
      <c r="F752" s="22" t="str" cm="1">
        <f t="array" ref="F752">_xlfn.IFS(E752&lt;30,"Under",E752&lt;40,"between",E752&gt;=40,"plus")</f>
        <v>Under</v>
      </c>
    </row>
    <row r="753" spans="5:6" x14ac:dyDescent="0.35">
      <c r="E753" s="32">
        <v>41</v>
      </c>
      <c r="F753" s="22" t="str" cm="1">
        <f t="array" ref="F753">_xlfn.IFS(E753&lt;30,"Under",E753&lt;40,"between",E753&gt;=40,"plus")</f>
        <v>plus</v>
      </c>
    </row>
    <row r="754" spans="5:6" x14ac:dyDescent="0.35">
      <c r="E754" s="32">
        <v>31</v>
      </c>
      <c r="F754" s="22" t="str" cm="1">
        <f t="array" ref="F754">_xlfn.IFS(E754&lt;30,"Under",E754&lt;40,"between",E754&gt;=40,"plus")</f>
        <v>between</v>
      </c>
    </row>
    <row r="755" spans="5:6" x14ac:dyDescent="0.35">
      <c r="E755" s="32">
        <v>45</v>
      </c>
      <c r="F755" s="22" t="str" cm="1">
        <f t="array" ref="F755">_xlfn.IFS(E755&lt;30,"Under",E755&lt;40,"between",E755&gt;=40,"plus")</f>
        <v>plus</v>
      </c>
    </row>
    <row r="756" spans="5:6" x14ac:dyDescent="0.35">
      <c r="E756" s="32">
        <v>32</v>
      </c>
      <c r="F756" s="22" t="str" cm="1">
        <f t="array" ref="F756">_xlfn.IFS(E756&lt;30,"Under",E756&lt;40,"between",E756&gt;=40,"plus")</f>
        <v>between</v>
      </c>
    </row>
    <row r="757" spans="5:6" x14ac:dyDescent="0.35">
      <c r="E757" s="32">
        <v>46</v>
      </c>
      <c r="F757" s="22" t="str" cm="1">
        <f t="array" ref="F757">_xlfn.IFS(E757&lt;30,"Under",E757&lt;40,"between",E757&gt;=40,"plus")</f>
        <v>plus</v>
      </c>
    </row>
    <row r="758" spans="5:6" x14ac:dyDescent="0.35">
      <c r="E758" s="32">
        <v>44</v>
      </c>
      <c r="F758" s="22" t="str" cm="1">
        <f t="array" ref="F758">_xlfn.IFS(E758&lt;30,"Under",E758&lt;40,"between",E758&gt;=40,"plus")</f>
        <v>plus</v>
      </c>
    </row>
    <row r="759" spans="5:6" x14ac:dyDescent="0.35">
      <c r="E759" s="32">
        <v>39</v>
      </c>
      <c r="F759" s="22" t="str" cm="1">
        <f t="array" ref="F759">_xlfn.IFS(E759&lt;30,"Under",E759&lt;40,"between",E759&gt;=40,"plus")</f>
        <v>between</v>
      </c>
    </row>
    <row r="760" spans="5:6" x14ac:dyDescent="0.35">
      <c r="E760" s="32">
        <v>32</v>
      </c>
      <c r="F760" s="22" t="str" cm="1">
        <f t="array" ref="F760">_xlfn.IFS(E760&lt;30,"Under",E760&lt;40,"between",E760&gt;=40,"plus")</f>
        <v>between</v>
      </c>
    </row>
    <row r="761" spans="5:6" x14ac:dyDescent="0.35">
      <c r="E761" s="32">
        <v>29</v>
      </c>
      <c r="F761" s="22" t="str" cm="1">
        <f t="array" ref="F761">_xlfn.IFS(E761&lt;30,"Under",E761&lt;40,"between",E761&gt;=40,"plus")</f>
        <v>Under</v>
      </c>
    </row>
    <row r="762" spans="5:6" x14ac:dyDescent="0.35">
      <c r="E762" s="32">
        <v>34</v>
      </c>
      <c r="F762" s="22" t="str" cm="1">
        <f t="array" ref="F762">_xlfn.IFS(E762&lt;30,"Under",E762&lt;40,"between",E762&gt;=40,"plus")</f>
        <v>between</v>
      </c>
    </row>
    <row r="763" spans="5:6" x14ac:dyDescent="0.35">
      <c r="E763" s="32">
        <v>47</v>
      </c>
      <c r="F763" s="22" t="str" cm="1">
        <f t="array" ref="F763">_xlfn.IFS(E763&lt;30,"Under",E763&lt;40,"between",E763&gt;=40,"plus")</f>
        <v>plus</v>
      </c>
    </row>
    <row r="764" spans="5:6" x14ac:dyDescent="0.35">
      <c r="E764" s="32">
        <v>47</v>
      </c>
      <c r="F764" s="22" t="str" cm="1">
        <f t="array" ref="F764">_xlfn.IFS(E764&lt;30,"Under",E764&lt;40,"between",E764&gt;=40,"plus")</f>
        <v>plus</v>
      </c>
    </row>
    <row r="765" spans="5:6" x14ac:dyDescent="0.35">
      <c r="E765" s="32">
        <v>27</v>
      </c>
      <c r="F765" s="22" t="str" cm="1">
        <f t="array" ref="F765">_xlfn.IFS(E765&lt;30,"Under",E765&lt;40,"between",E765&gt;=40,"plus")</f>
        <v>Under</v>
      </c>
    </row>
    <row r="766" spans="5:6" x14ac:dyDescent="0.35">
      <c r="E766" s="32">
        <v>36</v>
      </c>
      <c r="F766" s="22" t="str" cm="1">
        <f t="array" ref="F766">_xlfn.IFS(E766&lt;30,"Under",E766&lt;40,"between",E766&gt;=40,"plus")</f>
        <v>between</v>
      </c>
    </row>
    <row r="767" spans="5:6" x14ac:dyDescent="0.35">
      <c r="E767" s="32">
        <v>42</v>
      </c>
      <c r="F767" s="22" t="str" cm="1">
        <f t="array" ref="F767">_xlfn.IFS(E767&lt;30,"Under",E767&lt;40,"between",E767&gt;=40,"plus")</f>
        <v>plus</v>
      </c>
    </row>
    <row r="768" spans="5:6" x14ac:dyDescent="0.35">
      <c r="E768" s="32">
        <v>35</v>
      </c>
      <c r="F768" s="22" t="str" cm="1">
        <f t="array" ref="F768">_xlfn.IFS(E768&lt;30,"Under",E768&lt;40,"between",E768&gt;=40,"plus")</f>
        <v>between</v>
      </c>
    </row>
    <row r="769" spans="5:6" x14ac:dyDescent="0.35">
      <c r="E769" s="32">
        <v>40</v>
      </c>
      <c r="F769" s="22" t="str" cm="1">
        <f t="array" ref="F769">_xlfn.IFS(E769&lt;30,"Under",E769&lt;40,"between",E769&gt;=40,"plus")</f>
        <v>plus</v>
      </c>
    </row>
    <row r="770" spans="5:6" x14ac:dyDescent="0.35">
      <c r="E770" s="32">
        <v>35</v>
      </c>
      <c r="F770" s="22" t="str" cm="1">
        <f t="array" ref="F770">_xlfn.IFS(E770&lt;30,"Under",E770&lt;40,"between",E770&gt;=40,"plus")</f>
        <v>between</v>
      </c>
    </row>
    <row r="771" spans="5:6" x14ac:dyDescent="0.35">
      <c r="E771" s="32">
        <v>34</v>
      </c>
      <c r="F771" s="22" t="str" cm="1">
        <f t="array" ref="F771">_xlfn.IFS(E771&lt;30,"Under",E771&lt;40,"between",E771&gt;=40,"plus")</f>
        <v>between</v>
      </c>
    </row>
    <row r="772" spans="5:6" x14ac:dyDescent="0.35">
      <c r="E772" s="32">
        <v>30</v>
      </c>
      <c r="F772" s="22" t="str" cm="1">
        <f t="array" ref="F772">_xlfn.IFS(E772&lt;30,"Under",E772&lt;40,"between",E772&gt;=40,"plus")</f>
        <v>between</v>
      </c>
    </row>
    <row r="773" spans="5:6" x14ac:dyDescent="0.35">
      <c r="E773" s="32">
        <v>49</v>
      </c>
      <c r="F773" s="22" t="str" cm="1">
        <f t="array" ref="F773">_xlfn.IFS(E773&lt;30,"Under",E773&lt;40,"between",E773&gt;=40,"plus")</f>
        <v>plus</v>
      </c>
    </row>
    <row r="774" spans="5:6" x14ac:dyDescent="0.35">
      <c r="E774" s="32">
        <v>36</v>
      </c>
      <c r="F774" s="22" t="str" cm="1">
        <f t="array" ref="F774">_xlfn.IFS(E774&lt;30,"Under",E774&lt;40,"between",E774&gt;=40,"plus")</f>
        <v>between</v>
      </c>
    </row>
    <row r="775" spans="5:6" x14ac:dyDescent="0.35">
      <c r="E775" s="32">
        <v>33</v>
      </c>
      <c r="F775" s="22" t="str" cm="1">
        <f t="array" ref="F775">_xlfn.IFS(E775&lt;30,"Under",E775&lt;40,"between",E775&gt;=40,"plus")</f>
        <v>between</v>
      </c>
    </row>
    <row r="776" spans="5:6" x14ac:dyDescent="0.35">
      <c r="E776" s="32">
        <v>39</v>
      </c>
      <c r="F776" s="22" t="str" cm="1">
        <f t="array" ref="F776">_xlfn.IFS(E776&lt;30,"Under",E776&lt;40,"between",E776&gt;=40,"plus")</f>
        <v>between</v>
      </c>
    </row>
    <row r="777" spans="5:6" x14ac:dyDescent="0.35">
      <c r="E777" s="32">
        <v>45</v>
      </c>
      <c r="F777" s="22" t="str" cm="1">
        <f t="array" ref="F777">_xlfn.IFS(E777&lt;30,"Under",E777&lt;40,"between",E777&gt;=40,"plus")</f>
        <v>plus</v>
      </c>
    </row>
    <row r="778" spans="5:6" x14ac:dyDescent="0.35">
      <c r="E778" s="32">
        <v>42</v>
      </c>
      <c r="F778" s="22" t="str" cm="1">
        <f t="array" ref="F778">_xlfn.IFS(E778&lt;30,"Under",E778&lt;40,"between",E778&gt;=40,"plus")</f>
        <v>plus</v>
      </c>
    </row>
    <row r="779" spans="5:6" x14ac:dyDescent="0.35">
      <c r="E779" s="32">
        <v>55</v>
      </c>
      <c r="F779" s="22" t="str" cm="1">
        <f t="array" ref="F779">_xlfn.IFS(E779&lt;30,"Under",E779&lt;40,"between",E779&gt;=40,"plus")</f>
        <v>plus</v>
      </c>
    </row>
    <row r="780" spans="5:6" x14ac:dyDescent="0.35">
      <c r="E780" s="32">
        <v>37</v>
      </c>
      <c r="F780" s="22" t="str" cm="1">
        <f t="array" ref="F780">_xlfn.IFS(E780&lt;30,"Under",E780&lt;40,"between",E780&gt;=40,"plus")</f>
        <v>between</v>
      </c>
    </row>
    <row r="781" spans="5:6" x14ac:dyDescent="0.35">
      <c r="E781" s="32">
        <v>59</v>
      </c>
      <c r="F781" s="22" t="str" cm="1">
        <f t="array" ref="F781">_xlfn.IFS(E781&lt;30,"Under",E781&lt;40,"between",E781&gt;=40,"plus")</f>
        <v>plus</v>
      </c>
    </row>
    <row r="782" spans="5:6" x14ac:dyDescent="0.35">
      <c r="E782" s="32">
        <v>32</v>
      </c>
      <c r="F782" s="22" t="str" cm="1">
        <f t="array" ref="F782">_xlfn.IFS(E782&lt;30,"Under",E782&lt;40,"between",E782&gt;=40,"plus")</f>
        <v>between</v>
      </c>
    </row>
    <row r="783" spans="5:6" x14ac:dyDescent="0.35">
      <c r="E783" s="32">
        <v>39</v>
      </c>
      <c r="F783" s="22" t="str" cm="1">
        <f t="array" ref="F783">_xlfn.IFS(E783&lt;30,"Under",E783&lt;40,"between",E783&gt;=40,"plus")</f>
        <v>between</v>
      </c>
    </row>
    <row r="784" spans="5:6" x14ac:dyDescent="0.35">
      <c r="E784" s="32">
        <v>35</v>
      </c>
      <c r="F784" s="22" t="str" cm="1">
        <f t="array" ref="F784">_xlfn.IFS(E784&lt;30,"Under",E784&lt;40,"between",E784&gt;=40,"plus")</f>
        <v>between</v>
      </c>
    </row>
    <row r="785" spans="5:6" x14ac:dyDescent="0.35">
      <c r="E785" s="32">
        <v>25</v>
      </c>
      <c r="F785" s="22" t="str" cm="1">
        <f t="array" ref="F785">_xlfn.IFS(E785&lt;30,"Under",E785&lt;40,"between",E785&gt;=40,"plus")</f>
        <v>Under</v>
      </c>
    </row>
    <row r="786" spans="5:6" x14ac:dyDescent="0.35">
      <c r="E786" s="32">
        <v>33</v>
      </c>
      <c r="F786" s="22" t="str" cm="1">
        <f t="array" ref="F786">_xlfn.IFS(E786&lt;30,"Under",E786&lt;40,"between",E786&gt;=40,"plus")</f>
        <v>between</v>
      </c>
    </row>
    <row r="787" spans="5:6" x14ac:dyDescent="0.35">
      <c r="E787" s="32">
        <v>35</v>
      </c>
      <c r="F787" s="22" t="str" cm="1">
        <f t="array" ref="F787">_xlfn.IFS(E787&lt;30,"Under",E787&lt;40,"between",E787&gt;=40,"plus")</f>
        <v>between</v>
      </c>
    </row>
    <row r="788" spans="5:6" x14ac:dyDescent="0.35">
      <c r="E788" s="32">
        <v>30</v>
      </c>
      <c r="F788" s="22" t="str" cm="1">
        <f t="array" ref="F788">_xlfn.IFS(E788&lt;30,"Under",E788&lt;40,"between",E788&gt;=40,"plus")</f>
        <v>between</v>
      </c>
    </row>
    <row r="789" spans="5:6" x14ac:dyDescent="0.35">
      <c r="E789" s="32">
        <v>45</v>
      </c>
      <c r="F789" s="22" t="str" cm="1">
        <f t="array" ref="F789">_xlfn.IFS(E789&lt;30,"Under",E789&lt;40,"between",E789&gt;=40,"plus")</f>
        <v>plus</v>
      </c>
    </row>
    <row r="790" spans="5:6" x14ac:dyDescent="0.35">
      <c r="E790" s="32">
        <v>60</v>
      </c>
      <c r="F790" s="22" t="str" cm="1">
        <f t="array" ref="F790">_xlfn.IFS(E790&lt;30,"Under",E790&lt;40,"between",E790&gt;=40,"plus")</f>
        <v>plus</v>
      </c>
    </row>
    <row r="791" spans="5:6" x14ac:dyDescent="0.35">
      <c r="E791" s="32">
        <v>32</v>
      </c>
      <c r="F791" s="22" t="str" cm="1">
        <f t="array" ref="F791">_xlfn.IFS(E791&lt;30,"Under",E791&lt;40,"between",E791&gt;=40,"plus")</f>
        <v>between</v>
      </c>
    </row>
    <row r="792" spans="5:6" x14ac:dyDescent="0.35">
      <c r="E792" s="32">
        <v>36</v>
      </c>
      <c r="F792" s="22" t="str" cm="1">
        <f t="array" ref="F792">_xlfn.IFS(E792&lt;30,"Under",E792&lt;40,"between",E792&gt;=40,"plus")</f>
        <v>between</v>
      </c>
    </row>
    <row r="793" spans="5:6" x14ac:dyDescent="0.35">
      <c r="E793" s="32">
        <v>42</v>
      </c>
      <c r="F793" s="22" t="str" cm="1">
        <f t="array" ref="F793">_xlfn.IFS(E793&lt;30,"Under",E793&lt;40,"between",E793&gt;=40,"plus")</f>
        <v>plus</v>
      </c>
    </row>
    <row r="794" spans="5:6" x14ac:dyDescent="0.35">
      <c r="E794" s="32">
        <v>36</v>
      </c>
      <c r="F794" s="22" t="str" cm="1">
        <f t="array" ref="F794">_xlfn.IFS(E794&lt;30,"Under",E794&lt;40,"between",E794&gt;=40,"plus")</f>
        <v>between</v>
      </c>
    </row>
    <row r="795" spans="5:6" x14ac:dyDescent="0.35">
      <c r="E795" s="32">
        <v>39</v>
      </c>
      <c r="F795" s="22" t="str" cm="1">
        <f t="array" ref="F795">_xlfn.IFS(E795&lt;30,"Under",E795&lt;40,"between",E795&gt;=40,"plus")</f>
        <v>between</v>
      </c>
    </row>
    <row r="796" spans="5:6" x14ac:dyDescent="0.35">
      <c r="E796" s="32">
        <v>31</v>
      </c>
      <c r="F796" s="22" t="str" cm="1">
        <f t="array" ref="F796">_xlfn.IFS(E796&lt;30,"Under",E796&lt;40,"between",E796&gt;=40,"plus")</f>
        <v>between</v>
      </c>
    </row>
    <row r="797" spans="5:6" x14ac:dyDescent="0.35">
      <c r="E797" s="32">
        <v>38</v>
      </c>
      <c r="F797" s="22" t="str" cm="1">
        <f t="array" ref="F797">_xlfn.IFS(E797&lt;30,"Under",E797&lt;40,"between",E797&gt;=40,"plus")</f>
        <v>between</v>
      </c>
    </row>
    <row r="798" spans="5:6" x14ac:dyDescent="0.35">
      <c r="E798" s="32">
        <v>28</v>
      </c>
      <c r="F798" s="22" t="str" cm="1">
        <f t="array" ref="F798">_xlfn.IFS(E798&lt;30,"Under",E798&lt;40,"between",E798&gt;=40,"plus")</f>
        <v>Under</v>
      </c>
    </row>
    <row r="799" spans="5:6" x14ac:dyDescent="0.35">
      <c r="E799" s="32">
        <v>43</v>
      </c>
      <c r="F799" s="22" t="str" cm="1">
        <f t="array" ref="F799">_xlfn.IFS(E799&lt;30,"Under",E799&lt;40,"between",E799&gt;=40,"plus")</f>
        <v>plus</v>
      </c>
    </row>
    <row r="800" spans="5:6" x14ac:dyDescent="0.35">
      <c r="E800" s="32">
        <v>46</v>
      </c>
      <c r="F800" s="22" t="str" cm="1">
        <f t="array" ref="F800">_xlfn.IFS(E800&lt;30,"Under",E800&lt;40,"between",E800&gt;=40,"plus")</f>
        <v>plus</v>
      </c>
    </row>
    <row r="801" spans="5:6" x14ac:dyDescent="0.35">
      <c r="E801" s="32">
        <v>42</v>
      </c>
      <c r="F801" s="22" t="str" cm="1">
        <f t="array" ref="F801">_xlfn.IFS(E801&lt;30,"Under",E801&lt;40,"between",E801&gt;=40,"plus")</f>
        <v>plus</v>
      </c>
    </row>
    <row r="802" spans="5:6" x14ac:dyDescent="0.35">
      <c r="E802" s="32">
        <v>30</v>
      </c>
      <c r="F802" s="22" t="str" cm="1">
        <f t="array" ref="F802">_xlfn.IFS(E802&lt;30,"Under",E802&lt;40,"between",E802&gt;=40,"plus")</f>
        <v>between</v>
      </c>
    </row>
    <row r="803" spans="5:6" x14ac:dyDescent="0.35">
      <c r="E803" s="32">
        <v>39</v>
      </c>
      <c r="F803" s="22" t="str" cm="1">
        <f t="array" ref="F803">_xlfn.IFS(E803&lt;30,"Under",E803&lt;40,"between",E803&gt;=40,"plus")</f>
        <v>between</v>
      </c>
    </row>
    <row r="804" spans="5:6" x14ac:dyDescent="0.35">
      <c r="E804" s="32">
        <v>26</v>
      </c>
      <c r="F804" s="22" t="str" cm="1">
        <f t="array" ref="F804">_xlfn.IFS(E804&lt;30,"Under",E804&lt;40,"between",E804&gt;=40,"plus")</f>
        <v>Under</v>
      </c>
    </row>
    <row r="805" spans="5:6" x14ac:dyDescent="0.35">
      <c r="E805" s="32">
        <v>30</v>
      </c>
      <c r="F805" s="22" t="str" cm="1">
        <f t="array" ref="F805">_xlfn.IFS(E805&lt;30,"Under",E805&lt;40,"between",E805&gt;=40,"plus")</f>
        <v>between</v>
      </c>
    </row>
    <row r="806" spans="5:6" x14ac:dyDescent="0.35">
      <c r="E806" s="32">
        <v>34</v>
      </c>
      <c r="F806" s="22" t="str" cm="1">
        <f t="array" ref="F806">_xlfn.IFS(E806&lt;30,"Under",E806&lt;40,"between",E806&gt;=40,"plus")</f>
        <v>between</v>
      </c>
    </row>
    <row r="807" spans="5:6" x14ac:dyDescent="0.35">
      <c r="E807" s="32">
        <v>30</v>
      </c>
      <c r="F807" s="22" t="str" cm="1">
        <f t="array" ref="F807">_xlfn.IFS(E807&lt;30,"Under",E807&lt;40,"between",E807&gt;=40,"plus")</f>
        <v>between</v>
      </c>
    </row>
    <row r="808" spans="5:6" x14ac:dyDescent="0.35">
      <c r="E808" s="32">
        <v>32</v>
      </c>
      <c r="F808" s="22" t="str" cm="1">
        <f t="array" ref="F808">_xlfn.IFS(E808&lt;30,"Under",E808&lt;40,"between",E808&gt;=40,"plus")</f>
        <v>between</v>
      </c>
    </row>
    <row r="809" spans="5:6" x14ac:dyDescent="0.35">
      <c r="E809" s="32">
        <v>38</v>
      </c>
      <c r="F809" s="22" t="str" cm="1">
        <f t="array" ref="F809">_xlfn.IFS(E809&lt;30,"Under",E809&lt;40,"between",E809&gt;=40,"plus")</f>
        <v>between</v>
      </c>
    </row>
    <row r="810" spans="5:6" x14ac:dyDescent="0.35">
      <c r="E810" s="32">
        <v>33</v>
      </c>
      <c r="F810" s="22" t="str" cm="1">
        <f t="array" ref="F810">_xlfn.IFS(E810&lt;30,"Under",E810&lt;40,"between",E810&gt;=40,"plus")</f>
        <v>between</v>
      </c>
    </row>
    <row r="811" spans="5:6" x14ac:dyDescent="0.35">
      <c r="E811" s="32">
        <v>26</v>
      </c>
      <c r="F811" s="22" t="str" cm="1">
        <f t="array" ref="F811">_xlfn.IFS(E811&lt;30,"Under",E811&lt;40,"between",E811&gt;=40,"plus")</f>
        <v>Under</v>
      </c>
    </row>
    <row r="812" spans="5:6" x14ac:dyDescent="0.35">
      <c r="E812" s="32">
        <v>38</v>
      </c>
      <c r="F812" s="22" t="str" cm="1">
        <f t="array" ref="F812">_xlfn.IFS(E812&lt;30,"Under",E812&lt;40,"between",E812&gt;=40,"plus")</f>
        <v>between</v>
      </c>
    </row>
    <row r="813" spans="5:6" x14ac:dyDescent="0.35">
      <c r="E813" s="32">
        <v>31</v>
      </c>
      <c r="F813" s="22" t="str" cm="1">
        <f t="array" ref="F813">_xlfn.IFS(E813&lt;30,"Under",E813&lt;40,"between",E813&gt;=40,"plus")</f>
        <v>between</v>
      </c>
    </row>
    <row r="814" spans="5:6" x14ac:dyDescent="0.35">
      <c r="E814" s="32">
        <v>34</v>
      </c>
      <c r="F814" s="22" t="str" cm="1">
        <f t="array" ref="F814">_xlfn.IFS(E814&lt;30,"Under",E814&lt;40,"between",E814&gt;=40,"plus")</f>
        <v>between</v>
      </c>
    </row>
    <row r="815" spans="5:6" x14ac:dyDescent="0.35">
      <c r="E815" s="32">
        <v>34</v>
      </c>
      <c r="F815" s="22" t="str" cm="1">
        <f t="array" ref="F815">_xlfn.IFS(E815&lt;30,"Under",E815&lt;40,"between",E815&gt;=40,"plus")</f>
        <v>between</v>
      </c>
    </row>
    <row r="816" spans="5:6" x14ac:dyDescent="0.35">
      <c r="E816" s="32">
        <v>38</v>
      </c>
      <c r="F816" s="22" t="str" cm="1">
        <f t="array" ref="F816">_xlfn.IFS(E816&lt;30,"Under",E816&lt;40,"between",E816&gt;=40,"plus")</f>
        <v>between</v>
      </c>
    </row>
    <row r="817" spans="5:6" x14ac:dyDescent="0.35">
      <c r="E817" s="32">
        <v>43</v>
      </c>
      <c r="F817" s="22" t="str" cm="1">
        <f t="array" ref="F817">_xlfn.IFS(E817&lt;30,"Under",E817&lt;40,"between",E817&gt;=40,"plus")</f>
        <v>plus</v>
      </c>
    </row>
    <row r="818" spans="5:6" x14ac:dyDescent="0.35">
      <c r="E818" s="32">
        <v>34</v>
      </c>
      <c r="F818" s="22" t="str" cm="1">
        <f t="array" ref="F818">_xlfn.IFS(E818&lt;30,"Under",E818&lt;40,"between",E818&gt;=40,"plus")</f>
        <v>between</v>
      </c>
    </row>
    <row r="819" spans="5:6" x14ac:dyDescent="0.35">
      <c r="E819" s="32">
        <v>36</v>
      </c>
      <c r="F819" s="22" t="str" cm="1">
        <f t="array" ref="F819">_xlfn.IFS(E819&lt;30,"Under",E819&lt;40,"between",E819&gt;=40,"plus")</f>
        <v>between</v>
      </c>
    </row>
    <row r="820" spans="5:6" x14ac:dyDescent="0.35">
      <c r="E820" s="32">
        <v>35</v>
      </c>
      <c r="F820" s="22" t="str" cm="1">
        <f t="array" ref="F820">_xlfn.IFS(E820&lt;30,"Under",E820&lt;40,"between",E820&gt;=40,"plus")</f>
        <v>between</v>
      </c>
    </row>
    <row r="821" spans="5:6" x14ac:dyDescent="0.35">
      <c r="E821" s="32">
        <v>33</v>
      </c>
      <c r="F821" s="22" t="str" cm="1">
        <f t="array" ref="F821">_xlfn.IFS(E821&lt;30,"Under",E821&lt;40,"between",E821&gt;=40,"plus")</f>
        <v>between</v>
      </c>
    </row>
    <row r="822" spans="5:6" x14ac:dyDescent="0.35">
      <c r="E822" s="32">
        <v>29</v>
      </c>
      <c r="F822" s="22" t="str" cm="1">
        <f t="array" ref="F822">_xlfn.IFS(E822&lt;30,"Under",E822&lt;40,"between",E822&gt;=40,"plus")</f>
        <v>Under</v>
      </c>
    </row>
    <row r="823" spans="5:6" x14ac:dyDescent="0.35">
      <c r="E823" s="32">
        <v>33</v>
      </c>
      <c r="F823" s="22" t="str" cm="1">
        <f t="array" ref="F823">_xlfn.IFS(E823&lt;30,"Under",E823&lt;40,"between",E823&gt;=40,"plus")</f>
        <v>between</v>
      </c>
    </row>
    <row r="824" spans="5:6" x14ac:dyDescent="0.35">
      <c r="E824" s="32">
        <v>39</v>
      </c>
      <c r="F824" s="22" t="str" cm="1">
        <f t="array" ref="F824">_xlfn.IFS(E824&lt;30,"Under",E824&lt;40,"between",E824&gt;=40,"plus")</f>
        <v>between</v>
      </c>
    </row>
    <row r="825" spans="5:6" x14ac:dyDescent="0.35">
      <c r="E825" s="32">
        <v>56</v>
      </c>
      <c r="F825" s="22" t="str" cm="1">
        <f t="array" ref="F825">_xlfn.IFS(E825&lt;30,"Under",E825&lt;40,"between",E825&gt;=40,"plus")</f>
        <v>plus</v>
      </c>
    </row>
    <row r="826" spans="5:6" x14ac:dyDescent="0.35">
      <c r="E826" s="32">
        <v>48</v>
      </c>
      <c r="F826" s="22" t="str" cm="1">
        <f t="array" ref="F826">_xlfn.IFS(E826&lt;30,"Under",E826&lt;40,"between",E826&gt;=40,"plus")</f>
        <v>plus</v>
      </c>
    </row>
    <row r="827" spans="5:6" x14ac:dyDescent="0.35">
      <c r="E827" s="32">
        <v>49</v>
      </c>
      <c r="F827" s="22" t="str" cm="1">
        <f t="array" ref="F827">_xlfn.IFS(E827&lt;30,"Under",E827&lt;40,"between",E827&gt;=40,"plus")</f>
        <v>plus</v>
      </c>
    </row>
    <row r="828" spans="5:6" x14ac:dyDescent="0.35">
      <c r="E828" s="32">
        <v>32</v>
      </c>
      <c r="F828" s="22" t="str" cm="1">
        <f t="array" ref="F828">_xlfn.IFS(E828&lt;30,"Under",E828&lt;40,"between",E828&gt;=40,"plus")</f>
        <v>between</v>
      </c>
    </row>
    <row r="829" spans="5:6" x14ac:dyDescent="0.35">
      <c r="E829" s="32">
        <v>45</v>
      </c>
      <c r="F829" s="22" t="str" cm="1">
        <f t="array" ref="F829">_xlfn.IFS(E829&lt;30,"Under",E829&lt;40,"between",E829&gt;=40,"plus")</f>
        <v>plus</v>
      </c>
    </row>
    <row r="830" spans="5:6" x14ac:dyDescent="0.35">
      <c r="E830" s="32">
        <v>60</v>
      </c>
      <c r="F830" s="22" t="str" cm="1">
        <f t="array" ref="F830">_xlfn.IFS(E830&lt;30,"Under",E830&lt;40,"between",E830&gt;=40,"plus")</f>
        <v>plus</v>
      </c>
    </row>
    <row r="831" spans="5:6" x14ac:dyDescent="0.35">
      <c r="E831" s="32">
        <v>38</v>
      </c>
      <c r="F831" s="22" t="str" cm="1">
        <f t="array" ref="F831">_xlfn.IFS(E831&lt;30,"Under",E831&lt;40,"between",E831&gt;=40,"plus")</f>
        <v>between</v>
      </c>
    </row>
    <row r="832" spans="5:6" x14ac:dyDescent="0.35">
      <c r="E832" s="32">
        <v>36</v>
      </c>
      <c r="F832" s="22" t="str" cm="1">
        <f t="array" ref="F832">_xlfn.IFS(E832&lt;30,"Under",E832&lt;40,"between",E832&gt;=40,"plus")</f>
        <v>between</v>
      </c>
    </row>
    <row r="833" spans="5:6" x14ac:dyDescent="0.35">
      <c r="E833" s="32">
        <v>36</v>
      </c>
      <c r="F833" s="22" t="str" cm="1">
        <f t="array" ref="F833">_xlfn.IFS(E833&lt;30,"Under",E833&lt;40,"between",E833&gt;=40,"plus")</f>
        <v>between</v>
      </c>
    </row>
    <row r="834" spans="5:6" x14ac:dyDescent="0.35">
      <c r="E834" s="32">
        <v>42</v>
      </c>
      <c r="F834" s="22" t="str" cm="1">
        <f t="array" ref="F834">_xlfn.IFS(E834&lt;30,"Under",E834&lt;40,"between",E834&gt;=40,"plus")</f>
        <v>plus</v>
      </c>
    </row>
    <row r="835" spans="5:6" x14ac:dyDescent="0.35">
      <c r="E835" s="32">
        <v>55</v>
      </c>
      <c r="F835" s="22" t="str" cm="1">
        <f t="array" ref="F835">_xlfn.IFS(E835&lt;30,"Under",E835&lt;40,"between",E835&gt;=40,"plus")</f>
        <v>plus</v>
      </c>
    </row>
    <row r="836" spans="5:6" x14ac:dyDescent="0.35">
      <c r="E836" s="32">
        <v>34</v>
      </c>
      <c r="F836" s="22" t="str" cm="1">
        <f t="array" ref="F836">_xlfn.IFS(E836&lt;30,"Under",E836&lt;40,"between",E836&gt;=40,"plus")</f>
        <v>between</v>
      </c>
    </row>
    <row r="837" spans="5:6" x14ac:dyDescent="0.35">
      <c r="E837" s="32">
        <v>34</v>
      </c>
      <c r="F837" s="22" t="str" cm="1">
        <f t="array" ref="F837">_xlfn.IFS(E837&lt;30,"Under",E837&lt;40,"between",E837&gt;=40,"plus")</f>
        <v>between</v>
      </c>
    </row>
    <row r="838" spans="5:6" x14ac:dyDescent="0.35">
      <c r="E838" s="32">
        <v>35</v>
      </c>
      <c r="F838" s="22" t="str" cm="1">
        <f t="array" ref="F838">_xlfn.IFS(E838&lt;30,"Under",E838&lt;40,"between",E838&gt;=40,"plus")</f>
        <v>between</v>
      </c>
    </row>
    <row r="839" spans="5:6" x14ac:dyDescent="0.35">
      <c r="E839" s="32">
        <v>51</v>
      </c>
      <c r="F839" s="22" t="str" cm="1">
        <f t="array" ref="F839">_xlfn.IFS(E839&lt;30,"Under",E839&lt;40,"between",E839&gt;=40,"plus")</f>
        <v>plus</v>
      </c>
    </row>
    <row r="840" spans="5:6" x14ac:dyDescent="0.35">
      <c r="E840" s="32">
        <v>44</v>
      </c>
      <c r="F840" s="22" t="str" cm="1">
        <f t="array" ref="F840">_xlfn.IFS(E840&lt;30,"Under",E840&lt;40,"between",E840&gt;=40,"plus")</f>
        <v>plus</v>
      </c>
    </row>
    <row r="841" spans="5:6" x14ac:dyDescent="0.35">
      <c r="E841" s="32">
        <v>31</v>
      </c>
      <c r="F841" s="22" t="str" cm="1">
        <f t="array" ref="F841">_xlfn.IFS(E841&lt;30,"Under",E841&lt;40,"between",E841&gt;=40,"plus")</f>
        <v>between</v>
      </c>
    </row>
    <row r="842" spans="5:6" x14ac:dyDescent="0.35">
      <c r="E842" s="32">
        <v>41</v>
      </c>
      <c r="F842" s="22" t="str" cm="1">
        <f t="array" ref="F842">_xlfn.IFS(E842&lt;30,"Under",E842&lt;40,"between",E842&gt;=40,"plus")</f>
        <v>plus</v>
      </c>
    </row>
    <row r="843" spans="5:6" x14ac:dyDescent="0.35">
      <c r="E843" s="32">
        <v>47</v>
      </c>
      <c r="F843" s="22" t="str" cm="1">
        <f t="array" ref="F843">_xlfn.IFS(E843&lt;30,"Under",E843&lt;40,"between",E843&gt;=40,"plus")</f>
        <v>plus</v>
      </c>
    </row>
    <row r="844" spans="5:6" x14ac:dyDescent="0.35">
      <c r="E844" s="32">
        <v>31</v>
      </c>
      <c r="F844" s="22" t="str" cm="1">
        <f t="array" ref="F844">_xlfn.IFS(E844&lt;30,"Under",E844&lt;40,"between",E844&gt;=40,"plus")</f>
        <v>between</v>
      </c>
    </row>
    <row r="845" spans="5:6" x14ac:dyDescent="0.35">
      <c r="E845" s="32">
        <v>32</v>
      </c>
      <c r="F845" s="22" t="str" cm="1">
        <f t="array" ref="F845">_xlfn.IFS(E845&lt;30,"Under",E845&lt;40,"between",E845&gt;=40,"plus")</f>
        <v>between</v>
      </c>
    </row>
    <row r="846" spans="5:6" x14ac:dyDescent="0.35">
      <c r="E846" s="32">
        <v>26</v>
      </c>
      <c r="F846" s="22" t="str" cm="1">
        <f t="array" ref="F846">_xlfn.IFS(E846&lt;30,"Under",E846&lt;40,"between",E846&gt;=40,"plus")</f>
        <v>Under</v>
      </c>
    </row>
    <row r="847" spans="5:6" x14ac:dyDescent="0.35">
      <c r="E847" s="32">
        <v>59</v>
      </c>
      <c r="F847" s="22" t="str" cm="1">
        <f t="array" ref="F847">_xlfn.IFS(E847&lt;30,"Under",E847&lt;40,"between",E847&gt;=40,"plus")</f>
        <v>plus</v>
      </c>
    </row>
    <row r="848" spans="5:6" x14ac:dyDescent="0.35">
      <c r="E848" s="32">
        <v>40</v>
      </c>
      <c r="F848" s="22" t="str" cm="1">
        <f t="array" ref="F848">_xlfn.IFS(E848&lt;30,"Under",E848&lt;40,"between",E848&gt;=40,"plus")</f>
        <v>plus</v>
      </c>
    </row>
    <row r="849" spans="5:6" x14ac:dyDescent="0.35">
      <c r="E849" s="32">
        <v>31</v>
      </c>
      <c r="F849" s="22" t="str" cm="1">
        <f t="array" ref="F849">_xlfn.IFS(E849&lt;30,"Under",E849&lt;40,"between",E849&gt;=40,"plus")</f>
        <v>between</v>
      </c>
    </row>
    <row r="850" spans="5:6" x14ac:dyDescent="0.35">
      <c r="E850" s="32">
        <v>51</v>
      </c>
      <c r="F850" s="22" t="str" cm="1">
        <f t="array" ref="F850">_xlfn.IFS(E850&lt;30,"Under",E850&lt;40,"between",E850&gt;=40,"plus")</f>
        <v>plus</v>
      </c>
    </row>
    <row r="851" spans="5:6" x14ac:dyDescent="0.35">
      <c r="E851" s="32">
        <v>32</v>
      </c>
      <c r="F851" s="22" t="str" cm="1">
        <f t="array" ref="F851">_xlfn.IFS(E851&lt;30,"Under",E851&lt;40,"between",E851&gt;=40,"plus")</f>
        <v>between</v>
      </c>
    </row>
    <row r="852" spans="5:6" x14ac:dyDescent="0.35">
      <c r="E852" s="32">
        <v>34</v>
      </c>
      <c r="F852" s="22" t="str" cm="1">
        <f t="array" ref="F852">_xlfn.IFS(E852&lt;30,"Under",E852&lt;40,"between",E852&gt;=40,"plus")</f>
        <v>between</v>
      </c>
    </row>
    <row r="853" spans="5:6" x14ac:dyDescent="0.35">
      <c r="E853" s="32">
        <v>54</v>
      </c>
      <c r="F853" s="22" t="str" cm="1">
        <f t="array" ref="F853">_xlfn.IFS(E853&lt;30,"Under",E853&lt;40,"between",E853&gt;=40,"plus")</f>
        <v>plus</v>
      </c>
    </row>
    <row r="854" spans="5:6" x14ac:dyDescent="0.35">
      <c r="E854" s="32">
        <v>48</v>
      </c>
      <c r="F854" s="22" t="str" cm="1">
        <f t="array" ref="F854">_xlfn.IFS(E854&lt;30,"Under",E854&lt;40,"between",E854&gt;=40,"plus")</f>
        <v>plus</v>
      </c>
    </row>
    <row r="855" spans="5:6" x14ac:dyDescent="0.35">
      <c r="E855" s="32">
        <v>33</v>
      </c>
      <c r="F855" s="22" t="str" cm="1">
        <f t="array" ref="F855">_xlfn.IFS(E855&lt;30,"Under",E855&lt;40,"between",E855&gt;=40,"plus")</f>
        <v>between</v>
      </c>
    </row>
    <row r="856" spans="5:6" x14ac:dyDescent="0.35">
      <c r="E856" s="32">
        <v>33</v>
      </c>
      <c r="F856" s="22" t="str" cm="1">
        <f t="array" ref="F856">_xlfn.IFS(E856&lt;30,"Under",E856&lt;40,"between",E856&gt;=40,"plus")</f>
        <v>between</v>
      </c>
    </row>
    <row r="857" spans="5:6" x14ac:dyDescent="0.35">
      <c r="E857" s="32">
        <v>33</v>
      </c>
      <c r="F857" s="22" t="str" cm="1">
        <f t="array" ref="F857">_xlfn.IFS(E857&lt;30,"Under",E857&lt;40,"between",E857&gt;=40,"plus")</f>
        <v>between</v>
      </c>
    </row>
    <row r="858" spans="5:6" x14ac:dyDescent="0.35">
      <c r="E858" s="32">
        <v>36</v>
      </c>
      <c r="F858" s="22" t="str" cm="1">
        <f t="array" ref="F858">_xlfn.IFS(E858&lt;30,"Under",E858&lt;40,"between",E858&gt;=40,"plus")</f>
        <v>between</v>
      </c>
    </row>
    <row r="859" spans="5:6" x14ac:dyDescent="0.35">
      <c r="E859" s="32">
        <v>42</v>
      </c>
      <c r="F859" s="22" t="str" cm="1">
        <f t="array" ref="F859">_xlfn.IFS(E859&lt;30,"Under",E859&lt;40,"between",E859&gt;=40,"plus")</f>
        <v>plus</v>
      </c>
    </row>
    <row r="860" spans="5:6" x14ac:dyDescent="0.35">
      <c r="E860" s="32">
        <v>29</v>
      </c>
      <c r="F860" s="22" t="str" cm="1">
        <f t="array" ref="F860">_xlfn.IFS(E860&lt;30,"Under",E860&lt;40,"between",E860&gt;=40,"plus")</f>
        <v>Under</v>
      </c>
    </row>
    <row r="861" spans="5:6" x14ac:dyDescent="0.35">
      <c r="E861" s="32">
        <v>35</v>
      </c>
      <c r="F861" s="22" t="str" cm="1">
        <f t="array" ref="F861">_xlfn.IFS(E861&lt;30,"Under",E861&lt;40,"between",E861&gt;=40,"plus")</f>
        <v>between</v>
      </c>
    </row>
    <row r="862" spans="5:6" x14ac:dyDescent="0.35">
      <c r="E862" s="32">
        <v>43</v>
      </c>
      <c r="F862" s="22" t="str" cm="1">
        <f t="array" ref="F862">_xlfn.IFS(E862&lt;30,"Under",E862&lt;40,"between",E862&gt;=40,"plus")</f>
        <v>plus</v>
      </c>
    </row>
    <row r="863" spans="5:6" x14ac:dyDescent="0.35">
      <c r="E863" s="32">
        <v>36</v>
      </c>
      <c r="F863" s="22" t="str" cm="1">
        <f t="array" ref="F863">_xlfn.IFS(E863&lt;30,"Under",E863&lt;40,"between",E863&gt;=40,"plus")</f>
        <v>between</v>
      </c>
    </row>
    <row r="864" spans="5:6" x14ac:dyDescent="0.35">
      <c r="E864" s="32">
        <v>46</v>
      </c>
      <c r="F864" s="22" t="str" cm="1">
        <f t="array" ref="F864">_xlfn.IFS(E864&lt;30,"Under",E864&lt;40,"between",E864&gt;=40,"plus")</f>
        <v>plus</v>
      </c>
    </row>
    <row r="865" spans="5:6" x14ac:dyDescent="0.35">
      <c r="E865" s="32">
        <v>52</v>
      </c>
      <c r="F865" s="22" t="str" cm="1">
        <f t="array" ref="F865">_xlfn.IFS(E865&lt;30,"Under",E865&lt;40,"between",E865&gt;=40,"plus")</f>
        <v>plus</v>
      </c>
    </row>
    <row r="866" spans="5:6" x14ac:dyDescent="0.35">
      <c r="E866" s="32">
        <v>31</v>
      </c>
      <c r="F866" s="22" t="str" cm="1">
        <f t="array" ref="F866">_xlfn.IFS(E866&lt;30,"Under",E866&lt;40,"between",E866&gt;=40,"plus")</f>
        <v>between</v>
      </c>
    </row>
    <row r="867" spans="5:6" x14ac:dyDescent="0.35">
      <c r="E867" s="32">
        <v>45</v>
      </c>
      <c r="F867" s="22" t="str" cm="1">
        <f t="array" ref="F867">_xlfn.IFS(E867&lt;30,"Under",E867&lt;40,"between",E867&gt;=40,"plus")</f>
        <v>plus</v>
      </c>
    </row>
    <row r="868" spans="5:6" x14ac:dyDescent="0.35">
      <c r="E868" s="32">
        <v>40</v>
      </c>
      <c r="F868" s="22" t="str" cm="1">
        <f t="array" ref="F868">_xlfn.IFS(E868&lt;30,"Under",E868&lt;40,"between",E868&gt;=40,"plus")</f>
        <v>plus</v>
      </c>
    </row>
    <row r="869" spans="5:6" x14ac:dyDescent="0.35">
      <c r="E869" s="32">
        <v>38</v>
      </c>
      <c r="F869" s="22" t="str" cm="1">
        <f t="array" ref="F869">_xlfn.IFS(E869&lt;30,"Under",E869&lt;40,"between",E869&gt;=40,"plus")</f>
        <v>between</v>
      </c>
    </row>
    <row r="870" spans="5:6" x14ac:dyDescent="0.35">
      <c r="E870" s="32">
        <v>31</v>
      </c>
      <c r="F870" s="22" t="str" cm="1">
        <f t="array" ref="F870">_xlfn.IFS(E870&lt;30,"Under",E870&lt;40,"between",E870&gt;=40,"plus")</f>
        <v>between</v>
      </c>
    </row>
    <row r="871" spans="5:6" x14ac:dyDescent="0.35">
      <c r="E871" s="32">
        <v>36</v>
      </c>
      <c r="F871" s="22" t="str" cm="1">
        <f t="array" ref="F871">_xlfn.IFS(E871&lt;30,"Under",E871&lt;40,"between",E871&gt;=40,"plus")</f>
        <v>between</v>
      </c>
    </row>
    <row r="872" spans="5:6" x14ac:dyDescent="0.35">
      <c r="E872" s="32">
        <v>58</v>
      </c>
      <c r="F872" s="22" t="str" cm="1">
        <f t="array" ref="F872">_xlfn.IFS(E872&lt;30,"Under",E872&lt;40,"between",E872&gt;=40,"plus")</f>
        <v>plus</v>
      </c>
    </row>
    <row r="873" spans="5:6" x14ac:dyDescent="0.35">
      <c r="E873" s="32">
        <v>28</v>
      </c>
      <c r="F873" s="22" t="str" cm="1">
        <f t="array" ref="F873">_xlfn.IFS(E873&lt;30,"Under",E873&lt;40,"between",E873&gt;=40,"plus")</f>
        <v>Under</v>
      </c>
    </row>
    <row r="874" spans="5:6" x14ac:dyDescent="0.35">
      <c r="E874" s="32">
        <v>38</v>
      </c>
      <c r="F874" s="22" t="str" cm="1">
        <f t="array" ref="F874">_xlfn.IFS(E874&lt;30,"Under",E874&lt;40,"between",E874&gt;=40,"plus")</f>
        <v>between</v>
      </c>
    </row>
    <row r="875" spans="5:6" x14ac:dyDescent="0.35">
      <c r="E875" s="32">
        <v>36</v>
      </c>
      <c r="F875" s="22" t="str" cm="1">
        <f t="array" ref="F875">_xlfn.IFS(E875&lt;30,"Under",E875&lt;40,"between",E875&gt;=40,"plus")</f>
        <v>between</v>
      </c>
    </row>
    <row r="876" spans="5:6" x14ac:dyDescent="0.35">
      <c r="E876" s="32">
        <v>36</v>
      </c>
      <c r="F876" s="22" t="str" cm="1">
        <f t="array" ref="F876">_xlfn.IFS(E876&lt;30,"Under",E876&lt;40,"between",E876&gt;=40,"plus")</f>
        <v>between</v>
      </c>
    </row>
    <row r="877" spans="5:6" x14ac:dyDescent="0.35">
      <c r="E877" s="32">
        <v>43</v>
      </c>
      <c r="F877" s="22" t="str" cm="1">
        <f t="array" ref="F877">_xlfn.IFS(E877&lt;30,"Under",E877&lt;40,"between",E877&gt;=40,"plus")</f>
        <v>plus</v>
      </c>
    </row>
    <row r="878" spans="5:6" x14ac:dyDescent="0.35">
      <c r="E878" s="32">
        <v>40</v>
      </c>
      <c r="F878" s="22" t="str" cm="1">
        <f t="array" ref="F878">_xlfn.IFS(E878&lt;30,"Under",E878&lt;40,"between",E878&gt;=40,"plus")</f>
        <v>plus</v>
      </c>
    </row>
    <row r="879" spans="5:6" x14ac:dyDescent="0.35">
      <c r="E879" s="32">
        <v>43</v>
      </c>
      <c r="F879" s="22" t="str" cm="1">
        <f t="array" ref="F879">_xlfn.IFS(E879&lt;30,"Under",E879&lt;40,"between",E879&gt;=40,"plus")</f>
        <v>plus</v>
      </c>
    </row>
    <row r="880" spans="5:6" x14ac:dyDescent="0.35">
      <c r="E880" s="32">
        <v>35</v>
      </c>
      <c r="F880" s="22" t="str" cm="1">
        <f t="array" ref="F880">_xlfn.IFS(E880&lt;30,"Under",E880&lt;40,"between",E880&gt;=40,"plus")</f>
        <v>between</v>
      </c>
    </row>
    <row r="881" spans="5:6" x14ac:dyDescent="0.35">
      <c r="E881" s="32">
        <v>34</v>
      </c>
      <c r="F881" s="22" t="str" cm="1">
        <f t="array" ref="F881">_xlfn.IFS(E881&lt;30,"Under",E881&lt;40,"between",E881&gt;=40,"plus")</f>
        <v>between</v>
      </c>
    </row>
    <row r="882" spans="5:6" x14ac:dyDescent="0.35">
      <c r="E882" s="32">
        <v>40</v>
      </c>
      <c r="F882" s="22" t="str" cm="1">
        <f t="array" ref="F882">_xlfn.IFS(E882&lt;30,"Under",E882&lt;40,"between",E882&gt;=40,"plus")</f>
        <v>plus</v>
      </c>
    </row>
    <row r="883" spans="5:6" x14ac:dyDescent="0.35">
      <c r="E883" s="32">
        <v>37</v>
      </c>
      <c r="F883" s="22" t="str" cm="1">
        <f t="array" ref="F883">_xlfn.IFS(E883&lt;30,"Under",E883&lt;40,"between",E883&gt;=40,"plus")</f>
        <v>between</v>
      </c>
    </row>
    <row r="884" spans="5:6" x14ac:dyDescent="0.35">
      <c r="E884" s="32">
        <v>39</v>
      </c>
      <c r="F884" s="22" t="str" cm="1">
        <f t="array" ref="F884">_xlfn.IFS(E884&lt;30,"Under",E884&lt;40,"between",E884&gt;=40,"plus")</f>
        <v>between</v>
      </c>
    </row>
    <row r="885" spans="5:6" x14ac:dyDescent="0.35">
      <c r="E885" s="32">
        <v>44</v>
      </c>
      <c r="F885" s="22" t="str" cm="1">
        <f t="array" ref="F885">_xlfn.IFS(E885&lt;30,"Under",E885&lt;40,"between",E885&gt;=40,"plus")</f>
        <v>plus</v>
      </c>
    </row>
    <row r="886" spans="5:6" x14ac:dyDescent="0.35">
      <c r="E886" s="32">
        <v>25</v>
      </c>
      <c r="F886" s="22" t="str" cm="1">
        <f t="array" ref="F886">_xlfn.IFS(E886&lt;30,"Under",E886&lt;40,"between",E886&gt;=40,"plus")</f>
        <v>Under</v>
      </c>
    </row>
    <row r="887" spans="5:6" x14ac:dyDescent="0.35">
      <c r="E887" s="32">
        <v>38</v>
      </c>
      <c r="F887" s="22" t="str" cm="1">
        <f t="array" ref="F887">_xlfn.IFS(E887&lt;30,"Under",E887&lt;40,"between",E887&gt;=40,"plus")</f>
        <v>between</v>
      </c>
    </row>
    <row r="888" spans="5:6" x14ac:dyDescent="0.35">
      <c r="E888" s="32">
        <v>34</v>
      </c>
      <c r="F888" s="22" t="str" cm="1">
        <f t="array" ref="F888">_xlfn.IFS(E888&lt;30,"Under",E888&lt;40,"between",E888&gt;=40,"plus")</f>
        <v>between</v>
      </c>
    </row>
    <row r="889" spans="5:6" x14ac:dyDescent="0.35">
      <c r="E889" s="32">
        <v>35</v>
      </c>
      <c r="F889" s="22" t="str" cm="1">
        <f t="array" ref="F889">_xlfn.IFS(E889&lt;30,"Under",E889&lt;40,"between",E889&gt;=40,"plus")</f>
        <v>between</v>
      </c>
    </row>
    <row r="890" spans="5:6" x14ac:dyDescent="0.35">
      <c r="E890" s="32">
        <v>29</v>
      </c>
      <c r="F890" s="22" t="str" cm="1">
        <f t="array" ref="F890">_xlfn.IFS(E890&lt;30,"Under",E890&lt;40,"between",E890&gt;=40,"plus")</f>
        <v>Under</v>
      </c>
    </row>
    <row r="891" spans="5:6" x14ac:dyDescent="0.35">
      <c r="E891" s="32">
        <v>37</v>
      </c>
      <c r="F891" s="22" t="str" cm="1">
        <f t="array" ref="F891">_xlfn.IFS(E891&lt;30,"Under",E891&lt;40,"between",E891&gt;=40,"plus")</f>
        <v>between</v>
      </c>
    </row>
    <row r="892" spans="5:6" x14ac:dyDescent="0.35">
      <c r="E892" s="32">
        <v>27</v>
      </c>
      <c r="F892" s="22" t="str" cm="1">
        <f t="array" ref="F892">_xlfn.IFS(E892&lt;30,"Under",E892&lt;40,"between",E892&gt;=40,"plus")</f>
        <v>Under</v>
      </c>
    </row>
    <row r="893" spans="5:6" x14ac:dyDescent="0.35">
      <c r="E893" s="32">
        <v>45</v>
      </c>
      <c r="F893" s="22" t="str" cm="1">
        <f t="array" ref="F893">_xlfn.IFS(E893&lt;30,"Under",E893&lt;40,"between",E893&gt;=40,"plus")</f>
        <v>plus</v>
      </c>
    </row>
    <row r="894" spans="5:6" x14ac:dyDescent="0.35">
      <c r="E894" s="32">
        <v>45</v>
      </c>
      <c r="F894" s="22" t="str" cm="1">
        <f t="array" ref="F894">_xlfn.IFS(E894&lt;30,"Under",E894&lt;40,"between",E894&gt;=40,"plus")</f>
        <v>plus</v>
      </c>
    </row>
    <row r="895" spans="5:6" x14ac:dyDescent="0.35">
      <c r="E895" s="32">
        <v>46</v>
      </c>
      <c r="F895" s="22" t="str" cm="1">
        <f t="array" ref="F895">_xlfn.IFS(E895&lt;30,"Under",E895&lt;40,"between",E895&gt;=40,"plus")</f>
        <v>plus</v>
      </c>
    </row>
    <row r="896" spans="5:6" x14ac:dyDescent="0.35">
      <c r="E896" s="32">
        <v>30</v>
      </c>
      <c r="F896" s="22" t="str" cm="1">
        <f t="array" ref="F896">_xlfn.IFS(E896&lt;30,"Under",E896&lt;40,"between",E896&gt;=40,"plus")</f>
        <v>between</v>
      </c>
    </row>
    <row r="897" spans="5:6" x14ac:dyDescent="0.35">
      <c r="E897" s="32">
        <v>36</v>
      </c>
      <c r="F897" s="22" t="str" cm="1">
        <f t="array" ref="F897">_xlfn.IFS(E897&lt;30,"Under",E897&lt;40,"between",E897&gt;=40,"plus")</f>
        <v>between</v>
      </c>
    </row>
    <row r="898" spans="5:6" x14ac:dyDescent="0.35">
      <c r="E898" s="32">
        <v>38</v>
      </c>
      <c r="F898" s="22" t="str" cm="1">
        <f t="array" ref="F898">_xlfn.IFS(E898&lt;30,"Under",E898&lt;40,"between",E898&gt;=40,"plus")</f>
        <v>between</v>
      </c>
    </row>
    <row r="899" spans="5:6" x14ac:dyDescent="0.35">
      <c r="E899" s="32">
        <v>35</v>
      </c>
      <c r="F899" s="22" t="str" cm="1">
        <f t="array" ref="F899">_xlfn.IFS(E899&lt;30,"Under",E899&lt;40,"between",E899&gt;=40,"plus")</f>
        <v>between</v>
      </c>
    </row>
    <row r="900" spans="5:6" x14ac:dyDescent="0.35">
      <c r="E900" s="32">
        <v>26</v>
      </c>
      <c r="F900" s="22" t="str" cm="1">
        <f t="array" ref="F900">_xlfn.IFS(E900&lt;30,"Under",E900&lt;40,"between",E900&gt;=40,"plus")</f>
        <v>Under</v>
      </c>
    </row>
    <row r="901" spans="5:6" x14ac:dyDescent="0.35">
      <c r="E901" s="32">
        <v>31</v>
      </c>
      <c r="F901" s="22" t="str" cm="1">
        <f t="array" ref="F901">_xlfn.IFS(E901&lt;30,"Under",E901&lt;40,"between",E901&gt;=40,"plus")</f>
        <v>between</v>
      </c>
    </row>
    <row r="902" spans="5:6" x14ac:dyDescent="0.35">
      <c r="E902" s="32">
        <v>29</v>
      </c>
      <c r="F902" s="22" t="str" cm="1">
        <f t="array" ref="F902">_xlfn.IFS(E902&lt;30,"Under",E902&lt;40,"between",E902&gt;=40,"plus")</f>
        <v>Under</v>
      </c>
    </row>
    <row r="903" spans="5:6" x14ac:dyDescent="0.35">
      <c r="E903" s="32">
        <v>32</v>
      </c>
      <c r="F903" s="22" t="str" cm="1">
        <f t="array" ref="F903">_xlfn.IFS(E903&lt;30,"Under",E903&lt;40,"between",E903&gt;=40,"plus")</f>
        <v>between</v>
      </c>
    </row>
    <row r="904" spans="5:6" x14ac:dyDescent="0.35">
      <c r="E904" s="32">
        <v>39</v>
      </c>
      <c r="F904" s="22" t="str" cm="1">
        <f t="array" ref="F904">_xlfn.IFS(E904&lt;30,"Under",E904&lt;40,"between",E904&gt;=40,"plus")</f>
        <v>between</v>
      </c>
    </row>
    <row r="905" spans="5:6" x14ac:dyDescent="0.35">
      <c r="E905" s="32">
        <v>45</v>
      </c>
      <c r="F905" s="22" t="str" cm="1">
        <f t="array" ref="F905">_xlfn.IFS(E905&lt;30,"Under",E905&lt;40,"between",E905&gt;=40,"plus")</f>
        <v>plus</v>
      </c>
    </row>
    <row r="906" spans="5:6" x14ac:dyDescent="0.35">
      <c r="E906" s="32">
        <v>36</v>
      </c>
      <c r="F906" s="22" t="str" cm="1">
        <f t="array" ref="F906">_xlfn.IFS(E906&lt;30,"Under",E906&lt;40,"between",E906&gt;=40,"plus")</f>
        <v>between</v>
      </c>
    </row>
    <row r="907" spans="5:6" x14ac:dyDescent="0.35">
      <c r="E907" s="32">
        <v>31</v>
      </c>
      <c r="F907" s="22" t="str" cm="1">
        <f t="array" ref="F907">_xlfn.IFS(E907&lt;30,"Under",E907&lt;40,"between",E907&gt;=40,"plus")</f>
        <v>between</v>
      </c>
    </row>
    <row r="908" spans="5:6" x14ac:dyDescent="0.35">
      <c r="E908" s="32">
        <v>35</v>
      </c>
      <c r="F908" s="22" t="str" cm="1">
        <f t="array" ref="F908">_xlfn.IFS(E908&lt;30,"Under",E908&lt;40,"between",E908&gt;=40,"plus")</f>
        <v>between</v>
      </c>
    </row>
    <row r="909" spans="5:6" x14ac:dyDescent="0.35">
      <c r="E909" s="32">
        <v>44</v>
      </c>
      <c r="F909" s="22" t="str" cm="1">
        <f t="array" ref="F909">_xlfn.IFS(E909&lt;30,"Under",E909&lt;40,"between",E909&gt;=40,"plus")</f>
        <v>plus</v>
      </c>
    </row>
    <row r="910" spans="5:6" x14ac:dyDescent="0.35">
      <c r="E910" s="32">
        <v>54</v>
      </c>
      <c r="F910" s="22" t="str" cm="1">
        <f t="array" ref="F910">_xlfn.IFS(E910&lt;30,"Under",E910&lt;40,"between",E910&gt;=40,"plus")</f>
        <v>plus</v>
      </c>
    </row>
    <row r="911" spans="5:6" x14ac:dyDescent="0.35">
      <c r="E911" s="32">
        <v>34</v>
      </c>
      <c r="F911" s="22" t="str" cm="1">
        <f t="array" ref="F911">_xlfn.IFS(E911&lt;30,"Under",E911&lt;40,"between",E911&gt;=40,"plus")</f>
        <v>between</v>
      </c>
    </row>
    <row r="912" spans="5:6" x14ac:dyDescent="0.35">
      <c r="E912" s="32">
        <v>33</v>
      </c>
      <c r="F912" s="22" t="str" cm="1">
        <f t="array" ref="F912">_xlfn.IFS(E912&lt;30,"Under",E912&lt;40,"between",E912&gt;=40,"plus")</f>
        <v>between</v>
      </c>
    </row>
    <row r="913" spans="5:6" x14ac:dyDescent="0.35">
      <c r="E913" s="32">
        <v>37</v>
      </c>
      <c r="F913" s="22" t="str" cm="1">
        <f t="array" ref="F913">_xlfn.IFS(E913&lt;30,"Under",E913&lt;40,"between",E913&gt;=40,"plus")</f>
        <v>between</v>
      </c>
    </row>
    <row r="914" spans="5:6" x14ac:dyDescent="0.35">
      <c r="E914" s="32">
        <v>38</v>
      </c>
      <c r="F914" s="22" t="str" cm="1">
        <f t="array" ref="F914">_xlfn.IFS(E914&lt;30,"Under",E914&lt;40,"between",E914&gt;=40,"plus")</f>
        <v>between</v>
      </c>
    </row>
    <row r="915" spans="5:6" x14ac:dyDescent="0.35">
      <c r="E915" s="32">
        <v>44</v>
      </c>
      <c r="F915" s="22" t="str" cm="1">
        <f t="array" ref="F915">_xlfn.IFS(E915&lt;30,"Under",E915&lt;40,"between",E915&gt;=40,"plus")</f>
        <v>plus</v>
      </c>
    </row>
    <row r="916" spans="5:6" x14ac:dyDescent="0.35">
      <c r="E916" s="32">
        <v>41</v>
      </c>
      <c r="F916" s="22" t="str" cm="1">
        <f t="array" ref="F916">_xlfn.IFS(E916&lt;30,"Under",E916&lt;40,"between",E916&gt;=40,"plus")</f>
        <v>plus</v>
      </c>
    </row>
    <row r="917" spans="5:6" x14ac:dyDescent="0.35">
      <c r="E917" s="32">
        <v>37</v>
      </c>
      <c r="F917" s="22" t="str" cm="1">
        <f t="array" ref="F917">_xlfn.IFS(E917&lt;30,"Under",E917&lt;40,"between",E917&gt;=40,"plus")</f>
        <v>between</v>
      </c>
    </row>
    <row r="918" spans="5:6" x14ac:dyDescent="0.35">
      <c r="E918" s="32">
        <v>34</v>
      </c>
      <c r="F918" s="22" t="str" cm="1">
        <f t="array" ref="F918">_xlfn.IFS(E918&lt;30,"Under",E918&lt;40,"between",E918&gt;=40,"plus")</f>
        <v>between</v>
      </c>
    </row>
    <row r="919" spans="5:6" x14ac:dyDescent="0.35">
      <c r="E919" s="32">
        <v>41</v>
      </c>
      <c r="F919" s="22" t="str" cm="1">
        <f t="array" ref="F919">_xlfn.IFS(E919&lt;30,"Under",E919&lt;40,"between",E919&gt;=40,"plus")</f>
        <v>plus</v>
      </c>
    </row>
    <row r="920" spans="5:6" x14ac:dyDescent="0.35">
      <c r="E920" s="32">
        <v>42</v>
      </c>
      <c r="F920" s="22" t="str" cm="1">
        <f t="array" ref="F920">_xlfn.IFS(E920&lt;30,"Under",E920&lt;40,"between",E920&gt;=40,"plus")</f>
        <v>plus</v>
      </c>
    </row>
    <row r="921" spans="5:6" x14ac:dyDescent="0.35">
      <c r="E921" s="32">
        <v>34</v>
      </c>
      <c r="F921" s="22" t="str" cm="1">
        <f t="array" ref="F921">_xlfn.IFS(E921&lt;30,"Under",E921&lt;40,"between",E921&gt;=40,"plus")</f>
        <v>between</v>
      </c>
    </row>
    <row r="922" spans="5:6" x14ac:dyDescent="0.35">
      <c r="E922" s="32">
        <v>38</v>
      </c>
      <c r="F922" s="22" t="str" cm="1">
        <f t="array" ref="F922">_xlfn.IFS(E922&lt;30,"Under",E922&lt;40,"between",E922&gt;=40,"plus")</f>
        <v>between</v>
      </c>
    </row>
    <row r="923" spans="5:6" x14ac:dyDescent="0.35">
      <c r="E923" s="32">
        <v>30</v>
      </c>
      <c r="F923" s="22" t="str" cm="1">
        <f t="array" ref="F923">_xlfn.IFS(E923&lt;30,"Under",E923&lt;40,"between",E923&gt;=40,"plus")</f>
        <v>between</v>
      </c>
    </row>
    <row r="924" spans="5:6" x14ac:dyDescent="0.35">
      <c r="E924" s="32">
        <v>30</v>
      </c>
      <c r="F924" s="22" t="str" cm="1">
        <f t="array" ref="F924">_xlfn.IFS(E924&lt;30,"Under",E924&lt;40,"between",E924&gt;=40,"plus")</f>
        <v>between</v>
      </c>
    </row>
    <row r="925" spans="5:6" x14ac:dyDescent="0.35">
      <c r="E925" s="32">
        <v>39</v>
      </c>
      <c r="F925" s="22" t="str" cm="1">
        <f t="array" ref="F925">_xlfn.IFS(E925&lt;30,"Under",E925&lt;40,"between",E925&gt;=40,"plus")</f>
        <v>between</v>
      </c>
    </row>
    <row r="926" spans="5:6" x14ac:dyDescent="0.35">
      <c r="E926" s="32">
        <v>34</v>
      </c>
      <c r="F926" s="22" t="str" cm="1">
        <f t="array" ref="F926">_xlfn.IFS(E926&lt;30,"Under",E926&lt;40,"between",E926&gt;=40,"plus")</f>
        <v>between</v>
      </c>
    </row>
    <row r="927" spans="5:6" x14ac:dyDescent="0.35">
      <c r="E927" s="32">
        <v>51</v>
      </c>
      <c r="F927" s="22" t="str" cm="1">
        <f t="array" ref="F927">_xlfn.IFS(E927&lt;30,"Under",E927&lt;40,"between",E927&gt;=40,"plus")</f>
        <v>plus</v>
      </c>
    </row>
    <row r="928" spans="5:6" x14ac:dyDescent="0.35">
      <c r="E928" s="32">
        <v>36</v>
      </c>
      <c r="F928" s="22" t="str" cm="1">
        <f t="array" ref="F928">_xlfn.IFS(E928&lt;30,"Under",E928&lt;40,"between",E928&gt;=40,"plus")</f>
        <v>between</v>
      </c>
    </row>
    <row r="929" spans="5:6" x14ac:dyDescent="0.35">
      <c r="E929" s="32">
        <v>34</v>
      </c>
      <c r="F929" s="22" t="str" cm="1">
        <f t="array" ref="F929">_xlfn.IFS(E929&lt;30,"Under",E929&lt;40,"between",E929&gt;=40,"plus")</f>
        <v>between</v>
      </c>
    </row>
    <row r="930" spans="5:6" x14ac:dyDescent="0.35">
      <c r="E930" s="32">
        <v>35</v>
      </c>
      <c r="F930" s="22" t="str" cm="1">
        <f t="array" ref="F930">_xlfn.IFS(E930&lt;30,"Under",E930&lt;40,"between",E930&gt;=40,"plus")</f>
        <v>between</v>
      </c>
    </row>
    <row r="931" spans="5:6" x14ac:dyDescent="0.35">
      <c r="E931" s="32">
        <v>27</v>
      </c>
      <c r="F931" s="22" t="str" cm="1">
        <f t="array" ref="F931">_xlfn.IFS(E931&lt;30,"Under",E931&lt;40,"between",E931&gt;=40,"plus")</f>
        <v>Under</v>
      </c>
    </row>
    <row r="932" spans="5:6" x14ac:dyDescent="0.35">
      <c r="E932" s="32">
        <v>33</v>
      </c>
      <c r="F932" s="22" t="str" cm="1">
        <f t="array" ref="F932">_xlfn.IFS(E932&lt;30,"Under",E932&lt;40,"between",E932&gt;=40,"plus")</f>
        <v>between</v>
      </c>
    </row>
    <row r="933" spans="5:6" x14ac:dyDescent="0.35">
      <c r="E933" s="32">
        <v>41</v>
      </c>
      <c r="F933" s="22" t="str" cm="1">
        <f t="array" ref="F933">_xlfn.IFS(E933&lt;30,"Under",E933&lt;40,"between",E933&gt;=40,"plus")</f>
        <v>plus</v>
      </c>
    </row>
    <row r="934" spans="5:6" x14ac:dyDescent="0.35">
      <c r="E934" s="32">
        <v>32</v>
      </c>
      <c r="F934" s="22" t="str" cm="1">
        <f t="array" ref="F934">_xlfn.IFS(E934&lt;30,"Under",E934&lt;40,"between",E934&gt;=40,"plus")</f>
        <v>between</v>
      </c>
    </row>
    <row r="935" spans="5:6" x14ac:dyDescent="0.35">
      <c r="E935" s="32">
        <v>32</v>
      </c>
      <c r="F935" s="22" t="str" cm="1">
        <f t="array" ref="F935">_xlfn.IFS(E935&lt;30,"Under",E935&lt;40,"between",E935&gt;=40,"plus")</f>
        <v>between</v>
      </c>
    </row>
    <row r="936" spans="5:6" x14ac:dyDescent="0.35">
      <c r="E936" s="32">
        <v>31</v>
      </c>
      <c r="F936" s="22" t="str" cm="1">
        <f t="array" ref="F936">_xlfn.IFS(E936&lt;30,"Under",E936&lt;40,"between",E936&gt;=40,"plus")</f>
        <v>between</v>
      </c>
    </row>
    <row r="937" spans="5:6" x14ac:dyDescent="0.35">
      <c r="E937" s="32">
        <v>31</v>
      </c>
      <c r="F937" s="22" t="str" cm="1">
        <f t="array" ref="F937">_xlfn.IFS(E937&lt;30,"Under",E937&lt;40,"between",E937&gt;=40,"plus")</f>
        <v>between</v>
      </c>
    </row>
    <row r="938" spans="5:6" x14ac:dyDescent="0.35">
      <c r="E938" s="32">
        <v>25</v>
      </c>
      <c r="F938" s="22" t="str" cm="1">
        <f t="array" ref="F938">_xlfn.IFS(E938&lt;30,"Under",E938&lt;40,"between",E938&gt;=40,"plus")</f>
        <v>Under</v>
      </c>
    </row>
    <row r="939" spans="5:6" x14ac:dyDescent="0.35">
      <c r="E939" s="32">
        <v>36</v>
      </c>
      <c r="F939" s="22" t="str" cm="1">
        <f t="array" ref="F939">_xlfn.IFS(E939&lt;30,"Under",E939&lt;40,"between",E939&gt;=40,"plus")</f>
        <v>between</v>
      </c>
    </row>
    <row r="940" spans="5:6" x14ac:dyDescent="0.35">
      <c r="E940" s="32">
        <v>32</v>
      </c>
      <c r="F940" s="22" t="str" cm="1">
        <f t="array" ref="F940">_xlfn.IFS(E940&lt;30,"Under",E940&lt;40,"between",E940&gt;=40,"plus")</f>
        <v>between</v>
      </c>
    </row>
    <row r="941" spans="5:6" x14ac:dyDescent="0.35">
      <c r="E941" s="32">
        <v>27</v>
      </c>
      <c r="F941" s="22" t="str" cm="1">
        <f t="array" ref="F941">_xlfn.IFS(E941&lt;30,"Under",E941&lt;40,"between",E941&gt;=40,"plus")</f>
        <v>Under</v>
      </c>
    </row>
    <row r="942" spans="5:6" x14ac:dyDescent="0.35">
      <c r="E942" s="32">
        <v>32</v>
      </c>
      <c r="F942" s="22" t="str" cm="1">
        <f t="array" ref="F942">_xlfn.IFS(E942&lt;30,"Under",E942&lt;40,"between",E942&gt;=40,"plus")</f>
        <v>between</v>
      </c>
    </row>
    <row r="943" spans="5:6" x14ac:dyDescent="0.35">
      <c r="E943" s="32">
        <v>41</v>
      </c>
      <c r="F943" s="22" t="str" cm="1">
        <f t="array" ref="F943">_xlfn.IFS(E943&lt;30,"Under",E943&lt;40,"between",E943&gt;=40,"plus")</f>
        <v>plus</v>
      </c>
    </row>
    <row r="944" spans="5:6" x14ac:dyDescent="0.35">
      <c r="E944" s="32">
        <v>25</v>
      </c>
      <c r="F944" s="22" t="str" cm="1">
        <f t="array" ref="F944">_xlfn.IFS(E944&lt;30,"Under",E944&lt;40,"between",E944&gt;=40,"plus")</f>
        <v>Under</v>
      </c>
    </row>
    <row r="945" spans="5:6" x14ac:dyDescent="0.35">
      <c r="E945" s="32">
        <v>42</v>
      </c>
      <c r="F945" s="22" t="str" cm="1">
        <f t="array" ref="F945">_xlfn.IFS(E945&lt;30,"Under",E945&lt;40,"between",E945&gt;=40,"plus")</f>
        <v>plus</v>
      </c>
    </row>
    <row r="946" spans="5:6" x14ac:dyDescent="0.35">
      <c r="E946" s="32">
        <v>38</v>
      </c>
      <c r="F946" s="22" t="str" cm="1">
        <f t="array" ref="F946">_xlfn.IFS(E946&lt;30,"Under",E946&lt;40,"between",E946&gt;=40,"plus")</f>
        <v>between</v>
      </c>
    </row>
    <row r="947" spans="5:6" x14ac:dyDescent="0.35">
      <c r="E947" s="32">
        <v>26</v>
      </c>
      <c r="F947" s="22" t="str" cm="1">
        <f t="array" ref="F947">_xlfn.IFS(E947&lt;30,"Under",E947&lt;40,"between",E947&gt;=40,"plus")</f>
        <v>Under</v>
      </c>
    </row>
    <row r="948" spans="5:6" x14ac:dyDescent="0.35">
      <c r="E948" s="32">
        <v>42</v>
      </c>
      <c r="F948" s="22" t="str" cm="1">
        <f t="array" ref="F948">_xlfn.IFS(E948&lt;30,"Under",E948&lt;40,"between",E948&gt;=40,"plus")</f>
        <v>plus</v>
      </c>
    </row>
    <row r="949" spans="5:6" x14ac:dyDescent="0.35">
      <c r="E949" s="32">
        <v>34</v>
      </c>
      <c r="F949" s="22" t="str" cm="1">
        <f t="array" ref="F949">_xlfn.IFS(E949&lt;30,"Under",E949&lt;40,"between",E949&gt;=40,"plus")</f>
        <v>between</v>
      </c>
    </row>
    <row r="950" spans="5:6" x14ac:dyDescent="0.35">
      <c r="E950" s="32">
        <v>38</v>
      </c>
      <c r="F950" s="22" t="str" cm="1">
        <f t="array" ref="F950">_xlfn.IFS(E950&lt;30,"Under",E950&lt;40,"between",E950&gt;=40,"plus")</f>
        <v>between</v>
      </c>
    </row>
    <row r="951" spans="5:6" x14ac:dyDescent="0.35">
      <c r="E951" s="32">
        <v>29</v>
      </c>
      <c r="F951" s="22" t="str" cm="1">
        <f t="array" ref="F951">_xlfn.IFS(E951&lt;30,"Under",E951&lt;40,"between",E951&gt;=40,"plus")</f>
        <v>Under</v>
      </c>
    </row>
    <row r="952" spans="5:6" x14ac:dyDescent="0.35">
      <c r="E952" s="32">
        <v>56</v>
      </c>
      <c r="F952" s="22" t="str" cm="1">
        <f t="array" ref="F952">_xlfn.IFS(E952&lt;30,"Under",E952&lt;40,"between",E952&gt;=40,"plus")</f>
        <v>plus</v>
      </c>
    </row>
    <row r="953" spans="5:6" x14ac:dyDescent="0.35">
      <c r="E953" s="32">
        <v>32</v>
      </c>
      <c r="F953" s="22" t="str" cm="1">
        <f t="array" ref="F953">_xlfn.IFS(E953&lt;30,"Under",E953&lt;40,"between",E953&gt;=40,"plus")</f>
        <v>between</v>
      </c>
    </row>
    <row r="954" spans="5:6" x14ac:dyDescent="0.35">
      <c r="E954" s="32">
        <v>40</v>
      </c>
      <c r="F954" s="22" t="str" cm="1">
        <f t="array" ref="F954">_xlfn.IFS(E954&lt;30,"Under",E954&lt;40,"between",E954&gt;=40,"plus")</f>
        <v>plus</v>
      </c>
    </row>
    <row r="955" spans="5:6" x14ac:dyDescent="0.35">
      <c r="E955" s="32">
        <v>37</v>
      </c>
      <c r="F955" s="22" t="str" cm="1">
        <f t="array" ref="F955">_xlfn.IFS(E955&lt;30,"Under",E955&lt;40,"between",E955&gt;=40,"plus")</f>
        <v>between</v>
      </c>
    </row>
    <row r="956" spans="5:6" x14ac:dyDescent="0.35">
      <c r="E956" s="32">
        <v>30</v>
      </c>
      <c r="F956" s="22" t="str" cm="1">
        <f t="array" ref="F956">_xlfn.IFS(E956&lt;30,"Under",E956&lt;40,"between",E956&gt;=40,"plus")</f>
        <v>between</v>
      </c>
    </row>
    <row r="957" spans="5:6" x14ac:dyDescent="0.35">
      <c r="E957" s="32">
        <v>37</v>
      </c>
      <c r="F957" s="22" t="str" cm="1">
        <f t="array" ref="F957">_xlfn.IFS(E957&lt;30,"Under",E957&lt;40,"between",E957&gt;=40,"plus")</f>
        <v>between</v>
      </c>
    </row>
    <row r="958" spans="5:6" x14ac:dyDescent="0.35">
      <c r="E958" s="32">
        <v>50</v>
      </c>
      <c r="F958" s="22" t="str" cm="1">
        <f t="array" ref="F958">_xlfn.IFS(E958&lt;30,"Under",E958&lt;40,"between",E958&gt;=40,"plus")</f>
        <v>plus</v>
      </c>
    </row>
    <row r="959" spans="5:6" x14ac:dyDescent="0.35">
      <c r="E959" s="32">
        <v>27</v>
      </c>
      <c r="F959" s="22" t="str" cm="1">
        <f t="array" ref="F959">_xlfn.IFS(E959&lt;30,"Under",E959&lt;40,"between",E959&gt;=40,"plus")</f>
        <v>Under</v>
      </c>
    </row>
    <row r="960" spans="5:6" x14ac:dyDescent="0.35">
      <c r="E960" s="32">
        <v>40</v>
      </c>
      <c r="F960" s="22" t="str" cm="1">
        <f t="array" ref="F960">_xlfn.IFS(E960&lt;30,"Under",E960&lt;40,"between",E960&gt;=40,"plus")</f>
        <v>plus</v>
      </c>
    </row>
    <row r="961" spans="5:6" x14ac:dyDescent="0.35">
      <c r="E961" s="32">
        <v>40</v>
      </c>
      <c r="F961" s="22" t="str" cm="1">
        <f t="array" ref="F961">_xlfn.IFS(E961&lt;30,"Under",E961&lt;40,"between",E961&gt;=40,"plus")</f>
        <v>plus</v>
      </c>
    </row>
    <row r="962" spans="5:6" x14ac:dyDescent="0.35">
      <c r="E962" s="32">
        <v>29</v>
      </c>
      <c r="F962" s="22" t="str" cm="1">
        <f t="array" ref="F962">_xlfn.IFS(E962&lt;30,"Under",E962&lt;40,"between",E962&gt;=40,"plus")</f>
        <v>Under</v>
      </c>
    </row>
    <row r="963" spans="5:6" x14ac:dyDescent="0.35">
      <c r="E963" s="32">
        <v>55</v>
      </c>
      <c r="F963" s="22" t="str" cm="1">
        <f t="array" ref="F963">_xlfn.IFS(E963&lt;30,"Under",E963&lt;40,"between",E963&gt;=40,"plus")</f>
        <v>plus</v>
      </c>
    </row>
    <row r="964" spans="5:6" x14ac:dyDescent="0.35">
      <c r="E964" s="32">
        <v>33</v>
      </c>
      <c r="F964" s="22" t="str" cm="1">
        <f t="array" ref="F964">_xlfn.IFS(E964&lt;30,"Under",E964&lt;40,"between",E964&gt;=40,"plus")</f>
        <v>between</v>
      </c>
    </row>
    <row r="965" spans="5:6" x14ac:dyDescent="0.35">
      <c r="E965" s="32">
        <v>39</v>
      </c>
      <c r="F965" s="22" t="str" cm="1">
        <f t="array" ref="F965">_xlfn.IFS(E965&lt;30,"Under",E965&lt;40,"between",E965&gt;=40,"plus")</f>
        <v>between</v>
      </c>
    </row>
    <row r="966" spans="5:6" x14ac:dyDescent="0.35">
      <c r="E966" s="32">
        <v>33</v>
      </c>
      <c r="F966" s="22" t="str" cm="1">
        <f t="array" ref="F966">_xlfn.IFS(E966&lt;30,"Under",E966&lt;40,"between",E966&gt;=40,"plus")</f>
        <v>between</v>
      </c>
    </row>
    <row r="967" spans="5:6" x14ac:dyDescent="0.35">
      <c r="E967" s="32">
        <v>26</v>
      </c>
      <c r="F967" s="22" t="str" cm="1">
        <f t="array" ref="F967">_xlfn.IFS(E967&lt;30,"Under",E967&lt;40,"between",E967&gt;=40,"plus")</f>
        <v>Under</v>
      </c>
    </row>
    <row r="968" spans="5:6" x14ac:dyDescent="0.35">
      <c r="E968" s="32">
        <v>47</v>
      </c>
      <c r="F968" s="22" t="str" cm="1">
        <f t="array" ref="F968">_xlfn.IFS(E968&lt;30,"Under",E968&lt;40,"between",E968&gt;=40,"plus")</f>
        <v>plus</v>
      </c>
    </row>
    <row r="969" spans="5:6" x14ac:dyDescent="0.35">
      <c r="E969" s="32">
        <v>31</v>
      </c>
      <c r="F969" s="22" t="str" cm="1">
        <f t="array" ref="F969">_xlfn.IFS(E969&lt;30,"Under",E969&lt;40,"between",E969&gt;=40,"plus")</f>
        <v>between</v>
      </c>
    </row>
    <row r="970" spans="5:6" x14ac:dyDescent="0.35">
      <c r="E970" s="32">
        <v>41</v>
      </c>
      <c r="F970" s="22" t="str" cm="1">
        <f t="array" ref="F970">_xlfn.IFS(E970&lt;30,"Under",E970&lt;40,"between",E970&gt;=40,"plus")</f>
        <v>plus</v>
      </c>
    </row>
    <row r="971" spans="5:6" x14ac:dyDescent="0.35">
      <c r="E971" s="32">
        <v>45</v>
      </c>
      <c r="F971" s="22" t="str" cm="1">
        <f t="array" ref="F971">_xlfn.IFS(E971&lt;30,"Under",E971&lt;40,"between",E971&gt;=40,"plus")</f>
        <v>plus</v>
      </c>
    </row>
    <row r="972" spans="5:6" x14ac:dyDescent="0.35">
      <c r="E972" s="32">
        <v>48</v>
      </c>
      <c r="F972" s="22" t="str" cm="1">
        <f t="array" ref="F972">_xlfn.IFS(E972&lt;30,"Under",E972&lt;40,"between",E972&gt;=40,"plus")</f>
        <v>plus</v>
      </c>
    </row>
    <row r="973" spans="5:6" x14ac:dyDescent="0.35">
      <c r="E973" s="32">
        <v>37</v>
      </c>
      <c r="F973" s="22" t="str" cm="1">
        <f t="array" ref="F973">_xlfn.IFS(E973&lt;30,"Under",E973&lt;40,"between",E973&gt;=40,"plus")</f>
        <v>between</v>
      </c>
    </row>
    <row r="974" spans="5:6" x14ac:dyDescent="0.35">
      <c r="E974" s="32">
        <v>44</v>
      </c>
      <c r="F974" s="22" t="str" cm="1">
        <f t="array" ref="F974">_xlfn.IFS(E974&lt;30,"Under",E974&lt;40,"between",E974&gt;=40,"plus")</f>
        <v>plus</v>
      </c>
    </row>
    <row r="975" spans="5:6" x14ac:dyDescent="0.35">
      <c r="E975" s="32">
        <v>39</v>
      </c>
      <c r="F975" s="22" t="str" cm="1">
        <f t="array" ref="F975">_xlfn.IFS(E975&lt;30,"Under",E975&lt;40,"between",E975&gt;=40,"plus")</f>
        <v>between</v>
      </c>
    </row>
    <row r="976" spans="5:6" x14ac:dyDescent="0.35">
      <c r="E976" s="32">
        <v>37</v>
      </c>
      <c r="F976" s="22" t="str" cm="1">
        <f t="array" ref="F976">_xlfn.IFS(E976&lt;30,"Under",E976&lt;40,"between",E976&gt;=40,"plus")</f>
        <v>between</v>
      </c>
    </row>
    <row r="977" spans="5:6" x14ac:dyDescent="0.35">
      <c r="E977" s="32">
        <v>36</v>
      </c>
      <c r="F977" s="22" t="str" cm="1">
        <f t="array" ref="F977">_xlfn.IFS(E977&lt;30,"Under",E977&lt;40,"between",E977&gt;=40,"plus")</f>
        <v>between</v>
      </c>
    </row>
    <row r="978" spans="5:6" x14ac:dyDescent="0.35">
      <c r="E978" s="32">
        <v>34</v>
      </c>
      <c r="F978" s="22" t="str" cm="1">
        <f t="array" ref="F978">_xlfn.IFS(E978&lt;30,"Under",E978&lt;40,"between",E978&gt;=40,"plus")</f>
        <v>between</v>
      </c>
    </row>
    <row r="979" spans="5:6" x14ac:dyDescent="0.35">
      <c r="E979" s="32">
        <v>27</v>
      </c>
      <c r="F979" s="22" t="str" cm="1">
        <f t="array" ref="F979">_xlfn.IFS(E979&lt;30,"Under",E979&lt;40,"between",E979&gt;=40,"plus")</f>
        <v>Under</v>
      </c>
    </row>
    <row r="980" spans="5:6" x14ac:dyDescent="0.35">
      <c r="E980" s="32">
        <v>37</v>
      </c>
      <c r="F980" s="22" t="str" cm="1">
        <f t="array" ref="F980">_xlfn.IFS(E980&lt;30,"Under",E980&lt;40,"between",E980&gt;=40,"plus")</f>
        <v>between</v>
      </c>
    </row>
    <row r="981" spans="5:6" x14ac:dyDescent="0.35">
      <c r="E981" s="32">
        <v>40</v>
      </c>
      <c r="F981" s="22" t="str" cm="1">
        <f t="array" ref="F981">_xlfn.IFS(E981&lt;30,"Under",E981&lt;40,"between",E981&gt;=40,"plus")</f>
        <v>plus</v>
      </c>
    </row>
    <row r="982" spans="5:6" x14ac:dyDescent="0.35">
      <c r="E982" s="32">
        <v>40</v>
      </c>
      <c r="F982" s="22" t="str" cm="1">
        <f t="array" ref="F982">_xlfn.IFS(E982&lt;30,"Under",E982&lt;40,"between",E982&gt;=40,"plus")</f>
        <v>plus</v>
      </c>
    </row>
    <row r="983" spans="5:6" x14ac:dyDescent="0.35">
      <c r="E983" s="32">
        <v>32</v>
      </c>
      <c r="F983" s="22" t="str" cm="1">
        <f t="array" ref="F983">_xlfn.IFS(E983&lt;30,"Under",E983&lt;40,"between",E983&gt;=40,"plus")</f>
        <v>between</v>
      </c>
    </row>
    <row r="984" spans="5:6" x14ac:dyDescent="0.35">
      <c r="E984" s="32">
        <v>34</v>
      </c>
      <c r="F984" s="22" t="str" cm="1">
        <f t="array" ref="F984">_xlfn.IFS(E984&lt;30,"Under",E984&lt;40,"between",E984&gt;=40,"plus")</f>
        <v>between</v>
      </c>
    </row>
    <row r="985" spans="5:6" x14ac:dyDescent="0.35">
      <c r="E985" s="32">
        <v>35</v>
      </c>
      <c r="F985" s="22" t="str" cm="1">
        <f t="array" ref="F985">_xlfn.IFS(E985&lt;30,"Under",E985&lt;40,"between",E985&gt;=40,"plus")</f>
        <v>between</v>
      </c>
    </row>
    <row r="986" spans="5:6" x14ac:dyDescent="0.35">
      <c r="E986" s="32">
        <v>42</v>
      </c>
      <c r="F986" s="22" t="str" cm="1">
        <f t="array" ref="F986">_xlfn.IFS(E986&lt;30,"Under",E986&lt;40,"between",E986&gt;=40,"plus")</f>
        <v>plus</v>
      </c>
    </row>
    <row r="987" spans="5:6" x14ac:dyDescent="0.35">
      <c r="E987" s="32">
        <v>28</v>
      </c>
      <c r="F987" s="22" t="str" cm="1">
        <f t="array" ref="F987">_xlfn.IFS(E987&lt;30,"Under",E987&lt;40,"between",E987&gt;=40,"plus")</f>
        <v>Under</v>
      </c>
    </row>
    <row r="988" spans="5:6" x14ac:dyDescent="0.35">
      <c r="E988" s="32">
        <v>38</v>
      </c>
      <c r="F988" s="22" t="str" cm="1">
        <f t="array" ref="F988">_xlfn.IFS(E988&lt;30,"Under",E988&lt;40,"between",E988&gt;=40,"plus")</f>
        <v>between</v>
      </c>
    </row>
    <row r="989" spans="5:6" x14ac:dyDescent="0.35">
      <c r="E989" s="32">
        <v>49</v>
      </c>
      <c r="F989" s="22" t="str" cm="1">
        <f t="array" ref="F989">_xlfn.IFS(E989&lt;30,"Under",E989&lt;40,"between",E989&gt;=40,"plus")</f>
        <v>plus</v>
      </c>
    </row>
    <row r="990" spans="5:6" x14ac:dyDescent="0.35">
      <c r="E990" s="32">
        <v>30</v>
      </c>
      <c r="F990" s="22" t="str" cm="1">
        <f t="array" ref="F990">_xlfn.IFS(E990&lt;30,"Under",E990&lt;40,"between",E990&gt;=40,"plus")</f>
        <v>between</v>
      </c>
    </row>
    <row r="991" spans="5:6" x14ac:dyDescent="0.35">
      <c r="E991" s="32">
        <v>30</v>
      </c>
      <c r="F991" s="22" t="str" cm="1">
        <f t="array" ref="F991">_xlfn.IFS(E991&lt;30,"Under",E991&lt;40,"between",E991&gt;=40,"plus")</f>
        <v>between</v>
      </c>
    </row>
    <row r="992" spans="5:6" x14ac:dyDescent="0.35">
      <c r="E992" s="32">
        <v>31</v>
      </c>
      <c r="F992" s="22" t="str" cm="1">
        <f t="array" ref="F992">_xlfn.IFS(E992&lt;30,"Under",E992&lt;40,"between",E992&gt;=40,"plus")</f>
        <v>between</v>
      </c>
    </row>
    <row r="993" spans="5:6" x14ac:dyDescent="0.35">
      <c r="E993" s="32">
        <v>31</v>
      </c>
      <c r="F993" s="22" t="str" cm="1">
        <f t="array" ref="F993">_xlfn.IFS(E993&lt;30,"Under",E993&lt;40,"between",E993&gt;=40,"plus")</f>
        <v>between</v>
      </c>
    </row>
    <row r="994" spans="5:6" x14ac:dyDescent="0.35">
      <c r="E994" s="32">
        <v>36</v>
      </c>
      <c r="F994" s="22" t="str" cm="1">
        <f t="array" ref="F994">_xlfn.IFS(E994&lt;30,"Under",E994&lt;40,"between",E994&gt;=40,"plus")</f>
        <v>between</v>
      </c>
    </row>
    <row r="995" spans="5:6" x14ac:dyDescent="0.35">
      <c r="E995" s="32">
        <v>29</v>
      </c>
      <c r="F995" s="22" t="str" cm="1">
        <f t="array" ref="F995">_xlfn.IFS(E995&lt;30,"Under",E995&lt;40,"between",E995&gt;=40,"plus")</f>
        <v>Under</v>
      </c>
    </row>
    <row r="996" spans="5:6" x14ac:dyDescent="0.35">
      <c r="E996" s="32">
        <v>45</v>
      </c>
      <c r="F996" s="22" t="str" cm="1">
        <f t="array" ref="F996">_xlfn.IFS(E996&lt;30,"Under",E996&lt;40,"between",E996&gt;=40,"plus")</f>
        <v>plus</v>
      </c>
    </row>
    <row r="997" spans="5:6" x14ac:dyDescent="0.35">
      <c r="E997" s="32">
        <v>29</v>
      </c>
      <c r="F997" s="22" t="str" cm="1">
        <f t="array" ref="F997">_xlfn.IFS(E997&lt;30,"Under",E997&lt;40,"between",E997&gt;=40,"plus")</f>
        <v>Under</v>
      </c>
    </row>
    <row r="998" spans="5:6" x14ac:dyDescent="0.35">
      <c r="E998" s="32">
        <v>35</v>
      </c>
      <c r="F998" s="22" t="str" cm="1">
        <f t="array" ref="F998">_xlfn.IFS(E998&lt;30,"Under",E998&lt;40,"between",E998&gt;=40,"plus")</f>
        <v>between</v>
      </c>
    </row>
    <row r="999" spans="5:6" x14ac:dyDescent="0.35">
      <c r="E999" s="32">
        <v>49</v>
      </c>
      <c r="F999" s="22" t="str" cm="1">
        <f t="array" ref="F999">_xlfn.IFS(E999&lt;30,"Under",E999&lt;40,"between",E999&gt;=40,"plus")</f>
        <v>plus</v>
      </c>
    </row>
    <row r="1000" spans="5:6" x14ac:dyDescent="0.35">
      <c r="E1000" s="32">
        <v>36</v>
      </c>
      <c r="F1000" s="22" t="str" cm="1">
        <f t="array" ref="F1000">_xlfn.IFS(E1000&lt;30,"Under",E1000&lt;40,"between",E1000&gt;=40,"plus")</f>
        <v>between</v>
      </c>
    </row>
    <row r="1001" spans="5:6" x14ac:dyDescent="0.35">
      <c r="E1001" s="32">
        <v>36</v>
      </c>
      <c r="F1001" s="22" t="str" cm="1">
        <f t="array" ref="F1001">_xlfn.IFS(E1001&lt;30,"Under",E1001&lt;40,"between",E1001&gt;=40,"plus")</f>
        <v>between</v>
      </c>
    </row>
    <row r="1002" spans="5:6" x14ac:dyDescent="0.35">
      <c r="E1002" s="32">
        <v>32</v>
      </c>
      <c r="F1002" s="22" t="str" cm="1">
        <f t="array" ref="F1002">_xlfn.IFS(E1002&lt;30,"Under",E1002&lt;40,"between",E1002&gt;=40,"plus")</f>
        <v>between</v>
      </c>
    </row>
    <row r="1003" spans="5:6" x14ac:dyDescent="0.35">
      <c r="E1003" s="32">
        <v>38</v>
      </c>
      <c r="F1003" s="22" t="str" cm="1">
        <f t="array" ref="F1003">_xlfn.IFS(E1003&lt;30,"Under",E1003&lt;40,"between",E1003&gt;=40,"plus")</f>
        <v>between</v>
      </c>
    </row>
    <row r="1004" spans="5:6" x14ac:dyDescent="0.35">
      <c r="E1004" s="32">
        <v>28</v>
      </c>
      <c r="F1004" s="22" t="str" cm="1">
        <f t="array" ref="F1004">_xlfn.IFS(E1004&lt;30,"Under",E1004&lt;40,"between",E1004&gt;=40,"plus")</f>
        <v>Under</v>
      </c>
    </row>
    <row r="1005" spans="5:6" x14ac:dyDescent="0.35">
      <c r="E1005" s="32">
        <v>34</v>
      </c>
      <c r="F1005" s="22" t="str" cm="1">
        <f t="array" ref="F1005">_xlfn.IFS(E1005&lt;30,"Under",E1005&lt;40,"between",E1005&gt;=40,"plus")</f>
        <v>between</v>
      </c>
    </row>
    <row r="1006" spans="5:6" x14ac:dyDescent="0.35">
      <c r="E1006" s="32">
        <v>37</v>
      </c>
      <c r="F1006" s="22" t="str" cm="1">
        <f t="array" ref="F1006">_xlfn.IFS(E1006&lt;30,"Under",E1006&lt;40,"between",E1006&gt;=40,"plus")</f>
        <v>between</v>
      </c>
    </row>
    <row r="1007" spans="5:6" x14ac:dyDescent="0.35">
      <c r="E1007" s="32">
        <v>30</v>
      </c>
      <c r="F1007" s="22" t="str" cm="1">
        <f t="array" ref="F1007">_xlfn.IFS(E1007&lt;30,"Under",E1007&lt;40,"between",E1007&gt;=40,"plus")</f>
        <v>between</v>
      </c>
    </row>
    <row r="1008" spans="5:6" x14ac:dyDescent="0.35">
      <c r="E1008" s="32">
        <v>34</v>
      </c>
      <c r="F1008" s="22" t="str" cm="1">
        <f t="array" ref="F1008">_xlfn.IFS(E1008&lt;30,"Under",E1008&lt;40,"between",E1008&gt;=40,"plus")</f>
        <v>between</v>
      </c>
    </row>
    <row r="1009" spans="5:6" x14ac:dyDescent="0.35">
      <c r="E1009" s="32">
        <v>32</v>
      </c>
      <c r="F1009" s="22" t="str" cm="1">
        <f t="array" ref="F1009">_xlfn.IFS(E1009&lt;30,"Under",E1009&lt;40,"between",E1009&gt;=40,"plus")</f>
        <v>between</v>
      </c>
    </row>
    <row r="1010" spans="5:6" x14ac:dyDescent="0.35">
      <c r="E1010" s="32">
        <v>50</v>
      </c>
      <c r="F1010" s="22" t="str" cm="1">
        <f t="array" ref="F1010">_xlfn.IFS(E1010&lt;30,"Under",E1010&lt;40,"between",E1010&gt;=40,"plus")</f>
        <v>plus</v>
      </c>
    </row>
    <row r="1011" spans="5:6" x14ac:dyDescent="0.35">
      <c r="E1011" s="32">
        <v>32</v>
      </c>
      <c r="F1011" s="22" t="str" cm="1">
        <f t="array" ref="F1011">_xlfn.IFS(E1011&lt;30,"Under",E1011&lt;40,"between",E1011&gt;=40,"plus")</f>
        <v>between</v>
      </c>
    </row>
    <row r="1012" spans="5:6" x14ac:dyDescent="0.35">
      <c r="E1012" s="32">
        <v>57</v>
      </c>
      <c r="F1012" s="22" t="str" cm="1">
        <f t="array" ref="F1012">_xlfn.IFS(E1012&lt;30,"Under",E1012&lt;40,"between",E1012&gt;=40,"plus")</f>
        <v>plus</v>
      </c>
    </row>
    <row r="1013" spans="5:6" x14ac:dyDescent="0.35">
      <c r="E1013" s="32">
        <v>42</v>
      </c>
      <c r="F1013" s="22" t="str" cm="1">
        <f t="array" ref="F1013">_xlfn.IFS(E1013&lt;30,"Under",E1013&lt;40,"between",E1013&gt;=40,"plus")</f>
        <v>plus</v>
      </c>
    </row>
    <row r="1014" spans="5:6" x14ac:dyDescent="0.35">
      <c r="E1014" s="32">
        <v>39</v>
      </c>
      <c r="F1014" s="22" t="str" cm="1">
        <f t="array" ref="F1014">_xlfn.IFS(E1014&lt;30,"Under",E1014&lt;40,"between",E1014&gt;=40,"plus")</f>
        <v>between</v>
      </c>
    </row>
    <row r="1015" spans="5:6" x14ac:dyDescent="0.35">
      <c r="E1015" s="32">
        <v>50</v>
      </c>
      <c r="F1015" s="22" t="str" cm="1">
        <f t="array" ref="F1015">_xlfn.IFS(E1015&lt;30,"Under",E1015&lt;40,"between",E1015&gt;=40,"plus")</f>
        <v>plus</v>
      </c>
    </row>
    <row r="1016" spans="5:6" x14ac:dyDescent="0.35">
      <c r="E1016" s="32">
        <v>34</v>
      </c>
      <c r="F1016" s="22" t="str" cm="1">
        <f t="array" ref="F1016">_xlfn.IFS(E1016&lt;30,"Under",E1016&lt;40,"between",E1016&gt;=40,"plus")</f>
        <v>between</v>
      </c>
    </row>
    <row r="1017" spans="5:6" x14ac:dyDescent="0.35">
      <c r="E1017" s="32">
        <v>49</v>
      </c>
      <c r="F1017" s="22" t="str" cm="1">
        <f t="array" ref="F1017">_xlfn.IFS(E1017&lt;30,"Under",E1017&lt;40,"between",E1017&gt;=40,"plus")</f>
        <v>plus</v>
      </c>
    </row>
    <row r="1018" spans="5:6" x14ac:dyDescent="0.35">
      <c r="E1018" s="32">
        <v>43</v>
      </c>
      <c r="F1018" s="22" t="str" cm="1">
        <f t="array" ref="F1018">_xlfn.IFS(E1018&lt;30,"Under",E1018&lt;40,"between",E1018&gt;=40,"plus")</f>
        <v>plus</v>
      </c>
    </row>
    <row r="1019" spans="5:6" x14ac:dyDescent="0.35">
      <c r="E1019" s="32">
        <v>41</v>
      </c>
      <c r="F1019" s="22" t="str" cm="1">
        <f t="array" ref="F1019">_xlfn.IFS(E1019&lt;30,"Under",E1019&lt;40,"between",E1019&gt;=40,"plus")</f>
        <v>plus</v>
      </c>
    </row>
    <row r="1020" spans="5:6" x14ac:dyDescent="0.35">
      <c r="E1020" s="32">
        <v>27</v>
      </c>
      <c r="F1020" s="22" t="str" cm="1">
        <f t="array" ref="F1020">_xlfn.IFS(E1020&lt;30,"Under",E1020&lt;40,"between",E1020&gt;=40,"plus")</f>
        <v>Under</v>
      </c>
    </row>
    <row r="1021" spans="5:6" x14ac:dyDescent="0.35">
      <c r="E1021" s="32">
        <v>31</v>
      </c>
      <c r="F1021" s="22" t="str" cm="1">
        <f t="array" ref="F1021">_xlfn.IFS(E1021&lt;30,"Under",E1021&lt;40,"between",E1021&gt;=40,"plus")</f>
        <v>between</v>
      </c>
    </row>
    <row r="1022" spans="5:6" x14ac:dyDescent="0.35">
      <c r="E1022" s="32">
        <v>36</v>
      </c>
      <c r="F1022" s="22" t="str" cm="1">
        <f t="array" ref="F1022">_xlfn.IFS(E1022&lt;30,"Under",E1022&lt;40,"between",E1022&gt;=40,"plus")</f>
        <v>between</v>
      </c>
    </row>
    <row r="1023" spans="5:6" x14ac:dyDescent="0.35">
      <c r="E1023" s="32">
        <v>42</v>
      </c>
      <c r="F1023" s="22" t="str" cm="1">
        <f t="array" ref="F1023">_xlfn.IFS(E1023&lt;30,"Under",E1023&lt;40,"between",E1023&gt;=40,"plus")</f>
        <v>plus</v>
      </c>
    </row>
    <row r="1024" spans="5:6" x14ac:dyDescent="0.35">
      <c r="E1024" s="32">
        <v>31</v>
      </c>
      <c r="F1024" s="22" t="str" cm="1">
        <f t="array" ref="F1024">_xlfn.IFS(E1024&lt;30,"Under",E1024&lt;40,"between",E1024&gt;=40,"plus")</f>
        <v>between</v>
      </c>
    </row>
    <row r="1025" spans="5:6" x14ac:dyDescent="0.35">
      <c r="E1025" s="32">
        <v>28</v>
      </c>
      <c r="F1025" s="22" t="str" cm="1">
        <f t="array" ref="F1025">_xlfn.IFS(E1025&lt;30,"Under",E1025&lt;40,"between",E1025&gt;=40,"plus")</f>
        <v>Under</v>
      </c>
    </row>
    <row r="1026" spans="5:6" x14ac:dyDescent="0.35">
      <c r="E1026" s="32">
        <v>36</v>
      </c>
      <c r="F1026" s="22" t="str" cm="1">
        <f t="array" ref="F1026">_xlfn.IFS(E1026&lt;30,"Under",E1026&lt;40,"between",E1026&gt;=40,"plus")</f>
        <v>between</v>
      </c>
    </row>
    <row r="1027" spans="5:6" x14ac:dyDescent="0.35">
      <c r="E1027" s="32">
        <v>40</v>
      </c>
      <c r="F1027" s="22" t="str" cm="1">
        <f t="array" ref="F1027">_xlfn.IFS(E1027&lt;30,"Under",E1027&lt;40,"between",E1027&gt;=40,"plus")</f>
        <v>plus</v>
      </c>
    </row>
    <row r="1028" spans="5:6" x14ac:dyDescent="0.35">
      <c r="E1028" s="32">
        <v>54</v>
      </c>
      <c r="F1028" s="22" t="str" cm="1">
        <f t="array" ref="F1028">_xlfn.IFS(E1028&lt;30,"Under",E1028&lt;40,"between",E1028&gt;=40,"plus")</f>
        <v>plus</v>
      </c>
    </row>
    <row r="1029" spans="5:6" x14ac:dyDescent="0.35">
      <c r="E1029" s="32">
        <v>38</v>
      </c>
      <c r="F1029" s="22" t="str" cm="1">
        <f t="array" ref="F1029">_xlfn.IFS(E1029&lt;30,"Under",E1029&lt;40,"between",E1029&gt;=40,"plus")</f>
        <v>between</v>
      </c>
    </row>
    <row r="1030" spans="5:6" x14ac:dyDescent="0.35">
      <c r="E1030" s="32">
        <v>41</v>
      </c>
      <c r="F1030" s="22" t="str" cm="1">
        <f t="array" ref="F1030">_xlfn.IFS(E1030&lt;30,"Under",E1030&lt;40,"between",E1030&gt;=40,"plus")</f>
        <v>plus</v>
      </c>
    </row>
    <row r="1031" spans="5:6" x14ac:dyDescent="0.35">
      <c r="E1031" s="32">
        <v>30</v>
      </c>
      <c r="F1031" s="22" t="str" cm="1">
        <f t="array" ref="F1031">_xlfn.IFS(E1031&lt;30,"Under",E1031&lt;40,"between",E1031&gt;=40,"plus")</f>
        <v>between</v>
      </c>
    </row>
    <row r="1032" spans="5:6" x14ac:dyDescent="0.35">
      <c r="E1032" s="32">
        <v>35</v>
      </c>
      <c r="F1032" s="22" t="str" cm="1">
        <f t="array" ref="F1032">_xlfn.IFS(E1032&lt;30,"Under",E1032&lt;40,"between",E1032&gt;=40,"plus")</f>
        <v>between</v>
      </c>
    </row>
    <row r="1033" spans="5:6" x14ac:dyDescent="0.35">
      <c r="E1033" s="32">
        <v>38</v>
      </c>
      <c r="F1033" s="22" t="str" cm="1">
        <f t="array" ref="F1033">_xlfn.IFS(E1033&lt;30,"Under",E1033&lt;40,"between",E1033&gt;=40,"plus")</f>
        <v>between</v>
      </c>
    </row>
    <row r="1034" spans="5:6" x14ac:dyDescent="0.35">
      <c r="E1034" s="32">
        <v>31</v>
      </c>
      <c r="F1034" s="22" t="str" cm="1">
        <f t="array" ref="F1034">_xlfn.IFS(E1034&lt;30,"Under",E1034&lt;40,"between",E1034&gt;=40,"plus")</f>
        <v>between</v>
      </c>
    </row>
    <row r="1035" spans="5:6" x14ac:dyDescent="0.35">
      <c r="E1035" s="32">
        <v>29</v>
      </c>
      <c r="F1035" s="22" t="str" cm="1">
        <f t="array" ref="F1035">_xlfn.IFS(E1035&lt;30,"Under",E1035&lt;40,"between",E1035&gt;=40,"plus")</f>
        <v>Under</v>
      </c>
    </row>
    <row r="1036" spans="5:6" x14ac:dyDescent="0.35">
      <c r="E1036" s="32">
        <v>31</v>
      </c>
      <c r="F1036" s="22" t="str" cm="1">
        <f t="array" ref="F1036">_xlfn.IFS(E1036&lt;30,"Under",E1036&lt;40,"between",E1036&gt;=40,"plus")</f>
        <v>between</v>
      </c>
    </row>
    <row r="1037" spans="5:6" x14ac:dyDescent="0.35">
      <c r="E1037" s="32">
        <v>33</v>
      </c>
      <c r="F1037" s="22" t="str" cm="1">
        <f t="array" ref="F1037">_xlfn.IFS(E1037&lt;30,"Under",E1037&lt;40,"between",E1037&gt;=40,"plus")</f>
        <v>between</v>
      </c>
    </row>
    <row r="1038" spans="5:6" x14ac:dyDescent="0.35">
      <c r="E1038" s="32">
        <v>36</v>
      </c>
      <c r="F1038" s="22" t="str" cm="1">
        <f t="array" ref="F1038">_xlfn.IFS(E1038&lt;30,"Under",E1038&lt;40,"between",E1038&gt;=40,"plus")</f>
        <v>between</v>
      </c>
    </row>
    <row r="1039" spans="5:6" x14ac:dyDescent="0.35">
      <c r="E1039" s="32">
        <v>53</v>
      </c>
      <c r="F1039" s="22" t="str" cm="1">
        <f t="array" ref="F1039">_xlfn.IFS(E1039&lt;30,"Under",E1039&lt;40,"between",E1039&gt;=40,"plus")</f>
        <v>plus</v>
      </c>
    </row>
    <row r="1040" spans="5:6" x14ac:dyDescent="0.35">
      <c r="E1040" s="32">
        <v>41</v>
      </c>
      <c r="F1040" s="22" t="str" cm="1">
        <f t="array" ref="F1040">_xlfn.IFS(E1040&lt;30,"Under",E1040&lt;40,"between",E1040&gt;=40,"plus")</f>
        <v>plus</v>
      </c>
    </row>
    <row r="1041" spans="5:6" x14ac:dyDescent="0.35">
      <c r="E1041" s="32">
        <v>34</v>
      </c>
      <c r="F1041" s="22" t="str" cm="1">
        <f t="array" ref="F1041">_xlfn.IFS(E1041&lt;30,"Under",E1041&lt;40,"between",E1041&gt;=40,"plus")</f>
        <v>between</v>
      </c>
    </row>
    <row r="1042" spans="5:6" x14ac:dyDescent="0.35">
      <c r="E1042" s="32">
        <v>36</v>
      </c>
      <c r="F1042" s="22" t="str" cm="1">
        <f t="array" ref="F1042">_xlfn.IFS(E1042&lt;30,"Under",E1042&lt;40,"between",E1042&gt;=40,"plus")</f>
        <v>between</v>
      </c>
    </row>
    <row r="1043" spans="5:6" x14ac:dyDescent="0.35">
      <c r="E1043" s="32">
        <v>33</v>
      </c>
      <c r="F1043" s="22" t="str" cm="1">
        <f t="array" ref="F1043">_xlfn.IFS(E1043&lt;30,"Under",E1043&lt;40,"between",E1043&gt;=40,"plus")</f>
        <v>between</v>
      </c>
    </row>
    <row r="1044" spans="5:6" x14ac:dyDescent="0.35">
      <c r="E1044" s="32">
        <v>33</v>
      </c>
      <c r="F1044" s="22" t="str" cm="1">
        <f t="array" ref="F1044">_xlfn.IFS(E1044&lt;30,"Under",E1044&lt;40,"between",E1044&gt;=40,"plus")</f>
        <v>between</v>
      </c>
    </row>
    <row r="1045" spans="5:6" x14ac:dyDescent="0.35">
      <c r="E1045" s="32">
        <v>30</v>
      </c>
      <c r="F1045" s="22" t="str" cm="1">
        <f t="array" ref="F1045">_xlfn.IFS(E1045&lt;30,"Under",E1045&lt;40,"between",E1045&gt;=40,"plus")</f>
        <v>between</v>
      </c>
    </row>
    <row r="1046" spans="5:6" x14ac:dyDescent="0.35">
      <c r="E1046" s="32">
        <v>31</v>
      </c>
      <c r="F1046" s="22" t="str" cm="1">
        <f t="array" ref="F1046">_xlfn.IFS(E1046&lt;30,"Under",E1046&lt;40,"between",E1046&gt;=40,"plus")</f>
        <v>between</v>
      </c>
    </row>
    <row r="1047" spans="5:6" x14ac:dyDescent="0.35">
      <c r="E1047" s="32">
        <v>56</v>
      </c>
      <c r="F1047" s="22" t="str" cm="1">
        <f t="array" ref="F1047">_xlfn.IFS(E1047&lt;30,"Under",E1047&lt;40,"between",E1047&gt;=40,"plus")</f>
        <v>plus</v>
      </c>
    </row>
    <row r="1048" spans="5:6" x14ac:dyDescent="0.35">
      <c r="E1048" s="32">
        <v>30</v>
      </c>
      <c r="F1048" s="22" t="str" cm="1">
        <f t="array" ref="F1048">_xlfn.IFS(E1048&lt;30,"Under",E1048&lt;40,"between",E1048&gt;=40,"plus")</f>
        <v>between</v>
      </c>
    </row>
    <row r="1049" spans="5:6" x14ac:dyDescent="0.35">
      <c r="E1049" s="32">
        <v>35</v>
      </c>
      <c r="F1049" s="22" t="str" cm="1">
        <f t="array" ref="F1049">_xlfn.IFS(E1049&lt;30,"Under",E1049&lt;40,"between",E1049&gt;=40,"plus")</f>
        <v>between</v>
      </c>
    </row>
    <row r="1050" spans="5:6" x14ac:dyDescent="0.35">
      <c r="E1050" s="32">
        <v>46</v>
      </c>
      <c r="F1050" s="22" t="str" cm="1">
        <f t="array" ref="F1050">_xlfn.IFS(E1050&lt;30,"Under",E1050&lt;40,"between",E1050&gt;=40,"plus")</f>
        <v>plus</v>
      </c>
    </row>
    <row r="1051" spans="5:6" x14ac:dyDescent="0.35">
      <c r="E1051" s="32">
        <v>29</v>
      </c>
      <c r="F1051" s="22" t="str" cm="1">
        <f t="array" ref="F1051">_xlfn.IFS(E1051&lt;30,"Under",E1051&lt;40,"between",E1051&gt;=40,"plus")</f>
        <v>Under</v>
      </c>
    </row>
    <row r="1052" spans="5:6" x14ac:dyDescent="0.35">
      <c r="E1052" s="32">
        <v>38</v>
      </c>
      <c r="F1052" s="22" t="str" cm="1">
        <f t="array" ref="F1052">_xlfn.IFS(E1052&lt;30,"Under",E1052&lt;40,"between",E1052&gt;=40,"plus")</f>
        <v>between</v>
      </c>
    </row>
    <row r="1053" spans="5:6" x14ac:dyDescent="0.35">
      <c r="E1053" s="32">
        <v>46</v>
      </c>
      <c r="F1053" s="22" t="str" cm="1">
        <f t="array" ref="F1053">_xlfn.IFS(E1053&lt;30,"Under",E1053&lt;40,"between",E1053&gt;=40,"plus")</f>
        <v>plus</v>
      </c>
    </row>
    <row r="1054" spans="5:6" x14ac:dyDescent="0.35">
      <c r="E1054" s="32">
        <v>49</v>
      </c>
      <c r="F1054" s="22" t="str" cm="1">
        <f t="array" ref="F1054">_xlfn.IFS(E1054&lt;30,"Under",E1054&lt;40,"between",E1054&gt;=40,"plus")</f>
        <v>plus</v>
      </c>
    </row>
    <row r="1055" spans="5:6" x14ac:dyDescent="0.35">
      <c r="E1055" s="32">
        <v>42</v>
      </c>
      <c r="F1055" s="22" t="str" cm="1">
        <f t="array" ref="F1055">_xlfn.IFS(E1055&lt;30,"Under",E1055&lt;40,"between",E1055&gt;=40,"plus")</f>
        <v>plus</v>
      </c>
    </row>
    <row r="1056" spans="5:6" x14ac:dyDescent="0.35">
      <c r="E1056" s="32">
        <v>27</v>
      </c>
      <c r="F1056" s="22" t="str" cm="1">
        <f t="array" ref="F1056">_xlfn.IFS(E1056&lt;30,"Under",E1056&lt;40,"between",E1056&gt;=40,"plus")</f>
        <v>Under</v>
      </c>
    </row>
    <row r="1057" spans="5:6" x14ac:dyDescent="0.35">
      <c r="E1057" s="32">
        <v>37</v>
      </c>
      <c r="F1057" s="22" t="str" cm="1">
        <f t="array" ref="F1057">_xlfn.IFS(E1057&lt;30,"Under",E1057&lt;40,"between",E1057&gt;=40,"plus")</f>
        <v>between</v>
      </c>
    </row>
    <row r="1058" spans="5:6" x14ac:dyDescent="0.35">
      <c r="E1058" s="32">
        <v>45</v>
      </c>
      <c r="F1058" s="22" t="str" cm="1">
        <f t="array" ref="F1058">_xlfn.IFS(E1058&lt;30,"Under",E1058&lt;40,"between",E1058&gt;=40,"plus")</f>
        <v>plus</v>
      </c>
    </row>
    <row r="1059" spans="5:6" x14ac:dyDescent="0.35">
      <c r="E1059" s="32">
        <v>31</v>
      </c>
      <c r="F1059" s="22" t="str" cm="1">
        <f t="array" ref="F1059">_xlfn.IFS(E1059&lt;30,"Under",E1059&lt;40,"between",E1059&gt;=40,"plus")</f>
        <v>between</v>
      </c>
    </row>
    <row r="1060" spans="5:6" x14ac:dyDescent="0.35">
      <c r="E1060" s="32">
        <v>40</v>
      </c>
      <c r="F1060" s="22" t="str" cm="1">
        <f t="array" ref="F1060">_xlfn.IFS(E1060&lt;30,"Under",E1060&lt;40,"between",E1060&gt;=40,"plus")</f>
        <v>plus</v>
      </c>
    </row>
    <row r="1061" spans="5:6" x14ac:dyDescent="0.35">
      <c r="E1061" s="32">
        <v>51</v>
      </c>
      <c r="F1061" s="22" t="str" cm="1">
        <f t="array" ref="F1061">_xlfn.IFS(E1061&lt;30,"Under",E1061&lt;40,"between",E1061&gt;=40,"plus")</f>
        <v>plus</v>
      </c>
    </row>
    <row r="1062" spans="5:6" x14ac:dyDescent="0.35">
      <c r="E1062" s="32">
        <v>37</v>
      </c>
      <c r="F1062" s="22" t="str" cm="1">
        <f t="array" ref="F1062">_xlfn.IFS(E1062&lt;30,"Under",E1062&lt;40,"between",E1062&gt;=40,"plus")</f>
        <v>between</v>
      </c>
    </row>
    <row r="1063" spans="5:6" x14ac:dyDescent="0.35">
      <c r="E1063" s="32">
        <v>43</v>
      </c>
      <c r="F1063" s="22" t="str" cm="1">
        <f t="array" ref="F1063">_xlfn.IFS(E1063&lt;30,"Under",E1063&lt;40,"between",E1063&gt;=40,"plus")</f>
        <v>plus</v>
      </c>
    </row>
    <row r="1064" spans="5:6" x14ac:dyDescent="0.35">
      <c r="E1064" s="32">
        <v>53</v>
      </c>
      <c r="F1064" s="22" t="str" cm="1">
        <f t="array" ref="F1064">_xlfn.IFS(E1064&lt;30,"Under",E1064&lt;40,"between",E1064&gt;=40,"plus")</f>
        <v>plus</v>
      </c>
    </row>
    <row r="1065" spans="5:6" x14ac:dyDescent="0.35">
      <c r="E1065" s="32">
        <v>31</v>
      </c>
      <c r="F1065" s="22" t="str" cm="1">
        <f t="array" ref="F1065">_xlfn.IFS(E1065&lt;30,"Under",E1065&lt;40,"between",E1065&gt;=40,"plus")</f>
        <v>between</v>
      </c>
    </row>
    <row r="1066" spans="5:6" x14ac:dyDescent="0.35">
      <c r="E1066" s="32">
        <v>29</v>
      </c>
      <c r="F1066" s="22" t="str" cm="1">
        <f t="array" ref="F1066">_xlfn.IFS(E1066&lt;30,"Under",E1066&lt;40,"between",E1066&gt;=40,"plus")</f>
        <v>Under</v>
      </c>
    </row>
    <row r="1067" spans="5:6" x14ac:dyDescent="0.35">
      <c r="E1067" s="32">
        <v>36</v>
      </c>
      <c r="F1067" s="22" t="str" cm="1">
        <f t="array" ref="F1067">_xlfn.IFS(E1067&lt;30,"Under",E1067&lt;40,"between",E1067&gt;=40,"plus")</f>
        <v>between</v>
      </c>
    </row>
    <row r="1068" spans="5:6" x14ac:dyDescent="0.35">
      <c r="E1068" s="32">
        <v>36</v>
      </c>
      <c r="F1068" s="22" t="str" cm="1">
        <f t="array" ref="F1068">_xlfn.IFS(E1068&lt;30,"Under",E1068&lt;40,"between",E1068&gt;=40,"plus")</f>
        <v>between</v>
      </c>
    </row>
    <row r="1069" spans="5:6" x14ac:dyDescent="0.35">
      <c r="E1069" s="32">
        <v>38</v>
      </c>
      <c r="F1069" s="22" t="str" cm="1">
        <f t="array" ref="F1069">_xlfn.IFS(E1069&lt;30,"Under",E1069&lt;40,"between",E1069&gt;=40,"plus")</f>
        <v>between</v>
      </c>
    </row>
    <row r="1070" spans="5:6" x14ac:dyDescent="0.35">
      <c r="E1070" s="32">
        <v>35</v>
      </c>
      <c r="F1070" s="22" t="str" cm="1">
        <f t="array" ref="F1070">_xlfn.IFS(E1070&lt;30,"Under",E1070&lt;40,"between",E1070&gt;=40,"plus")</f>
        <v>between</v>
      </c>
    </row>
    <row r="1071" spans="5:6" x14ac:dyDescent="0.35">
      <c r="E1071" s="32">
        <v>59</v>
      </c>
      <c r="F1071" s="22" t="str" cm="1">
        <f t="array" ref="F1071">_xlfn.IFS(E1071&lt;30,"Under",E1071&lt;40,"between",E1071&gt;=40,"plus")</f>
        <v>plus</v>
      </c>
    </row>
    <row r="1072" spans="5:6" x14ac:dyDescent="0.35">
      <c r="E1072" s="32">
        <v>29</v>
      </c>
      <c r="F1072" s="22" t="str" cm="1">
        <f t="array" ref="F1072">_xlfn.IFS(E1072&lt;30,"Under",E1072&lt;40,"between",E1072&gt;=40,"plus")</f>
        <v>Under</v>
      </c>
    </row>
    <row r="1073" spans="5:6" x14ac:dyDescent="0.35">
      <c r="E1073" s="32">
        <v>37</v>
      </c>
      <c r="F1073" s="22" t="str" cm="1">
        <f t="array" ref="F1073">_xlfn.IFS(E1073&lt;30,"Under",E1073&lt;40,"between",E1073&gt;=40,"plus")</f>
        <v>between</v>
      </c>
    </row>
    <row r="1074" spans="5:6" x14ac:dyDescent="0.35">
      <c r="E1074" s="32">
        <v>36</v>
      </c>
      <c r="F1074" s="22" t="str" cm="1">
        <f t="array" ref="F1074">_xlfn.IFS(E1074&lt;30,"Under",E1074&lt;40,"between",E1074&gt;=40,"plus")</f>
        <v>between</v>
      </c>
    </row>
    <row r="1075" spans="5:6" x14ac:dyDescent="0.35">
      <c r="E1075" s="32">
        <v>49</v>
      </c>
      <c r="F1075" s="22" t="str" cm="1">
        <f t="array" ref="F1075">_xlfn.IFS(E1075&lt;30,"Under",E1075&lt;40,"between",E1075&gt;=40,"plus")</f>
        <v>plus</v>
      </c>
    </row>
    <row r="1076" spans="5:6" x14ac:dyDescent="0.35">
      <c r="E1076" s="32">
        <v>28</v>
      </c>
      <c r="F1076" s="22" t="str" cm="1">
        <f t="array" ref="F1076">_xlfn.IFS(E1076&lt;30,"Under",E1076&lt;40,"between",E1076&gt;=40,"plus")</f>
        <v>Under</v>
      </c>
    </row>
    <row r="1077" spans="5:6" x14ac:dyDescent="0.35">
      <c r="E1077" s="32">
        <v>33</v>
      </c>
      <c r="F1077" s="22" t="str" cm="1">
        <f t="array" ref="F1077">_xlfn.IFS(E1077&lt;30,"Under",E1077&lt;40,"between",E1077&gt;=40,"plus")</f>
        <v>between</v>
      </c>
    </row>
    <row r="1078" spans="5:6" x14ac:dyDescent="0.35">
      <c r="E1078" s="32">
        <v>34</v>
      </c>
      <c r="F1078" s="22" t="str" cm="1">
        <f t="array" ref="F1078">_xlfn.IFS(E1078&lt;30,"Under",E1078&lt;40,"between",E1078&gt;=40,"plus")</f>
        <v>between</v>
      </c>
    </row>
    <row r="1079" spans="5:6" x14ac:dyDescent="0.35">
      <c r="E1079" s="32">
        <v>38</v>
      </c>
      <c r="F1079" s="22" t="str" cm="1">
        <f t="array" ref="F1079">_xlfn.IFS(E1079&lt;30,"Under",E1079&lt;40,"between",E1079&gt;=40,"plus")</f>
        <v>between</v>
      </c>
    </row>
    <row r="1080" spans="5:6" x14ac:dyDescent="0.35">
      <c r="E1080" s="32">
        <v>36</v>
      </c>
      <c r="F1080" s="22" t="str" cm="1">
        <f t="array" ref="F1080">_xlfn.IFS(E1080&lt;30,"Under",E1080&lt;40,"between",E1080&gt;=40,"plus")</f>
        <v>between</v>
      </c>
    </row>
    <row r="1081" spans="5:6" x14ac:dyDescent="0.35">
      <c r="E1081" s="32">
        <v>35</v>
      </c>
      <c r="F1081" s="22" t="str" cm="1">
        <f t="array" ref="F1081">_xlfn.IFS(E1081&lt;30,"Under",E1081&lt;40,"between",E1081&gt;=40,"plus")</f>
        <v>between</v>
      </c>
    </row>
    <row r="1082" spans="5:6" x14ac:dyDescent="0.35">
      <c r="E1082" s="32">
        <v>43</v>
      </c>
      <c r="F1082" s="22" t="str" cm="1">
        <f t="array" ref="F1082">_xlfn.IFS(E1082&lt;30,"Under",E1082&lt;40,"between",E1082&gt;=40,"plus")</f>
        <v>plus</v>
      </c>
    </row>
    <row r="1083" spans="5:6" x14ac:dyDescent="0.35">
      <c r="E1083" s="32">
        <v>38</v>
      </c>
      <c r="F1083" s="22" t="str" cm="1">
        <f t="array" ref="F1083">_xlfn.IFS(E1083&lt;30,"Under",E1083&lt;40,"between",E1083&gt;=40,"plus")</f>
        <v>between</v>
      </c>
    </row>
    <row r="1084" spans="5:6" x14ac:dyDescent="0.35">
      <c r="E1084" s="32">
        <v>44</v>
      </c>
      <c r="F1084" s="22" t="str" cm="1">
        <f t="array" ref="F1084">_xlfn.IFS(E1084&lt;30,"Under",E1084&lt;40,"between",E1084&gt;=40,"plus")</f>
        <v>plus</v>
      </c>
    </row>
    <row r="1085" spans="5:6" x14ac:dyDescent="0.35">
      <c r="E1085" s="32">
        <v>39</v>
      </c>
      <c r="F1085" s="22" t="str" cm="1">
        <f t="array" ref="F1085">_xlfn.IFS(E1085&lt;30,"Under",E1085&lt;40,"between",E1085&gt;=40,"plus")</f>
        <v>between</v>
      </c>
    </row>
    <row r="1086" spans="5:6" x14ac:dyDescent="0.35">
      <c r="E1086" s="32">
        <v>48</v>
      </c>
      <c r="F1086" s="22" t="str" cm="1">
        <f t="array" ref="F1086">_xlfn.IFS(E1086&lt;30,"Under",E1086&lt;40,"between",E1086&gt;=40,"plus")</f>
        <v>plus</v>
      </c>
    </row>
    <row r="1087" spans="5:6" x14ac:dyDescent="0.35">
      <c r="E1087" s="32">
        <v>29</v>
      </c>
      <c r="F1087" s="22" t="str" cm="1">
        <f t="array" ref="F1087">_xlfn.IFS(E1087&lt;30,"Under",E1087&lt;40,"between",E1087&gt;=40,"plus")</f>
        <v>Under</v>
      </c>
    </row>
    <row r="1088" spans="5:6" x14ac:dyDescent="0.35">
      <c r="E1088" s="32">
        <v>40</v>
      </c>
      <c r="F1088" s="22" t="str" cm="1">
        <f t="array" ref="F1088">_xlfn.IFS(E1088&lt;30,"Under",E1088&lt;40,"between",E1088&gt;=40,"plus")</f>
        <v>plus</v>
      </c>
    </row>
    <row r="1089" spans="5:6" x14ac:dyDescent="0.35">
      <c r="E1089" s="32">
        <v>52</v>
      </c>
      <c r="F1089" s="22" t="str" cm="1">
        <f t="array" ref="F1089">_xlfn.IFS(E1089&lt;30,"Under",E1089&lt;40,"between",E1089&gt;=40,"plus")</f>
        <v>plus</v>
      </c>
    </row>
    <row r="1090" spans="5:6" x14ac:dyDescent="0.35">
      <c r="E1090" s="32">
        <v>44</v>
      </c>
      <c r="F1090" s="22" t="str" cm="1">
        <f t="array" ref="F1090">_xlfn.IFS(E1090&lt;30,"Under",E1090&lt;40,"between",E1090&gt;=40,"plus")</f>
        <v>plus</v>
      </c>
    </row>
    <row r="1091" spans="5:6" x14ac:dyDescent="0.35">
      <c r="E1091" s="32">
        <v>29</v>
      </c>
      <c r="F1091" s="22" t="str" cm="1">
        <f t="array" ref="F1091">_xlfn.IFS(E1091&lt;30,"Under",E1091&lt;40,"between",E1091&gt;=40,"plus")</f>
        <v>Under</v>
      </c>
    </row>
    <row r="1092" spans="5:6" x14ac:dyDescent="0.35">
      <c r="E1092" s="32">
        <v>46</v>
      </c>
      <c r="F1092" s="22" t="str" cm="1">
        <f t="array" ref="F1092">_xlfn.IFS(E1092&lt;30,"Under",E1092&lt;40,"between",E1092&gt;=40,"plus")</f>
        <v>plus</v>
      </c>
    </row>
    <row r="1093" spans="5:6" x14ac:dyDescent="0.35">
      <c r="E1093" s="32">
        <v>36</v>
      </c>
      <c r="F1093" s="22" t="str" cm="1">
        <f t="array" ref="F1093">_xlfn.IFS(E1093&lt;30,"Under",E1093&lt;40,"between",E1093&gt;=40,"plus")</f>
        <v>between</v>
      </c>
    </row>
    <row r="1094" spans="5:6" x14ac:dyDescent="0.35">
      <c r="E1094" s="32">
        <v>35</v>
      </c>
      <c r="F1094" s="22" t="str" cm="1">
        <f t="array" ref="F1094">_xlfn.IFS(E1094&lt;30,"Under",E1094&lt;40,"between",E1094&gt;=40,"plus")</f>
        <v>between</v>
      </c>
    </row>
    <row r="1095" spans="5:6" x14ac:dyDescent="0.35">
      <c r="E1095" s="32">
        <v>35</v>
      </c>
      <c r="F1095" s="22" t="str" cm="1">
        <f t="array" ref="F1095">_xlfn.IFS(E1095&lt;30,"Under",E1095&lt;40,"between",E1095&gt;=40,"plus")</f>
        <v>between</v>
      </c>
    </row>
    <row r="1096" spans="5:6" x14ac:dyDescent="0.35">
      <c r="E1096" s="32">
        <v>34</v>
      </c>
      <c r="F1096" s="22" t="str" cm="1">
        <f t="array" ref="F1096">_xlfn.IFS(E1096&lt;30,"Under",E1096&lt;40,"between",E1096&gt;=40,"plus")</f>
        <v>between</v>
      </c>
    </row>
    <row r="1097" spans="5:6" x14ac:dyDescent="0.35">
      <c r="E1097" s="32">
        <v>48</v>
      </c>
      <c r="F1097" s="22" t="str" cm="1">
        <f t="array" ref="F1097">_xlfn.IFS(E1097&lt;30,"Under",E1097&lt;40,"between",E1097&gt;=40,"plus")</f>
        <v>plus</v>
      </c>
    </row>
    <row r="1098" spans="5:6" x14ac:dyDescent="0.35">
      <c r="E1098" s="32">
        <v>31</v>
      </c>
      <c r="F1098" s="22" t="str" cm="1">
        <f t="array" ref="F1098">_xlfn.IFS(E1098&lt;30,"Under",E1098&lt;40,"between",E1098&gt;=40,"plus")</f>
        <v>between</v>
      </c>
    </row>
    <row r="1099" spans="5:6" x14ac:dyDescent="0.35">
      <c r="E1099" s="32">
        <v>41</v>
      </c>
      <c r="F1099" s="22" t="str" cm="1">
        <f t="array" ref="F1099">_xlfn.IFS(E1099&lt;30,"Under",E1099&lt;40,"between",E1099&gt;=40,"plus")</f>
        <v>plus</v>
      </c>
    </row>
    <row r="1100" spans="5:6" x14ac:dyDescent="0.35">
      <c r="E1100" s="32">
        <v>33</v>
      </c>
      <c r="F1100" s="22" t="str" cm="1">
        <f t="array" ref="F1100">_xlfn.IFS(E1100&lt;30,"Under",E1100&lt;40,"between",E1100&gt;=40,"plus")</f>
        <v>between</v>
      </c>
    </row>
    <row r="1101" spans="5:6" x14ac:dyDescent="0.35">
      <c r="E1101" s="32">
        <v>39</v>
      </c>
      <c r="F1101" s="22" t="str" cm="1">
        <f t="array" ref="F1101">_xlfn.IFS(E1101&lt;30,"Under",E1101&lt;40,"between",E1101&gt;=40,"plus")</f>
        <v>between</v>
      </c>
    </row>
    <row r="1102" spans="5:6" x14ac:dyDescent="0.35">
      <c r="E1102" s="32">
        <v>29</v>
      </c>
      <c r="F1102" s="22" t="str" cm="1">
        <f t="array" ref="F1102">_xlfn.IFS(E1102&lt;30,"Under",E1102&lt;40,"between",E1102&gt;=40,"plus")</f>
        <v>Under</v>
      </c>
    </row>
    <row r="1103" spans="5:6" x14ac:dyDescent="0.35">
      <c r="E1103" s="32">
        <v>36</v>
      </c>
      <c r="F1103" s="22" t="str" cm="1">
        <f t="array" ref="F1103">_xlfn.IFS(E1103&lt;30,"Under",E1103&lt;40,"between",E1103&gt;=40,"plus")</f>
        <v>between</v>
      </c>
    </row>
    <row r="1104" spans="5:6" x14ac:dyDescent="0.35">
      <c r="E1104" s="32">
        <v>31</v>
      </c>
      <c r="F1104" s="22" t="str" cm="1">
        <f t="array" ref="F1104">_xlfn.IFS(E1104&lt;30,"Under",E1104&lt;40,"between",E1104&gt;=40,"plus")</f>
        <v>between</v>
      </c>
    </row>
    <row r="1105" spans="5:6" x14ac:dyDescent="0.35">
      <c r="E1105" s="32">
        <v>39</v>
      </c>
      <c r="F1105" s="22" t="str" cm="1">
        <f t="array" ref="F1105">_xlfn.IFS(E1105&lt;30,"Under",E1105&lt;40,"between",E1105&gt;=40,"plus")</f>
        <v>between</v>
      </c>
    </row>
    <row r="1106" spans="5:6" x14ac:dyDescent="0.35">
      <c r="E1106" s="32">
        <v>33</v>
      </c>
      <c r="F1106" s="22" t="str" cm="1">
        <f t="array" ref="F1106">_xlfn.IFS(E1106&lt;30,"Under",E1106&lt;40,"between",E1106&gt;=40,"plus")</f>
        <v>between</v>
      </c>
    </row>
    <row r="1107" spans="5:6" x14ac:dyDescent="0.35">
      <c r="E1107" s="32">
        <v>53</v>
      </c>
      <c r="F1107" s="22" t="str" cm="1">
        <f t="array" ref="F1107">_xlfn.IFS(E1107&lt;30,"Under",E1107&lt;40,"between",E1107&gt;=40,"plus")</f>
        <v>plus</v>
      </c>
    </row>
    <row r="1108" spans="5:6" x14ac:dyDescent="0.35">
      <c r="E1108" s="32">
        <v>41</v>
      </c>
      <c r="F1108" s="22" t="str" cm="1">
        <f t="array" ref="F1108">_xlfn.IFS(E1108&lt;30,"Under",E1108&lt;40,"between",E1108&gt;=40,"plus")</f>
        <v>plus</v>
      </c>
    </row>
    <row r="1109" spans="5:6" x14ac:dyDescent="0.35">
      <c r="E1109" s="32">
        <v>40</v>
      </c>
      <c r="F1109" s="22" t="str" cm="1">
        <f t="array" ref="F1109">_xlfn.IFS(E1109&lt;30,"Under",E1109&lt;40,"between",E1109&gt;=40,"plus")</f>
        <v>plus</v>
      </c>
    </row>
    <row r="1110" spans="5:6" x14ac:dyDescent="0.35">
      <c r="E1110" s="32">
        <v>30</v>
      </c>
      <c r="F1110" s="22" t="str" cm="1">
        <f t="array" ref="F1110">_xlfn.IFS(E1110&lt;30,"Under",E1110&lt;40,"between",E1110&gt;=40,"plus")</f>
        <v>between</v>
      </c>
    </row>
    <row r="1111" spans="5:6" x14ac:dyDescent="0.35">
      <c r="E1111" s="32">
        <v>52</v>
      </c>
      <c r="F1111" s="22" t="str" cm="1">
        <f t="array" ref="F1111">_xlfn.IFS(E1111&lt;30,"Under",E1111&lt;40,"between",E1111&gt;=40,"plus")</f>
        <v>plus</v>
      </c>
    </row>
    <row r="1112" spans="5:6" x14ac:dyDescent="0.35">
      <c r="E1112" s="32">
        <v>28</v>
      </c>
      <c r="F1112" s="22" t="str" cm="1">
        <f t="array" ref="F1112">_xlfn.IFS(E1112&lt;30,"Under",E1112&lt;40,"between",E1112&gt;=40,"plus")</f>
        <v>Under</v>
      </c>
    </row>
    <row r="1113" spans="5:6" x14ac:dyDescent="0.35">
      <c r="E1113" s="32">
        <v>30</v>
      </c>
      <c r="F1113" s="22" t="str" cm="1">
        <f t="array" ref="F1113">_xlfn.IFS(E1113&lt;30,"Under",E1113&lt;40,"between",E1113&gt;=40,"plus")</f>
        <v>between</v>
      </c>
    </row>
    <row r="1114" spans="5:6" x14ac:dyDescent="0.35">
      <c r="E1114" s="32">
        <v>34</v>
      </c>
      <c r="F1114" s="22" t="str" cm="1">
        <f t="array" ref="F1114">_xlfn.IFS(E1114&lt;30,"Under",E1114&lt;40,"between",E1114&gt;=40,"plus")</f>
        <v>between</v>
      </c>
    </row>
    <row r="1115" spans="5:6" x14ac:dyDescent="0.35">
      <c r="E1115" s="32">
        <v>33</v>
      </c>
      <c r="F1115" s="22" t="str" cm="1">
        <f t="array" ref="F1115">_xlfn.IFS(E1115&lt;30,"Under",E1115&lt;40,"between",E1115&gt;=40,"plus")</f>
        <v>between</v>
      </c>
    </row>
    <row r="1116" spans="5:6" x14ac:dyDescent="0.35">
      <c r="E1116" s="32">
        <v>46</v>
      </c>
      <c r="F1116" s="22" t="str" cm="1">
        <f t="array" ref="F1116">_xlfn.IFS(E1116&lt;30,"Under",E1116&lt;40,"between",E1116&gt;=40,"plus")</f>
        <v>plus</v>
      </c>
    </row>
    <row r="1117" spans="5:6" x14ac:dyDescent="0.35">
      <c r="E1117" s="32">
        <v>35</v>
      </c>
      <c r="F1117" s="22" t="str" cm="1">
        <f t="array" ref="F1117">_xlfn.IFS(E1117&lt;30,"Under",E1117&lt;40,"between",E1117&gt;=40,"plus")</f>
        <v>between</v>
      </c>
    </row>
    <row r="1118" spans="5:6" x14ac:dyDescent="0.35">
      <c r="E1118" s="32">
        <v>29</v>
      </c>
      <c r="F1118" s="22" t="str" cm="1">
        <f t="array" ref="F1118">_xlfn.IFS(E1118&lt;30,"Under",E1118&lt;40,"between",E1118&gt;=40,"plus")</f>
        <v>Under</v>
      </c>
    </row>
    <row r="1119" spans="5:6" x14ac:dyDescent="0.35">
      <c r="E1119" s="32">
        <v>34</v>
      </c>
      <c r="F1119" s="22" t="str" cm="1">
        <f t="array" ref="F1119">_xlfn.IFS(E1119&lt;30,"Under",E1119&lt;40,"between",E1119&gt;=40,"plus")</f>
        <v>between</v>
      </c>
    </row>
    <row r="1120" spans="5:6" x14ac:dyDescent="0.35">
      <c r="E1120" s="32">
        <v>34</v>
      </c>
      <c r="F1120" s="22" t="str" cm="1">
        <f t="array" ref="F1120">_xlfn.IFS(E1120&lt;30,"Under",E1120&lt;40,"between",E1120&gt;=40,"plus")</f>
        <v>between</v>
      </c>
    </row>
    <row r="1121" spans="5:6" x14ac:dyDescent="0.35">
      <c r="E1121" s="32">
        <v>47</v>
      </c>
      <c r="F1121" s="22" t="str" cm="1">
        <f t="array" ref="F1121">_xlfn.IFS(E1121&lt;30,"Under",E1121&lt;40,"between",E1121&gt;=40,"plus")</f>
        <v>plus</v>
      </c>
    </row>
    <row r="1122" spans="5:6" x14ac:dyDescent="0.35">
      <c r="E1122" s="32">
        <v>25</v>
      </c>
      <c r="F1122" s="22" t="str" cm="1">
        <f t="array" ref="F1122">_xlfn.IFS(E1122&lt;30,"Under",E1122&lt;40,"between",E1122&gt;=40,"plus")</f>
        <v>Under</v>
      </c>
    </row>
    <row r="1123" spans="5:6" x14ac:dyDescent="0.35">
      <c r="E1123" s="32">
        <v>38</v>
      </c>
      <c r="F1123" s="22" t="str" cm="1">
        <f t="array" ref="F1123">_xlfn.IFS(E1123&lt;30,"Under",E1123&lt;40,"between",E1123&gt;=40,"plus")</f>
        <v>between</v>
      </c>
    </row>
    <row r="1124" spans="5:6" x14ac:dyDescent="0.35">
      <c r="E1124" s="32">
        <v>28</v>
      </c>
      <c r="F1124" s="22" t="str" cm="1">
        <f t="array" ref="F1124">_xlfn.IFS(E1124&lt;30,"Under",E1124&lt;40,"between",E1124&gt;=40,"plus")</f>
        <v>Under</v>
      </c>
    </row>
    <row r="1125" spans="5:6" x14ac:dyDescent="0.35">
      <c r="E1125" s="32">
        <v>27</v>
      </c>
      <c r="F1125" s="22" t="str" cm="1">
        <f t="array" ref="F1125">_xlfn.IFS(E1125&lt;30,"Under",E1125&lt;40,"between",E1125&gt;=40,"plus")</f>
        <v>Under</v>
      </c>
    </row>
    <row r="1126" spans="5:6" x14ac:dyDescent="0.35">
      <c r="E1126" s="32">
        <v>38</v>
      </c>
      <c r="F1126" s="22" t="str" cm="1">
        <f t="array" ref="F1126">_xlfn.IFS(E1126&lt;30,"Under",E1126&lt;40,"between",E1126&gt;=40,"plus")</f>
        <v>between</v>
      </c>
    </row>
    <row r="1127" spans="5:6" x14ac:dyDescent="0.35">
      <c r="E1127" s="32">
        <v>35</v>
      </c>
      <c r="F1127" s="22" t="str" cm="1">
        <f t="array" ref="F1127">_xlfn.IFS(E1127&lt;30,"Under",E1127&lt;40,"between",E1127&gt;=40,"plus")</f>
        <v>between</v>
      </c>
    </row>
    <row r="1128" spans="5:6" x14ac:dyDescent="0.35">
      <c r="E1128" s="32">
        <v>27</v>
      </c>
      <c r="F1128" s="22" t="str" cm="1">
        <f t="array" ref="F1128">_xlfn.IFS(E1128&lt;30,"Under",E1128&lt;40,"between",E1128&gt;=40,"plus")</f>
        <v>Under</v>
      </c>
    </row>
    <row r="1129" spans="5:6" x14ac:dyDescent="0.35">
      <c r="E1129" s="32">
        <v>38</v>
      </c>
      <c r="F1129" s="22" t="str" cm="1">
        <f t="array" ref="F1129">_xlfn.IFS(E1129&lt;30,"Under",E1129&lt;40,"between",E1129&gt;=40,"plus")</f>
        <v>between</v>
      </c>
    </row>
    <row r="1130" spans="5:6" x14ac:dyDescent="0.35">
      <c r="E1130" s="32">
        <v>37</v>
      </c>
      <c r="F1130" s="22" t="str" cm="1">
        <f t="array" ref="F1130">_xlfn.IFS(E1130&lt;30,"Under",E1130&lt;40,"between",E1130&gt;=40,"plus")</f>
        <v>between</v>
      </c>
    </row>
    <row r="1131" spans="5:6" x14ac:dyDescent="0.35">
      <c r="E1131" s="32">
        <v>35</v>
      </c>
      <c r="F1131" s="22" t="str" cm="1">
        <f t="array" ref="F1131">_xlfn.IFS(E1131&lt;30,"Under",E1131&lt;40,"between",E1131&gt;=40,"plus")</f>
        <v>between</v>
      </c>
    </row>
    <row r="1132" spans="5:6" x14ac:dyDescent="0.35">
      <c r="E1132" s="32">
        <v>36</v>
      </c>
      <c r="F1132" s="22" t="str" cm="1">
        <f t="array" ref="F1132">_xlfn.IFS(E1132&lt;30,"Under",E1132&lt;40,"between",E1132&gt;=40,"plus")</f>
        <v>between</v>
      </c>
    </row>
    <row r="1133" spans="5:6" x14ac:dyDescent="0.35">
      <c r="E1133" s="32">
        <v>29</v>
      </c>
      <c r="F1133" s="22" t="str" cm="1">
        <f t="array" ref="F1133">_xlfn.IFS(E1133&lt;30,"Under",E1133&lt;40,"between",E1133&gt;=40,"plus")</f>
        <v>Under</v>
      </c>
    </row>
    <row r="1134" spans="5:6" x14ac:dyDescent="0.35">
      <c r="E1134" s="32">
        <v>36</v>
      </c>
      <c r="F1134" s="22" t="str" cm="1">
        <f t="array" ref="F1134">_xlfn.IFS(E1134&lt;30,"Under",E1134&lt;40,"between",E1134&gt;=40,"plus")</f>
        <v>between</v>
      </c>
    </row>
    <row r="1135" spans="5:6" x14ac:dyDescent="0.35">
      <c r="E1135" s="32">
        <v>45</v>
      </c>
      <c r="F1135" s="22" t="str" cm="1">
        <f t="array" ref="F1135">_xlfn.IFS(E1135&lt;30,"Under",E1135&lt;40,"between",E1135&gt;=40,"plus")</f>
        <v>plus</v>
      </c>
    </row>
    <row r="1136" spans="5:6" x14ac:dyDescent="0.35">
      <c r="E1136" s="32">
        <v>46</v>
      </c>
      <c r="F1136" s="22" t="str" cm="1">
        <f t="array" ref="F1136">_xlfn.IFS(E1136&lt;30,"Under",E1136&lt;40,"between",E1136&gt;=40,"plus")</f>
        <v>plus</v>
      </c>
    </row>
    <row r="1137" spans="5:6" x14ac:dyDescent="0.35">
      <c r="E1137" s="32">
        <v>41</v>
      </c>
      <c r="F1137" s="22" t="str" cm="1">
        <f t="array" ref="F1137">_xlfn.IFS(E1137&lt;30,"Under",E1137&lt;40,"between",E1137&gt;=40,"plus")</f>
        <v>plus</v>
      </c>
    </row>
    <row r="1138" spans="5:6" x14ac:dyDescent="0.35">
      <c r="E1138" s="32">
        <v>31</v>
      </c>
      <c r="F1138" s="22" t="str" cm="1">
        <f t="array" ref="F1138">_xlfn.IFS(E1138&lt;30,"Under",E1138&lt;40,"between",E1138&gt;=40,"plus")</f>
        <v>between</v>
      </c>
    </row>
    <row r="1139" spans="5:6" x14ac:dyDescent="0.35">
      <c r="E1139" s="32">
        <v>35</v>
      </c>
      <c r="F1139" s="22" t="str" cm="1">
        <f t="array" ref="F1139">_xlfn.IFS(E1139&lt;30,"Under",E1139&lt;40,"between",E1139&gt;=40,"plus")</f>
        <v>between</v>
      </c>
    </row>
    <row r="1140" spans="5:6" x14ac:dyDescent="0.35">
      <c r="E1140" s="32">
        <v>32</v>
      </c>
      <c r="F1140" s="22" t="str" cm="1">
        <f t="array" ref="F1140">_xlfn.IFS(E1140&lt;30,"Under",E1140&lt;40,"between",E1140&gt;=40,"plus")</f>
        <v>between</v>
      </c>
    </row>
    <row r="1141" spans="5:6" x14ac:dyDescent="0.35">
      <c r="E1141" s="32">
        <v>35</v>
      </c>
      <c r="F1141" s="22" t="str" cm="1">
        <f t="array" ref="F1141">_xlfn.IFS(E1141&lt;30,"Under",E1141&lt;40,"between",E1141&gt;=40,"plus")</f>
        <v>between</v>
      </c>
    </row>
    <row r="1142" spans="5:6" x14ac:dyDescent="0.35">
      <c r="E1142" s="32">
        <v>46</v>
      </c>
      <c r="F1142" s="22" t="str" cm="1">
        <f t="array" ref="F1142">_xlfn.IFS(E1142&lt;30,"Under",E1142&lt;40,"between",E1142&gt;=40,"plus")</f>
        <v>plus</v>
      </c>
    </row>
    <row r="1143" spans="5:6" x14ac:dyDescent="0.35">
      <c r="E1143" s="32">
        <v>40</v>
      </c>
      <c r="F1143" s="22" t="str" cm="1">
        <f t="array" ref="F1143">_xlfn.IFS(E1143&lt;30,"Under",E1143&lt;40,"between",E1143&gt;=40,"plus")</f>
        <v>plus</v>
      </c>
    </row>
    <row r="1144" spans="5:6" x14ac:dyDescent="0.35">
      <c r="E1144" s="32">
        <v>32</v>
      </c>
      <c r="F1144" s="22" t="str" cm="1">
        <f t="array" ref="F1144">_xlfn.IFS(E1144&lt;30,"Under",E1144&lt;40,"between",E1144&gt;=40,"plus")</f>
        <v>between</v>
      </c>
    </row>
    <row r="1145" spans="5:6" x14ac:dyDescent="0.35">
      <c r="E1145" s="32">
        <v>50</v>
      </c>
      <c r="F1145" s="22" t="str" cm="1">
        <f t="array" ref="F1145">_xlfn.IFS(E1145&lt;30,"Under",E1145&lt;40,"between",E1145&gt;=40,"plus")</f>
        <v>plus</v>
      </c>
    </row>
    <row r="1146" spans="5:6" x14ac:dyDescent="0.35">
      <c r="E1146" s="32">
        <v>41</v>
      </c>
      <c r="F1146" s="22" t="str" cm="1">
        <f t="array" ref="F1146">_xlfn.IFS(E1146&lt;30,"Under",E1146&lt;40,"between",E1146&gt;=40,"plus")</f>
        <v>plus</v>
      </c>
    </row>
    <row r="1147" spans="5:6" x14ac:dyDescent="0.35">
      <c r="E1147" s="32">
        <v>30</v>
      </c>
      <c r="F1147" s="22" t="str" cm="1">
        <f t="array" ref="F1147">_xlfn.IFS(E1147&lt;30,"Under",E1147&lt;40,"between",E1147&gt;=40,"plus")</f>
        <v>between</v>
      </c>
    </row>
    <row r="1148" spans="5:6" x14ac:dyDescent="0.35">
      <c r="E1148" s="32">
        <v>36</v>
      </c>
      <c r="F1148" s="22" t="str" cm="1">
        <f t="array" ref="F1148">_xlfn.IFS(E1148&lt;30,"Under",E1148&lt;40,"between",E1148&gt;=40,"plus")</f>
        <v>between</v>
      </c>
    </row>
    <row r="1149" spans="5:6" x14ac:dyDescent="0.35">
      <c r="E1149" s="32">
        <v>41</v>
      </c>
      <c r="F1149" s="22" t="str" cm="1">
        <f t="array" ref="F1149">_xlfn.IFS(E1149&lt;30,"Under",E1149&lt;40,"between",E1149&gt;=40,"plus")</f>
        <v>plus</v>
      </c>
    </row>
    <row r="1150" spans="5:6" x14ac:dyDescent="0.35">
      <c r="E1150" s="32">
        <v>35</v>
      </c>
      <c r="F1150" s="22" t="str" cm="1">
        <f t="array" ref="F1150">_xlfn.IFS(E1150&lt;30,"Under",E1150&lt;40,"between",E1150&gt;=40,"plus")</f>
        <v>between</v>
      </c>
    </row>
    <row r="1151" spans="5:6" x14ac:dyDescent="0.35">
      <c r="E1151" s="32">
        <v>45</v>
      </c>
      <c r="F1151" s="22" t="str" cm="1">
        <f t="array" ref="F1151">_xlfn.IFS(E1151&lt;30,"Under",E1151&lt;40,"between",E1151&gt;=40,"plus")</f>
        <v>plus</v>
      </c>
    </row>
    <row r="1152" spans="5:6" x14ac:dyDescent="0.35">
      <c r="E1152" s="32">
        <v>46</v>
      </c>
      <c r="F1152" s="22" t="str" cm="1">
        <f t="array" ref="F1152">_xlfn.IFS(E1152&lt;30,"Under",E1152&lt;40,"between",E1152&gt;=40,"plus")</f>
        <v>plus</v>
      </c>
    </row>
    <row r="1153" spans="5:6" x14ac:dyDescent="0.35">
      <c r="E1153" s="32">
        <v>30</v>
      </c>
      <c r="F1153" s="22" t="str" cm="1">
        <f t="array" ref="F1153">_xlfn.IFS(E1153&lt;30,"Under",E1153&lt;40,"between",E1153&gt;=40,"plus")</f>
        <v>between</v>
      </c>
    </row>
    <row r="1154" spans="5:6" x14ac:dyDescent="0.35">
      <c r="E1154" s="32">
        <v>37</v>
      </c>
      <c r="F1154" s="22" t="str" cm="1">
        <f t="array" ref="F1154">_xlfn.IFS(E1154&lt;30,"Under",E1154&lt;40,"between",E1154&gt;=40,"plus")</f>
        <v>between</v>
      </c>
    </row>
    <row r="1155" spans="5:6" x14ac:dyDescent="0.35">
      <c r="E1155" s="32">
        <v>57</v>
      </c>
      <c r="F1155" s="22" t="str" cm="1">
        <f t="array" ref="F1155">_xlfn.IFS(E1155&lt;30,"Under",E1155&lt;40,"between",E1155&gt;=40,"plus")</f>
        <v>plus</v>
      </c>
    </row>
    <row r="1156" spans="5:6" x14ac:dyDescent="0.35">
      <c r="E1156" s="32">
        <v>37</v>
      </c>
      <c r="F1156" s="22" t="str" cm="1">
        <f t="array" ref="F1156">_xlfn.IFS(E1156&lt;30,"Under",E1156&lt;40,"between",E1156&gt;=40,"plus")</f>
        <v>between</v>
      </c>
    </row>
    <row r="1157" spans="5:6" x14ac:dyDescent="0.35">
      <c r="E1157" s="32">
        <v>38</v>
      </c>
      <c r="F1157" s="22" t="str" cm="1">
        <f t="array" ref="F1157">_xlfn.IFS(E1157&lt;30,"Under",E1157&lt;40,"between",E1157&gt;=40,"plus")</f>
        <v>between</v>
      </c>
    </row>
    <row r="1158" spans="5:6" x14ac:dyDescent="0.35">
      <c r="E1158" s="32">
        <v>34</v>
      </c>
      <c r="F1158" s="22" t="str" cm="1">
        <f t="array" ref="F1158">_xlfn.IFS(E1158&lt;30,"Under",E1158&lt;40,"between",E1158&gt;=40,"plus")</f>
        <v>between</v>
      </c>
    </row>
    <row r="1159" spans="5:6" x14ac:dyDescent="0.35">
      <c r="E1159" s="32">
        <v>35</v>
      </c>
      <c r="F1159" s="22" t="str" cm="1">
        <f t="array" ref="F1159">_xlfn.IFS(E1159&lt;30,"Under",E1159&lt;40,"between",E1159&gt;=40,"plus")</f>
        <v>between</v>
      </c>
    </row>
    <row r="1160" spans="5:6" x14ac:dyDescent="0.35">
      <c r="E1160" s="32">
        <v>37</v>
      </c>
      <c r="F1160" s="22" t="str" cm="1">
        <f t="array" ref="F1160">_xlfn.IFS(E1160&lt;30,"Under",E1160&lt;40,"between",E1160&gt;=40,"plus")</f>
        <v>between</v>
      </c>
    </row>
    <row r="1161" spans="5:6" x14ac:dyDescent="0.35">
      <c r="E1161" s="32">
        <v>32</v>
      </c>
      <c r="F1161" s="22" t="str" cm="1">
        <f t="array" ref="F1161">_xlfn.IFS(E1161&lt;30,"Under",E1161&lt;40,"between",E1161&gt;=40,"plus")</f>
        <v>between</v>
      </c>
    </row>
    <row r="1162" spans="5:6" x14ac:dyDescent="0.35">
      <c r="E1162" s="32">
        <v>39</v>
      </c>
      <c r="F1162" s="22" t="str" cm="1">
        <f t="array" ref="F1162">_xlfn.IFS(E1162&lt;30,"Under",E1162&lt;40,"between",E1162&gt;=40,"plus")</f>
        <v>between</v>
      </c>
    </row>
    <row r="1163" spans="5:6" x14ac:dyDescent="0.35">
      <c r="E1163" s="32">
        <v>46</v>
      </c>
      <c r="F1163" s="22" t="str" cm="1">
        <f t="array" ref="F1163">_xlfn.IFS(E1163&lt;30,"Under",E1163&lt;40,"between",E1163&gt;=40,"plus")</f>
        <v>plus</v>
      </c>
    </row>
    <row r="1164" spans="5:6" x14ac:dyDescent="0.35">
      <c r="E1164" s="32">
        <v>31</v>
      </c>
      <c r="F1164" s="22" t="str" cm="1">
        <f t="array" ref="F1164">_xlfn.IFS(E1164&lt;30,"Under",E1164&lt;40,"between",E1164&gt;=40,"plus")</f>
        <v>between</v>
      </c>
    </row>
    <row r="1165" spans="5:6" x14ac:dyDescent="0.35">
      <c r="E1165" s="32">
        <v>30</v>
      </c>
      <c r="F1165" s="22" t="str" cm="1">
        <f t="array" ref="F1165">_xlfn.IFS(E1165&lt;30,"Under",E1165&lt;40,"between",E1165&gt;=40,"plus")</f>
        <v>between</v>
      </c>
    </row>
    <row r="1166" spans="5:6" x14ac:dyDescent="0.35">
      <c r="E1166" s="32">
        <v>32</v>
      </c>
      <c r="F1166" s="22" t="str" cm="1">
        <f t="array" ref="F1166">_xlfn.IFS(E1166&lt;30,"Under",E1166&lt;40,"between",E1166&gt;=40,"plus")</f>
        <v>between</v>
      </c>
    </row>
    <row r="1167" spans="5:6" x14ac:dyDescent="0.35">
      <c r="E1167" s="32">
        <v>36</v>
      </c>
      <c r="F1167" s="22" t="str" cm="1">
        <f t="array" ref="F1167">_xlfn.IFS(E1167&lt;30,"Under",E1167&lt;40,"between",E1167&gt;=40,"plus")</f>
        <v>between</v>
      </c>
    </row>
    <row r="1168" spans="5:6" x14ac:dyDescent="0.35">
      <c r="E1168" s="32">
        <v>40</v>
      </c>
      <c r="F1168" s="22" t="str" cm="1">
        <f t="array" ref="F1168">_xlfn.IFS(E1168&lt;30,"Under",E1168&lt;40,"between",E1168&gt;=40,"plus")</f>
        <v>plus</v>
      </c>
    </row>
    <row r="1169" spans="5:6" x14ac:dyDescent="0.35">
      <c r="E1169" s="32">
        <v>34</v>
      </c>
      <c r="F1169" s="22" t="str" cm="1">
        <f t="array" ref="F1169">_xlfn.IFS(E1169&lt;30,"Under",E1169&lt;40,"between",E1169&gt;=40,"plus")</f>
        <v>between</v>
      </c>
    </row>
    <row r="1170" spans="5:6" x14ac:dyDescent="0.35">
      <c r="E1170" s="32">
        <v>30</v>
      </c>
      <c r="F1170" s="22" t="str" cm="1">
        <f t="array" ref="F1170">_xlfn.IFS(E1170&lt;30,"Under",E1170&lt;40,"between",E1170&gt;=40,"plus")</f>
        <v>between</v>
      </c>
    </row>
    <row r="1171" spans="5:6" x14ac:dyDescent="0.35">
      <c r="E1171" s="32">
        <v>29</v>
      </c>
      <c r="F1171" s="22" t="str" cm="1">
        <f t="array" ref="F1171">_xlfn.IFS(E1171&lt;30,"Under",E1171&lt;40,"between",E1171&gt;=40,"plus")</f>
        <v>Under</v>
      </c>
    </row>
    <row r="1172" spans="5:6" x14ac:dyDescent="0.35">
      <c r="E1172" s="32">
        <v>45</v>
      </c>
      <c r="F1172" s="22" t="str" cm="1">
        <f t="array" ref="F1172">_xlfn.IFS(E1172&lt;30,"Under",E1172&lt;40,"between",E1172&gt;=40,"plus")</f>
        <v>plus</v>
      </c>
    </row>
    <row r="1173" spans="5:6" x14ac:dyDescent="0.35">
      <c r="E1173" s="32">
        <v>34</v>
      </c>
      <c r="F1173" s="22" t="str" cm="1">
        <f t="array" ref="F1173">_xlfn.IFS(E1173&lt;30,"Under",E1173&lt;40,"between",E1173&gt;=40,"plus")</f>
        <v>between</v>
      </c>
    </row>
    <row r="1174" spans="5:6" x14ac:dyDescent="0.35">
      <c r="E1174" s="32">
        <v>36</v>
      </c>
      <c r="F1174" s="22" t="str" cm="1">
        <f t="array" ref="F1174">_xlfn.IFS(E1174&lt;30,"Under",E1174&lt;40,"between",E1174&gt;=40,"plus")</f>
        <v>between</v>
      </c>
    </row>
    <row r="1175" spans="5:6" x14ac:dyDescent="0.35">
      <c r="E1175" s="32">
        <v>45</v>
      </c>
      <c r="F1175" s="22" t="str" cm="1">
        <f t="array" ref="F1175">_xlfn.IFS(E1175&lt;30,"Under",E1175&lt;40,"between",E1175&gt;=40,"plus")</f>
        <v>plus</v>
      </c>
    </row>
    <row r="1176" spans="5:6" x14ac:dyDescent="0.35">
      <c r="E1176" s="32">
        <v>31</v>
      </c>
      <c r="F1176" s="22" t="str" cm="1">
        <f t="array" ref="F1176">_xlfn.IFS(E1176&lt;30,"Under",E1176&lt;40,"between",E1176&gt;=40,"plus")</f>
        <v>between</v>
      </c>
    </row>
    <row r="1177" spans="5:6" x14ac:dyDescent="0.35">
      <c r="E1177" s="32">
        <v>38</v>
      </c>
      <c r="F1177" s="22" t="str" cm="1">
        <f t="array" ref="F1177">_xlfn.IFS(E1177&lt;30,"Under",E1177&lt;40,"between",E1177&gt;=40,"plus")</f>
        <v>between</v>
      </c>
    </row>
    <row r="1178" spans="5:6" x14ac:dyDescent="0.35">
      <c r="E1178" s="32">
        <v>31</v>
      </c>
      <c r="F1178" s="22" t="str" cm="1">
        <f t="array" ref="F1178">_xlfn.IFS(E1178&lt;30,"Under",E1178&lt;40,"between",E1178&gt;=40,"plus")</f>
        <v>between</v>
      </c>
    </row>
    <row r="1179" spans="5:6" x14ac:dyDescent="0.35">
      <c r="E1179" s="32">
        <v>28</v>
      </c>
      <c r="F1179" s="22" t="str" cm="1">
        <f t="array" ref="F1179">_xlfn.IFS(E1179&lt;30,"Under",E1179&lt;40,"between",E1179&gt;=40,"plus")</f>
        <v>Under</v>
      </c>
    </row>
    <row r="1180" spans="5:6" x14ac:dyDescent="0.35">
      <c r="E1180" s="32">
        <v>35</v>
      </c>
      <c r="F1180" s="22" t="str" cm="1">
        <f t="array" ref="F1180">_xlfn.IFS(E1180&lt;30,"Under",E1180&lt;40,"between",E1180&gt;=40,"plus")</f>
        <v>between</v>
      </c>
    </row>
    <row r="1181" spans="5:6" x14ac:dyDescent="0.35">
      <c r="E1181" s="32">
        <v>34</v>
      </c>
      <c r="F1181" s="22" t="str" cm="1">
        <f t="array" ref="F1181">_xlfn.IFS(E1181&lt;30,"Under",E1181&lt;40,"between",E1181&gt;=40,"plus")</f>
        <v>between</v>
      </c>
    </row>
    <row r="1182" spans="5:6" x14ac:dyDescent="0.35">
      <c r="E1182" s="32">
        <v>32</v>
      </c>
      <c r="F1182" s="22" t="str" cm="1">
        <f t="array" ref="F1182">_xlfn.IFS(E1182&lt;30,"Under",E1182&lt;40,"between",E1182&gt;=40,"plus")</f>
        <v>between</v>
      </c>
    </row>
    <row r="1183" spans="5:6" x14ac:dyDescent="0.35">
      <c r="E1183" s="32">
        <v>38</v>
      </c>
      <c r="F1183" s="22" t="str" cm="1">
        <f t="array" ref="F1183">_xlfn.IFS(E1183&lt;30,"Under",E1183&lt;40,"between",E1183&gt;=40,"plus")</f>
        <v>between</v>
      </c>
    </row>
    <row r="1184" spans="5:6" x14ac:dyDescent="0.35">
      <c r="E1184" s="32">
        <v>31</v>
      </c>
      <c r="F1184" s="22" t="str" cm="1">
        <f t="array" ref="F1184">_xlfn.IFS(E1184&lt;30,"Under",E1184&lt;40,"between",E1184&gt;=40,"plus")</f>
        <v>between</v>
      </c>
    </row>
    <row r="1185" spans="5:6" x14ac:dyDescent="0.35">
      <c r="E1185" s="32">
        <v>34</v>
      </c>
      <c r="F1185" s="22" t="str" cm="1">
        <f t="array" ref="F1185">_xlfn.IFS(E1185&lt;30,"Under",E1185&lt;40,"between",E1185&gt;=40,"plus")</f>
        <v>between</v>
      </c>
    </row>
    <row r="1186" spans="5:6" x14ac:dyDescent="0.35">
      <c r="E1186" s="32">
        <v>30</v>
      </c>
      <c r="F1186" s="22" t="str" cm="1">
        <f t="array" ref="F1186">_xlfn.IFS(E1186&lt;30,"Under",E1186&lt;40,"between",E1186&gt;=40,"plus")</f>
        <v>between</v>
      </c>
    </row>
    <row r="1187" spans="5:6" x14ac:dyDescent="0.35">
      <c r="E1187" s="32">
        <v>29</v>
      </c>
      <c r="F1187" s="22" t="str" cm="1">
        <f t="array" ref="F1187">_xlfn.IFS(E1187&lt;30,"Under",E1187&lt;40,"between",E1187&gt;=40,"plus")</f>
        <v>Under</v>
      </c>
    </row>
    <row r="1188" spans="5:6" x14ac:dyDescent="0.35">
      <c r="E1188" s="32">
        <v>36</v>
      </c>
      <c r="F1188" s="22" t="str" cm="1">
        <f t="array" ref="F1188">_xlfn.IFS(E1188&lt;30,"Under",E1188&lt;40,"between",E1188&gt;=40,"plus")</f>
        <v>between</v>
      </c>
    </row>
    <row r="1189" spans="5:6" x14ac:dyDescent="0.35">
      <c r="E1189" s="32">
        <v>27</v>
      </c>
      <c r="F1189" s="22" t="str" cm="1">
        <f t="array" ref="F1189">_xlfn.IFS(E1189&lt;30,"Under",E1189&lt;40,"between",E1189&gt;=40,"plus")</f>
        <v>Under</v>
      </c>
    </row>
    <row r="1190" spans="5:6" x14ac:dyDescent="0.35">
      <c r="E1190" s="32">
        <v>43</v>
      </c>
      <c r="F1190" s="22" t="str" cm="1">
        <f t="array" ref="F1190">_xlfn.IFS(E1190&lt;30,"Under",E1190&lt;40,"between",E1190&gt;=40,"plus")</f>
        <v>plus</v>
      </c>
    </row>
    <row r="1191" spans="5:6" x14ac:dyDescent="0.35">
      <c r="E1191" s="32">
        <v>39</v>
      </c>
      <c r="F1191" s="22" t="str" cm="1">
        <f t="array" ref="F1191">_xlfn.IFS(E1191&lt;30,"Under",E1191&lt;40,"between",E1191&gt;=40,"plus")</f>
        <v>between</v>
      </c>
    </row>
    <row r="1192" spans="5:6" x14ac:dyDescent="0.35">
      <c r="E1192" s="32">
        <v>33</v>
      </c>
      <c r="F1192" s="22" t="str" cm="1">
        <f t="array" ref="F1192">_xlfn.IFS(E1192&lt;30,"Under",E1192&lt;40,"between",E1192&gt;=40,"plus")</f>
        <v>between</v>
      </c>
    </row>
    <row r="1193" spans="5:6" x14ac:dyDescent="0.35">
      <c r="E1193" s="32">
        <v>58</v>
      </c>
      <c r="F1193" s="22" t="str" cm="1">
        <f t="array" ref="F1193">_xlfn.IFS(E1193&lt;30,"Under",E1193&lt;40,"between",E1193&gt;=40,"plus")</f>
        <v>plus</v>
      </c>
    </row>
    <row r="1194" spans="5:6" x14ac:dyDescent="0.35">
      <c r="E1194" s="32">
        <v>37</v>
      </c>
      <c r="F1194" s="22" t="str" cm="1">
        <f t="array" ref="F1194">_xlfn.IFS(E1194&lt;30,"Under",E1194&lt;40,"between",E1194&gt;=40,"plus")</f>
        <v>between</v>
      </c>
    </row>
    <row r="1195" spans="5:6" x14ac:dyDescent="0.35">
      <c r="E1195" s="32">
        <v>36</v>
      </c>
      <c r="F1195" s="22" t="str" cm="1">
        <f t="array" ref="F1195">_xlfn.IFS(E1195&lt;30,"Under",E1195&lt;40,"between",E1195&gt;=40,"plus")</f>
        <v>between</v>
      </c>
    </row>
    <row r="1196" spans="5:6" x14ac:dyDescent="0.35">
      <c r="E1196" s="32">
        <v>46</v>
      </c>
      <c r="F1196" s="22" t="str" cm="1">
        <f t="array" ref="F1196">_xlfn.IFS(E1196&lt;30,"Under",E1196&lt;40,"between",E1196&gt;=40,"plus")</f>
        <v>plus</v>
      </c>
    </row>
    <row r="1197" spans="5:6" x14ac:dyDescent="0.35">
      <c r="E1197" s="32">
        <v>42</v>
      </c>
      <c r="F1197" s="22" t="str" cm="1">
        <f t="array" ref="F1197">_xlfn.IFS(E1197&lt;30,"Under",E1197&lt;40,"between",E1197&gt;=40,"plus")</f>
        <v>plus</v>
      </c>
    </row>
    <row r="1198" spans="5:6" x14ac:dyDescent="0.35">
      <c r="E1198" s="32">
        <v>53</v>
      </c>
      <c r="F1198" s="22" t="str" cm="1">
        <f t="array" ref="F1198">_xlfn.IFS(E1198&lt;30,"Under",E1198&lt;40,"between",E1198&gt;=40,"plus")</f>
        <v>plus</v>
      </c>
    </row>
    <row r="1199" spans="5:6" x14ac:dyDescent="0.35">
      <c r="E1199" s="32">
        <v>44</v>
      </c>
      <c r="F1199" s="22" t="str" cm="1">
        <f t="array" ref="F1199">_xlfn.IFS(E1199&lt;30,"Under",E1199&lt;40,"between",E1199&gt;=40,"plus")</f>
        <v>plus</v>
      </c>
    </row>
    <row r="1200" spans="5:6" x14ac:dyDescent="0.35">
      <c r="E1200" s="32">
        <v>35</v>
      </c>
      <c r="F1200" s="22" t="str" cm="1">
        <f t="array" ref="F1200">_xlfn.IFS(E1200&lt;30,"Under",E1200&lt;40,"between",E1200&gt;=40,"plus")</f>
        <v>between</v>
      </c>
    </row>
    <row r="1201" spans="5:6" x14ac:dyDescent="0.35">
      <c r="E1201" s="32">
        <v>43</v>
      </c>
      <c r="F1201" s="22" t="str" cm="1">
        <f t="array" ref="F1201">_xlfn.IFS(E1201&lt;30,"Under",E1201&lt;40,"between",E1201&gt;=40,"plus")</f>
        <v>plus</v>
      </c>
    </row>
    <row r="1202" spans="5:6" x14ac:dyDescent="0.35">
      <c r="E1202" s="32">
        <v>55</v>
      </c>
      <c r="F1202" s="22" t="str" cm="1">
        <f t="array" ref="F1202">_xlfn.IFS(E1202&lt;30,"Under",E1202&lt;40,"between",E1202&gt;=40,"plus")</f>
        <v>plus</v>
      </c>
    </row>
    <row r="1203" spans="5:6" x14ac:dyDescent="0.35">
      <c r="E1203" s="32">
        <v>44</v>
      </c>
      <c r="F1203" s="22" t="str" cm="1">
        <f t="array" ref="F1203">_xlfn.IFS(E1203&lt;30,"Under",E1203&lt;40,"between",E1203&gt;=40,"plus")</f>
        <v>plus</v>
      </c>
    </row>
    <row r="1204" spans="5:6" x14ac:dyDescent="0.35">
      <c r="E1204" s="32">
        <v>36</v>
      </c>
      <c r="F1204" s="22" t="str" cm="1">
        <f t="array" ref="F1204">_xlfn.IFS(E1204&lt;30,"Under",E1204&lt;40,"between",E1204&gt;=40,"plus")</f>
        <v>between</v>
      </c>
    </row>
    <row r="1205" spans="5:6" x14ac:dyDescent="0.35">
      <c r="E1205" s="32">
        <v>60</v>
      </c>
      <c r="F1205" s="22" t="str" cm="1">
        <f t="array" ref="F1205">_xlfn.IFS(E1205&lt;30,"Under",E1205&lt;40,"between",E1205&gt;=40,"plus")</f>
        <v>plus</v>
      </c>
    </row>
    <row r="1206" spans="5:6" x14ac:dyDescent="0.35">
      <c r="E1206" s="32">
        <v>35</v>
      </c>
      <c r="F1206" s="22" t="str" cm="1">
        <f t="array" ref="F1206">_xlfn.IFS(E1206&lt;30,"Under",E1206&lt;40,"between",E1206&gt;=40,"plus")</f>
        <v>between</v>
      </c>
    </row>
    <row r="1207" spans="5:6" x14ac:dyDescent="0.35">
      <c r="E1207" s="32">
        <v>35</v>
      </c>
      <c r="F1207" s="22" t="str" cm="1">
        <f t="array" ref="F1207">_xlfn.IFS(E1207&lt;30,"Under",E1207&lt;40,"between",E1207&gt;=40,"plus")</f>
        <v>between</v>
      </c>
    </row>
    <row r="1208" spans="5:6" x14ac:dyDescent="0.35">
      <c r="E1208" s="32">
        <v>58</v>
      </c>
      <c r="F1208" s="22" t="str" cm="1">
        <f t="array" ref="F1208">_xlfn.IFS(E1208&lt;30,"Under",E1208&lt;40,"between",E1208&gt;=40,"plus")</f>
        <v>plus</v>
      </c>
    </row>
    <row r="1209" spans="5:6" x14ac:dyDescent="0.35">
      <c r="E1209" s="32">
        <v>40</v>
      </c>
      <c r="F1209" s="22" t="str" cm="1">
        <f t="array" ref="F1209">_xlfn.IFS(E1209&lt;30,"Under",E1209&lt;40,"between",E1209&gt;=40,"plus")</f>
        <v>plus</v>
      </c>
    </row>
    <row r="1210" spans="5:6" x14ac:dyDescent="0.35">
      <c r="E1210" s="32">
        <v>36</v>
      </c>
      <c r="F1210" s="22" t="str" cm="1">
        <f t="array" ref="F1210">_xlfn.IFS(E1210&lt;30,"Under",E1210&lt;40,"between",E1210&gt;=40,"plus")</f>
        <v>between</v>
      </c>
    </row>
    <row r="1211" spans="5:6" x14ac:dyDescent="0.35">
      <c r="E1211" s="32">
        <v>47</v>
      </c>
      <c r="F1211" s="22" t="str" cm="1">
        <f t="array" ref="F1211">_xlfn.IFS(E1211&lt;30,"Under",E1211&lt;40,"between",E1211&gt;=40,"plus")</f>
        <v>plus</v>
      </c>
    </row>
    <row r="1212" spans="5:6" x14ac:dyDescent="0.35">
      <c r="E1212" s="32">
        <v>46</v>
      </c>
      <c r="F1212" s="22" t="str" cm="1">
        <f t="array" ref="F1212">_xlfn.IFS(E1212&lt;30,"Under",E1212&lt;40,"between",E1212&gt;=40,"plus")</f>
        <v>plus</v>
      </c>
    </row>
    <row r="1213" spans="5:6" x14ac:dyDescent="0.35">
      <c r="E1213" s="32">
        <v>35</v>
      </c>
      <c r="F1213" s="22" t="str" cm="1">
        <f t="array" ref="F1213">_xlfn.IFS(E1213&lt;30,"Under",E1213&lt;40,"between",E1213&gt;=40,"plus")</f>
        <v>between</v>
      </c>
    </row>
    <row r="1214" spans="5:6" x14ac:dyDescent="0.35">
      <c r="E1214" s="32">
        <v>35</v>
      </c>
      <c r="F1214" s="22" t="str" cm="1">
        <f t="array" ref="F1214">_xlfn.IFS(E1214&lt;30,"Under",E1214&lt;40,"between",E1214&gt;=40,"plus")</f>
        <v>between</v>
      </c>
    </row>
    <row r="1215" spans="5:6" x14ac:dyDescent="0.35">
      <c r="E1215" s="32">
        <v>32</v>
      </c>
      <c r="F1215" s="22" t="str" cm="1">
        <f t="array" ref="F1215">_xlfn.IFS(E1215&lt;30,"Under",E1215&lt;40,"between",E1215&gt;=40,"plus")</f>
        <v>between</v>
      </c>
    </row>
    <row r="1216" spans="5:6" x14ac:dyDescent="0.35">
      <c r="E1216" s="32">
        <v>32</v>
      </c>
      <c r="F1216" s="22" t="str" cm="1">
        <f t="array" ref="F1216">_xlfn.IFS(E1216&lt;30,"Under",E1216&lt;40,"between",E1216&gt;=40,"plus")</f>
        <v>between</v>
      </c>
    </row>
    <row r="1217" spans="5:6" x14ac:dyDescent="0.35">
      <c r="E1217" s="32">
        <v>40</v>
      </c>
      <c r="F1217" s="22" t="str" cm="1">
        <f t="array" ref="F1217">_xlfn.IFS(E1217&lt;30,"Under",E1217&lt;40,"between",E1217&gt;=40,"plus")</f>
        <v>plus</v>
      </c>
    </row>
    <row r="1218" spans="5:6" x14ac:dyDescent="0.35">
      <c r="E1218" s="32">
        <v>52</v>
      </c>
      <c r="F1218" s="22" t="str" cm="1">
        <f t="array" ref="F1218">_xlfn.IFS(E1218&lt;30,"Under",E1218&lt;40,"between",E1218&gt;=40,"plus")</f>
        <v>plus</v>
      </c>
    </row>
    <row r="1219" spans="5:6" x14ac:dyDescent="0.35">
      <c r="E1219" s="32">
        <v>41</v>
      </c>
      <c r="F1219" s="22" t="str" cm="1">
        <f t="array" ref="F1219">_xlfn.IFS(E1219&lt;30,"Under",E1219&lt;40,"between",E1219&gt;=40,"plus")</f>
        <v>plus</v>
      </c>
    </row>
    <row r="1220" spans="5:6" x14ac:dyDescent="0.35">
      <c r="E1220" s="32">
        <v>53</v>
      </c>
      <c r="F1220" s="22" t="str" cm="1">
        <f t="array" ref="F1220">_xlfn.IFS(E1220&lt;30,"Under",E1220&lt;40,"between",E1220&gt;=40,"plus")</f>
        <v>plus</v>
      </c>
    </row>
    <row r="1221" spans="5:6" x14ac:dyDescent="0.35">
      <c r="E1221" s="32">
        <v>46</v>
      </c>
      <c r="F1221" s="22" t="str" cm="1">
        <f t="array" ref="F1221">_xlfn.IFS(E1221&lt;30,"Under",E1221&lt;40,"between",E1221&gt;=40,"plus")</f>
        <v>plus</v>
      </c>
    </row>
    <row r="1222" spans="5:6" x14ac:dyDescent="0.35">
      <c r="E1222" s="32">
        <v>49</v>
      </c>
      <c r="F1222" s="22" t="str" cm="1">
        <f t="array" ref="F1222">_xlfn.IFS(E1222&lt;30,"Under",E1222&lt;40,"between",E1222&gt;=40,"plus")</f>
        <v>plus</v>
      </c>
    </row>
    <row r="1223" spans="5:6" x14ac:dyDescent="0.35">
      <c r="E1223" s="32">
        <v>40</v>
      </c>
      <c r="F1223" s="22" t="str" cm="1">
        <f t="array" ref="F1223">_xlfn.IFS(E1223&lt;30,"Under",E1223&lt;40,"between",E1223&gt;=40,"plus")</f>
        <v>plus</v>
      </c>
    </row>
    <row r="1224" spans="5:6" x14ac:dyDescent="0.35">
      <c r="E1224" s="32">
        <v>44</v>
      </c>
      <c r="F1224" s="22" t="str" cm="1">
        <f t="array" ref="F1224">_xlfn.IFS(E1224&lt;30,"Under",E1224&lt;40,"between",E1224&gt;=40,"plus")</f>
        <v>plus</v>
      </c>
    </row>
    <row r="1225" spans="5:6" x14ac:dyDescent="0.35">
      <c r="E1225" s="32">
        <v>50</v>
      </c>
      <c r="F1225" s="22" t="str" cm="1">
        <f t="array" ref="F1225">_xlfn.IFS(E1225&lt;30,"Under",E1225&lt;40,"between",E1225&gt;=40,"plus")</f>
        <v>plus</v>
      </c>
    </row>
    <row r="1226" spans="5:6" x14ac:dyDescent="0.35">
      <c r="E1226" s="32">
        <v>54</v>
      </c>
      <c r="F1226" s="22" t="str" cm="1">
        <f t="array" ref="F1226">_xlfn.IFS(E1226&lt;30,"Under",E1226&lt;40,"between",E1226&gt;=40,"plus")</f>
        <v>plus</v>
      </c>
    </row>
    <row r="1227" spans="5:6" x14ac:dyDescent="0.35">
      <c r="E1227" s="32">
        <v>59</v>
      </c>
      <c r="F1227" s="22" t="str" cm="1">
        <f t="array" ref="F1227">_xlfn.IFS(E1227&lt;30,"Under",E1227&lt;40,"between",E1227&gt;=40,"plus")</f>
        <v>plus</v>
      </c>
    </row>
    <row r="1228" spans="5:6" x14ac:dyDescent="0.35">
      <c r="E1228" s="32">
        <v>46</v>
      </c>
      <c r="F1228" s="22" t="str" cm="1">
        <f t="array" ref="F1228">_xlfn.IFS(E1228&lt;30,"Under",E1228&lt;40,"between",E1228&gt;=40,"plus")</f>
        <v>plus</v>
      </c>
    </row>
    <row r="1229" spans="5:6" x14ac:dyDescent="0.35">
      <c r="E1229" s="32">
        <v>58</v>
      </c>
      <c r="F1229" s="22" t="str" cm="1">
        <f t="array" ref="F1229">_xlfn.IFS(E1229&lt;30,"Under",E1229&lt;40,"between",E1229&gt;=40,"plus")</f>
        <v>plus</v>
      </c>
    </row>
    <row r="1230" spans="5:6" x14ac:dyDescent="0.35">
      <c r="E1230" s="32">
        <v>51</v>
      </c>
      <c r="F1230" s="22" t="str" cm="1">
        <f t="array" ref="F1230">_xlfn.IFS(E1230&lt;30,"Under",E1230&lt;40,"between",E1230&gt;=40,"plus")</f>
        <v>plus</v>
      </c>
    </row>
    <row r="1231" spans="5:6" x14ac:dyDescent="0.35">
      <c r="E1231" s="32">
        <v>38</v>
      </c>
      <c r="F1231" s="22" t="str" cm="1">
        <f t="array" ref="F1231">_xlfn.IFS(E1231&lt;30,"Under",E1231&lt;40,"between",E1231&gt;=40,"plus")</f>
        <v>between</v>
      </c>
    </row>
    <row r="1232" spans="5:6" x14ac:dyDescent="0.35">
      <c r="E1232" s="32">
        <v>37</v>
      </c>
      <c r="F1232" s="22" t="str" cm="1">
        <f t="array" ref="F1232">_xlfn.IFS(E1232&lt;30,"Under",E1232&lt;40,"between",E1232&gt;=40,"plus")</f>
        <v>between</v>
      </c>
    </row>
    <row r="1233" spans="5:6" x14ac:dyDescent="0.35">
      <c r="E1233" s="32">
        <v>31</v>
      </c>
      <c r="F1233" s="22" t="str" cm="1">
        <f t="array" ref="F1233">_xlfn.IFS(E1233&lt;30,"Under",E1233&lt;40,"between",E1233&gt;=40,"plus")</f>
        <v>between</v>
      </c>
    </row>
    <row r="1234" spans="5:6" x14ac:dyDescent="0.35">
      <c r="E1234" s="32">
        <v>51</v>
      </c>
      <c r="F1234" s="22" t="str" cm="1">
        <f t="array" ref="F1234">_xlfn.IFS(E1234&lt;30,"Under",E1234&lt;40,"between",E1234&gt;=40,"plus")</f>
        <v>plus</v>
      </c>
    </row>
    <row r="1235" spans="5:6" x14ac:dyDescent="0.35">
      <c r="E1235" s="32">
        <v>46</v>
      </c>
      <c r="F1235" s="22" t="str" cm="1">
        <f t="array" ref="F1235">_xlfn.IFS(E1235&lt;30,"Under",E1235&lt;40,"between",E1235&gt;=40,"plus")</f>
        <v>plus</v>
      </c>
    </row>
    <row r="1236" spans="5:6" x14ac:dyDescent="0.35">
      <c r="E1236" s="32">
        <v>35</v>
      </c>
      <c r="F1236" s="22" t="str" cm="1">
        <f t="array" ref="F1236">_xlfn.IFS(E1236&lt;30,"Under",E1236&lt;40,"between",E1236&gt;=40,"plus")</f>
        <v>between</v>
      </c>
    </row>
    <row r="1237" spans="5:6" x14ac:dyDescent="0.35">
      <c r="E1237" s="32">
        <v>54</v>
      </c>
      <c r="F1237" s="22" t="str" cm="1">
        <f t="array" ref="F1237">_xlfn.IFS(E1237&lt;30,"Under",E1237&lt;40,"between",E1237&gt;=40,"plus")</f>
        <v>plus</v>
      </c>
    </row>
    <row r="1238" spans="5:6" x14ac:dyDescent="0.35">
      <c r="E1238" s="32">
        <v>54</v>
      </c>
      <c r="F1238" s="22" t="str" cm="1">
        <f t="array" ref="F1238">_xlfn.IFS(E1238&lt;30,"Under",E1238&lt;40,"between",E1238&gt;=40,"plus")</f>
        <v>plus</v>
      </c>
    </row>
    <row r="1239" spans="5:6" x14ac:dyDescent="0.35">
      <c r="E1239" s="32">
        <v>54</v>
      </c>
      <c r="F1239" s="22" t="str" cm="1">
        <f t="array" ref="F1239">_xlfn.IFS(E1239&lt;30,"Under",E1239&lt;40,"between",E1239&gt;=40,"plus")</f>
        <v>plus</v>
      </c>
    </row>
    <row r="1240" spans="5:6" x14ac:dyDescent="0.35">
      <c r="E1240" s="32">
        <v>45</v>
      </c>
      <c r="F1240" s="22" t="str" cm="1">
        <f t="array" ref="F1240">_xlfn.IFS(E1240&lt;30,"Under",E1240&lt;40,"between",E1240&gt;=40,"plus")</f>
        <v>plus</v>
      </c>
    </row>
    <row r="1241" spans="5:6" x14ac:dyDescent="0.35">
      <c r="E1241" s="32">
        <v>45</v>
      </c>
      <c r="F1241" s="22" t="str" cm="1">
        <f t="array" ref="F1241">_xlfn.IFS(E1241&lt;30,"Under",E1241&lt;40,"between",E1241&gt;=40,"plus")</f>
        <v>plus</v>
      </c>
    </row>
    <row r="1242" spans="5:6" x14ac:dyDescent="0.35">
      <c r="E1242" s="32">
        <v>31</v>
      </c>
      <c r="F1242" s="22" t="str" cm="1">
        <f t="array" ref="F1242">_xlfn.IFS(E1242&lt;30,"Under",E1242&lt;40,"between",E1242&gt;=40,"plus")</f>
        <v>between</v>
      </c>
    </row>
    <row r="1243" spans="5:6" x14ac:dyDescent="0.35">
      <c r="E1243" s="32">
        <v>43</v>
      </c>
      <c r="F1243" s="22" t="str" cm="1">
        <f t="array" ref="F1243">_xlfn.IFS(E1243&lt;30,"Under",E1243&lt;40,"between",E1243&gt;=40,"plus")</f>
        <v>plus</v>
      </c>
    </row>
    <row r="1244" spans="5:6" x14ac:dyDescent="0.35">
      <c r="E1244" s="32">
        <v>43</v>
      </c>
      <c r="F1244" s="22" t="str" cm="1">
        <f t="array" ref="F1244">_xlfn.IFS(E1244&lt;30,"Under",E1244&lt;40,"between",E1244&gt;=40,"plus")</f>
        <v>plus</v>
      </c>
    </row>
    <row r="1245" spans="5:6" x14ac:dyDescent="0.35">
      <c r="E1245" s="32">
        <v>46</v>
      </c>
      <c r="F1245" s="22" t="str" cm="1">
        <f t="array" ref="F1245">_xlfn.IFS(E1245&lt;30,"Under",E1245&lt;40,"between",E1245&gt;=40,"plus")</f>
        <v>plus</v>
      </c>
    </row>
    <row r="1246" spans="5:6" x14ac:dyDescent="0.35">
      <c r="E1246" s="32">
        <v>45</v>
      </c>
      <c r="F1246" s="22" t="str" cm="1">
        <f t="array" ref="F1246">_xlfn.IFS(E1246&lt;30,"Under",E1246&lt;40,"between",E1246&gt;=40,"plus")</f>
        <v>plus</v>
      </c>
    </row>
    <row r="1247" spans="5:6" x14ac:dyDescent="0.35">
      <c r="E1247" s="32">
        <v>50</v>
      </c>
      <c r="F1247" s="22" t="str" cm="1">
        <f t="array" ref="F1247">_xlfn.IFS(E1247&lt;30,"Under",E1247&lt;40,"between",E1247&gt;=40,"plus")</f>
        <v>plus</v>
      </c>
    </row>
    <row r="1248" spans="5:6" x14ac:dyDescent="0.35">
      <c r="E1248" s="32">
        <v>40</v>
      </c>
      <c r="F1248" s="22" t="str" cm="1">
        <f t="array" ref="F1248">_xlfn.IFS(E1248&lt;30,"Under",E1248&lt;40,"between",E1248&gt;=40,"plus")</f>
        <v>plus</v>
      </c>
    </row>
    <row r="1249" spans="5:6" x14ac:dyDescent="0.35">
      <c r="E1249" s="32">
        <v>39</v>
      </c>
      <c r="F1249" s="22" t="str" cm="1">
        <f t="array" ref="F1249">_xlfn.IFS(E1249&lt;30,"Under",E1249&lt;40,"between",E1249&gt;=40,"plus")</f>
        <v>between</v>
      </c>
    </row>
    <row r="1250" spans="5:6" x14ac:dyDescent="0.35">
      <c r="E1250" s="32">
        <v>60</v>
      </c>
      <c r="F1250" s="22" t="str" cm="1">
        <f t="array" ref="F1250">_xlfn.IFS(E1250&lt;30,"Under",E1250&lt;40,"between",E1250&gt;=40,"plus")</f>
        <v>plus</v>
      </c>
    </row>
    <row r="1251" spans="5:6" x14ac:dyDescent="0.35">
      <c r="E1251" s="32">
        <v>35</v>
      </c>
      <c r="F1251" s="22" t="str" cm="1">
        <f t="array" ref="F1251">_xlfn.IFS(E1251&lt;30,"Under",E1251&lt;40,"between",E1251&gt;=40,"plus")</f>
        <v>between</v>
      </c>
    </row>
    <row r="1252" spans="5:6" x14ac:dyDescent="0.35">
      <c r="E1252" s="32">
        <v>39</v>
      </c>
      <c r="F1252" s="22" t="str" cm="1">
        <f t="array" ref="F1252">_xlfn.IFS(E1252&lt;30,"Under",E1252&lt;40,"between",E1252&gt;=40,"plus")</f>
        <v>between</v>
      </c>
    </row>
    <row r="1253" spans="5:6" x14ac:dyDescent="0.35">
      <c r="E1253" s="32">
        <v>40</v>
      </c>
      <c r="F1253" s="22" t="str" cm="1">
        <f t="array" ref="F1253">_xlfn.IFS(E1253&lt;30,"Under",E1253&lt;40,"between",E1253&gt;=40,"plus")</f>
        <v>plus</v>
      </c>
    </row>
    <row r="1254" spans="5:6" x14ac:dyDescent="0.35">
      <c r="E1254" s="32">
        <v>53</v>
      </c>
      <c r="F1254" s="22" t="str" cm="1">
        <f t="array" ref="F1254">_xlfn.IFS(E1254&lt;30,"Under",E1254&lt;40,"between",E1254&gt;=40,"plus")</f>
        <v>plus</v>
      </c>
    </row>
    <row r="1255" spans="5:6" x14ac:dyDescent="0.35">
      <c r="E1255" s="32">
        <v>39</v>
      </c>
      <c r="F1255" s="22" t="str" cm="1">
        <f t="array" ref="F1255">_xlfn.IFS(E1255&lt;30,"Under",E1255&lt;40,"between",E1255&gt;=40,"plus")</f>
        <v>between</v>
      </c>
    </row>
    <row r="1256" spans="5:6" x14ac:dyDescent="0.35">
      <c r="E1256" s="32">
        <v>49</v>
      </c>
      <c r="F1256" s="22" t="str" cm="1">
        <f t="array" ref="F1256">_xlfn.IFS(E1256&lt;30,"Under",E1256&lt;40,"between",E1256&gt;=40,"plus")</f>
        <v>plus</v>
      </c>
    </row>
    <row r="1257" spans="5:6" x14ac:dyDescent="0.35">
      <c r="E1257" s="32">
        <v>55</v>
      </c>
      <c r="F1257" s="22" t="str" cm="1">
        <f t="array" ref="F1257">_xlfn.IFS(E1257&lt;30,"Under",E1257&lt;40,"between",E1257&gt;=40,"plus")</f>
        <v>plus</v>
      </c>
    </row>
    <row r="1258" spans="5:6" x14ac:dyDescent="0.35">
      <c r="E1258" s="32">
        <v>48</v>
      </c>
      <c r="F1258" s="22" t="str" cm="1">
        <f t="array" ref="F1258">_xlfn.IFS(E1258&lt;30,"Under",E1258&lt;40,"between",E1258&gt;=40,"plus")</f>
        <v>plus</v>
      </c>
    </row>
    <row r="1259" spans="5:6" x14ac:dyDescent="0.35">
      <c r="E1259" s="32">
        <v>31</v>
      </c>
      <c r="F1259" s="22" t="str" cm="1">
        <f t="array" ref="F1259">_xlfn.IFS(E1259&lt;30,"Under",E1259&lt;40,"between",E1259&gt;=40,"plus")</f>
        <v>between</v>
      </c>
    </row>
    <row r="1260" spans="5:6" x14ac:dyDescent="0.35">
      <c r="E1260" s="32">
        <v>56</v>
      </c>
      <c r="F1260" s="22" t="str" cm="1">
        <f t="array" ref="F1260">_xlfn.IFS(E1260&lt;30,"Under",E1260&lt;40,"between",E1260&gt;=40,"plus")</f>
        <v>plus</v>
      </c>
    </row>
    <row r="1261" spans="5:6" x14ac:dyDescent="0.35">
      <c r="E1261" s="32">
        <v>32</v>
      </c>
      <c r="F1261" s="22" t="str" cm="1">
        <f t="array" ref="F1261">_xlfn.IFS(E1261&lt;30,"Under",E1261&lt;40,"between",E1261&gt;=40,"plus")</f>
        <v>between</v>
      </c>
    </row>
    <row r="1262" spans="5:6" x14ac:dyDescent="0.35">
      <c r="E1262" s="32">
        <v>32</v>
      </c>
      <c r="F1262" s="22" t="str" cm="1">
        <f t="array" ref="F1262">_xlfn.IFS(E1262&lt;30,"Under",E1262&lt;40,"between",E1262&gt;=40,"plus")</f>
        <v>between</v>
      </c>
    </row>
    <row r="1263" spans="5:6" x14ac:dyDescent="0.35">
      <c r="E1263" s="32">
        <v>50</v>
      </c>
      <c r="F1263" s="22" t="str" cm="1">
        <f t="array" ref="F1263">_xlfn.IFS(E1263&lt;30,"Under",E1263&lt;40,"between",E1263&gt;=40,"plus")</f>
        <v>plus</v>
      </c>
    </row>
    <row r="1264" spans="5:6" x14ac:dyDescent="0.35">
      <c r="E1264" s="32">
        <v>30</v>
      </c>
      <c r="F1264" s="22" t="str" cm="1">
        <f t="array" ref="F1264">_xlfn.IFS(E1264&lt;30,"Under",E1264&lt;40,"between",E1264&gt;=40,"plus")</f>
        <v>between</v>
      </c>
    </row>
    <row r="1265" spans="5:6" x14ac:dyDescent="0.35">
      <c r="E1265" s="32">
        <v>38</v>
      </c>
      <c r="F1265" s="22" t="str" cm="1">
        <f t="array" ref="F1265">_xlfn.IFS(E1265&lt;30,"Under",E1265&lt;40,"between",E1265&gt;=40,"plus")</f>
        <v>between</v>
      </c>
    </row>
    <row r="1266" spans="5:6" x14ac:dyDescent="0.35">
      <c r="E1266" s="32">
        <v>31</v>
      </c>
      <c r="F1266" s="22" t="str" cm="1">
        <f t="array" ref="F1266">_xlfn.IFS(E1266&lt;30,"Under",E1266&lt;40,"between",E1266&gt;=40,"plus")</f>
        <v>between</v>
      </c>
    </row>
    <row r="1267" spans="5:6" x14ac:dyDescent="0.35">
      <c r="E1267" s="32">
        <v>34</v>
      </c>
      <c r="F1267" s="22" t="str" cm="1">
        <f t="array" ref="F1267">_xlfn.IFS(E1267&lt;30,"Under",E1267&lt;40,"between",E1267&gt;=40,"plus")</f>
        <v>between</v>
      </c>
    </row>
    <row r="1268" spans="5:6" x14ac:dyDescent="0.35">
      <c r="E1268" s="32">
        <v>33</v>
      </c>
      <c r="F1268" s="22" t="str" cm="1">
        <f t="array" ref="F1268">_xlfn.IFS(E1268&lt;30,"Under",E1268&lt;40,"between",E1268&gt;=40,"plus")</f>
        <v>between</v>
      </c>
    </row>
    <row r="1269" spans="5:6" x14ac:dyDescent="0.35">
      <c r="E1269" s="32">
        <v>36</v>
      </c>
      <c r="F1269" s="22" t="str" cm="1">
        <f t="array" ref="F1269">_xlfn.IFS(E1269&lt;30,"Under",E1269&lt;40,"between",E1269&gt;=40,"plus")</f>
        <v>between</v>
      </c>
    </row>
    <row r="1270" spans="5:6" x14ac:dyDescent="0.35">
      <c r="E1270" s="32">
        <v>53</v>
      </c>
      <c r="F1270" s="22" t="str" cm="1">
        <f t="array" ref="F1270">_xlfn.IFS(E1270&lt;30,"Under",E1270&lt;40,"between",E1270&gt;=40,"plus")</f>
        <v>plus</v>
      </c>
    </row>
    <row r="1271" spans="5:6" x14ac:dyDescent="0.35">
      <c r="E1271" s="32">
        <v>47</v>
      </c>
      <c r="F1271" s="22" t="str" cm="1">
        <f t="array" ref="F1271">_xlfn.IFS(E1271&lt;30,"Under",E1271&lt;40,"between",E1271&gt;=40,"plus")</f>
        <v>plus</v>
      </c>
    </row>
    <row r="1272" spans="5:6" x14ac:dyDescent="0.35">
      <c r="E1272" s="32">
        <v>33</v>
      </c>
      <c r="F1272" s="22" t="str" cm="1">
        <f t="array" ref="F1272">_xlfn.IFS(E1272&lt;30,"Under",E1272&lt;40,"between",E1272&gt;=40,"plus")</f>
        <v>between</v>
      </c>
    </row>
    <row r="1273" spans="5:6" x14ac:dyDescent="0.35">
      <c r="E1273" s="32">
        <v>59</v>
      </c>
      <c r="F1273" s="22" t="str" cm="1">
        <f t="array" ref="F1273">_xlfn.IFS(E1273&lt;30,"Under",E1273&lt;40,"between",E1273&gt;=40,"plus")</f>
        <v>plus</v>
      </c>
    </row>
    <row r="1274" spans="5:6" x14ac:dyDescent="0.35">
      <c r="E1274" s="32">
        <v>30</v>
      </c>
      <c r="F1274" s="22" t="str" cm="1">
        <f t="array" ref="F1274">_xlfn.IFS(E1274&lt;30,"Under",E1274&lt;40,"between",E1274&gt;=40,"plus")</f>
        <v>between</v>
      </c>
    </row>
    <row r="1275" spans="5:6" x14ac:dyDescent="0.35">
      <c r="E1275" s="32">
        <v>29</v>
      </c>
      <c r="F1275" s="22" t="str" cm="1">
        <f t="array" ref="F1275">_xlfn.IFS(E1275&lt;30,"Under",E1275&lt;40,"between",E1275&gt;=40,"plus")</f>
        <v>Under</v>
      </c>
    </row>
    <row r="1276" spans="5:6" x14ac:dyDescent="0.35">
      <c r="E1276" s="32">
        <v>47</v>
      </c>
      <c r="F1276" s="22" t="str" cm="1">
        <f t="array" ref="F1276">_xlfn.IFS(E1276&lt;30,"Under",E1276&lt;40,"between",E1276&gt;=40,"plus")</f>
        <v>plus</v>
      </c>
    </row>
    <row r="1277" spans="5:6" x14ac:dyDescent="0.35">
      <c r="E1277" s="32">
        <v>34</v>
      </c>
      <c r="F1277" s="22" t="str" cm="1">
        <f t="array" ref="F1277">_xlfn.IFS(E1277&lt;30,"Under",E1277&lt;40,"between",E1277&gt;=40,"plus")</f>
        <v>between</v>
      </c>
    </row>
    <row r="1278" spans="5:6" x14ac:dyDescent="0.35">
      <c r="E1278" s="32">
        <v>35</v>
      </c>
      <c r="F1278" s="22" t="str" cm="1">
        <f t="array" ref="F1278">_xlfn.IFS(E1278&lt;30,"Under",E1278&lt;40,"between",E1278&gt;=40,"plus")</f>
        <v>between</v>
      </c>
    </row>
    <row r="1279" spans="5:6" x14ac:dyDescent="0.35">
      <c r="E1279" s="32">
        <v>39</v>
      </c>
      <c r="F1279" s="22" t="str" cm="1">
        <f t="array" ref="F1279">_xlfn.IFS(E1279&lt;30,"Under",E1279&lt;40,"between",E1279&gt;=40,"plus")</f>
        <v>between</v>
      </c>
    </row>
    <row r="1280" spans="5:6" x14ac:dyDescent="0.35">
      <c r="E1280" s="32">
        <v>38</v>
      </c>
      <c r="F1280" s="22" t="str" cm="1">
        <f t="array" ref="F1280">_xlfn.IFS(E1280&lt;30,"Under",E1280&lt;40,"between",E1280&gt;=40,"plus")</f>
        <v>between</v>
      </c>
    </row>
    <row r="1281" spans="5:6" x14ac:dyDescent="0.35">
      <c r="E1281" s="32">
        <v>39</v>
      </c>
      <c r="F1281" s="22" t="str" cm="1">
        <f t="array" ref="F1281">_xlfn.IFS(E1281&lt;30,"Under",E1281&lt;40,"between",E1281&gt;=40,"plus")</f>
        <v>between</v>
      </c>
    </row>
    <row r="1282" spans="5:6" x14ac:dyDescent="0.35">
      <c r="E1282" s="32">
        <v>37</v>
      </c>
      <c r="F1282" s="22" t="str" cm="1">
        <f t="array" ref="F1282">_xlfn.IFS(E1282&lt;30,"Under",E1282&lt;40,"between",E1282&gt;=40,"plus")</f>
        <v>between</v>
      </c>
    </row>
    <row r="1283" spans="5:6" x14ac:dyDescent="0.35">
      <c r="E1283" s="32">
        <v>51</v>
      </c>
      <c r="F1283" s="22" t="str" cm="1">
        <f t="array" ref="F1283">_xlfn.IFS(E1283&lt;30,"Under",E1283&lt;40,"between",E1283&gt;=40,"plus")</f>
        <v>plus</v>
      </c>
    </row>
    <row r="1284" spans="5:6" x14ac:dyDescent="0.35">
      <c r="E1284" s="32">
        <v>48</v>
      </c>
      <c r="F1284" s="22" t="str" cm="1">
        <f t="array" ref="F1284">_xlfn.IFS(E1284&lt;30,"Under",E1284&lt;40,"between",E1284&gt;=40,"plus")</f>
        <v>plus</v>
      </c>
    </row>
    <row r="1285" spans="5:6" x14ac:dyDescent="0.35">
      <c r="E1285" s="32">
        <v>39</v>
      </c>
      <c r="F1285" s="22" t="str" cm="1">
        <f t="array" ref="F1285">_xlfn.IFS(E1285&lt;30,"Under",E1285&lt;40,"between",E1285&gt;=40,"plus")</f>
        <v>between</v>
      </c>
    </row>
    <row r="1286" spans="5:6" x14ac:dyDescent="0.35">
      <c r="E1286" s="32">
        <v>27</v>
      </c>
      <c r="F1286" s="22" t="str" cm="1">
        <f t="array" ref="F1286">_xlfn.IFS(E1286&lt;30,"Under",E1286&lt;40,"between",E1286&gt;=40,"plus")</f>
        <v>Under</v>
      </c>
    </row>
    <row r="1287" spans="5:6" x14ac:dyDescent="0.35">
      <c r="E1287" s="32">
        <v>47</v>
      </c>
      <c r="F1287" s="22" t="str" cm="1">
        <f t="array" ref="F1287">_xlfn.IFS(E1287&lt;30,"Under",E1287&lt;40,"between",E1287&gt;=40,"plus")</f>
        <v>plus</v>
      </c>
    </row>
    <row r="1288" spans="5:6" x14ac:dyDescent="0.35">
      <c r="E1288" s="32">
        <v>53</v>
      </c>
      <c r="F1288" s="22" t="str" cm="1">
        <f t="array" ref="F1288">_xlfn.IFS(E1288&lt;30,"Under",E1288&lt;40,"between",E1288&gt;=40,"plus")</f>
        <v>plus</v>
      </c>
    </row>
    <row r="1289" spans="5:6" x14ac:dyDescent="0.35">
      <c r="E1289" s="32">
        <v>51</v>
      </c>
      <c r="F1289" s="22" t="str" cm="1">
        <f t="array" ref="F1289">_xlfn.IFS(E1289&lt;30,"Under",E1289&lt;40,"between",E1289&gt;=40,"plus")</f>
        <v>plus</v>
      </c>
    </row>
    <row r="1290" spans="5:6" x14ac:dyDescent="0.35">
      <c r="E1290" s="32">
        <v>49</v>
      </c>
      <c r="F1290" s="22" t="str" cm="1">
        <f t="array" ref="F1290">_xlfn.IFS(E1290&lt;30,"Under",E1290&lt;40,"between",E1290&gt;=40,"plus")</f>
        <v>plus</v>
      </c>
    </row>
    <row r="1291" spans="5:6" x14ac:dyDescent="0.35">
      <c r="E1291" s="32">
        <v>51</v>
      </c>
      <c r="F1291" s="22" t="str" cm="1">
        <f t="array" ref="F1291">_xlfn.IFS(E1291&lt;30,"Under",E1291&lt;40,"between",E1291&gt;=40,"plus")</f>
        <v>plus</v>
      </c>
    </row>
    <row r="1292" spans="5:6" x14ac:dyDescent="0.35">
      <c r="E1292" s="32">
        <v>42</v>
      </c>
      <c r="F1292" s="22" t="str" cm="1">
        <f t="array" ref="F1292">_xlfn.IFS(E1292&lt;30,"Under",E1292&lt;40,"between",E1292&gt;=40,"plus")</f>
        <v>plus</v>
      </c>
    </row>
    <row r="1293" spans="5:6" x14ac:dyDescent="0.35">
      <c r="E1293" s="32">
        <v>40</v>
      </c>
      <c r="F1293" s="22" t="str" cm="1">
        <f t="array" ref="F1293">_xlfn.IFS(E1293&lt;30,"Under",E1293&lt;40,"between",E1293&gt;=40,"plus")</f>
        <v>plus</v>
      </c>
    </row>
    <row r="1294" spans="5:6" x14ac:dyDescent="0.35">
      <c r="E1294" s="32">
        <v>38</v>
      </c>
      <c r="F1294" s="22" t="str" cm="1">
        <f t="array" ref="F1294">_xlfn.IFS(E1294&lt;30,"Under",E1294&lt;40,"between",E1294&gt;=40,"plus")</f>
        <v>between</v>
      </c>
    </row>
    <row r="1295" spans="5:6" x14ac:dyDescent="0.35">
      <c r="E1295" s="32">
        <v>56</v>
      </c>
      <c r="F1295" s="22" t="str" cm="1">
        <f t="array" ref="F1295">_xlfn.IFS(E1295&lt;30,"Under",E1295&lt;40,"between",E1295&gt;=40,"plus")</f>
        <v>plus</v>
      </c>
    </row>
    <row r="1296" spans="5:6" x14ac:dyDescent="0.35">
      <c r="E1296" s="32">
        <v>46</v>
      </c>
      <c r="F1296" s="22" t="str" cm="1">
        <f t="array" ref="F1296">_xlfn.IFS(E1296&lt;30,"Under",E1296&lt;40,"between",E1296&gt;=40,"plus")</f>
        <v>plus</v>
      </c>
    </row>
    <row r="1297" spans="5:6" x14ac:dyDescent="0.35">
      <c r="E1297" s="32">
        <v>40</v>
      </c>
      <c r="F1297" s="22" t="str" cm="1">
        <f t="array" ref="F1297">_xlfn.IFS(E1297&lt;30,"Under",E1297&lt;40,"between",E1297&gt;=40,"plus")</f>
        <v>plus</v>
      </c>
    </row>
    <row r="1298" spans="5:6" x14ac:dyDescent="0.35">
      <c r="E1298" s="32">
        <v>45</v>
      </c>
      <c r="F1298" s="22" t="str" cm="1">
        <f t="array" ref="F1298">_xlfn.IFS(E1298&lt;30,"Under",E1298&lt;40,"between",E1298&gt;=40,"plus")</f>
        <v>plus</v>
      </c>
    </row>
    <row r="1299" spans="5:6" x14ac:dyDescent="0.35">
      <c r="E1299" s="32">
        <v>52</v>
      </c>
      <c r="F1299" s="22" t="str" cm="1">
        <f t="array" ref="F1299">_xlfn.IFS(E1299&lt;30,"Under",E1299&lt;40,"between",E1299&gt;=40,"plus")</f>
        <v>plus</v>
      </c>
    </row>
    <row r="1300" spans="5:6" x14ac:dyDescent="0.35">
      <c r="E1300" s="32">
        <v>50</v>
      </c>
      <c r="F1300" s="22" t="str" cm="1">
        <f t="array" ref="F1300">_xlfn.IFS(E1300&lt;30,"Under",E1300&lt;40,"between",E1300&gt;=40,"plus")</f>
        <v>plus</v>
      </c>
    </row>
    <row r="1301" spans="5:6" x14ac:dyDescent="0.35">
      <c r="E1301" s="32">
        <v>44</v>
      </c>
      <c r="F1301" s="22" t="str" cm="1">
        <f t="array" ref="F1301">_xlfn.IFS(E1301&lt;30,"Under",E1301&lt;40,"between",E1301&gt;=40,"plus")</f>
        <v>plus</v>
      </c>
    </row>
    <row r="1302" spans="5:6" x14ac:dyDescent="0.35">
      <c r="E1302" s="32">
        <v>39</v>
      </c>
      <c r="F1302" s="22" t="str" cm="1">
        <f t="array" ref="F1302">_xlfn.IFS(E1302&lt;30,"Under",E1302&lt;40,"between",E1302&gt;=40,"plus")</f>
        <v>between</v>
      </c>
    </row>
    <row r="1303" spans="5:6" x14ac:dyDescent="0.35">
      <c r="E1303" s="32">
        <v>42</v>
      </c>
      <c r="F1303" s="22" t="str" cm="1">
        <f t="array" ref="F1303">_xlfn.IFS(E1303&lt;30,"Under",E1303&lt;40,"between",E1303&gt;=40,"plus")</f>
        <v>plus</v>
      </c>
    </row>
    <row r="1304" spans="5:6" x14ac:dyDescent="0.35">
      <c r="E1304" s="32">
        <v>56</v>
      </c>
      <c r="F1304" s="22" t="str" cm="1">
        <f t="array" ref="F1304">_xlfn.IFS(E1304&lt;30,"Under",E1304&lt;40,"between",E1304&gt;=40,"plus")</f>
        <v>plus</v>
      </c>
    </row>
    <row r="1305" spans="5:6" x14ac:dyDescent="0.35">
      <c r="E1305" s="32">
        <v>33</v>
      </c>
      <c r="F1305" s="22" t="str" cm="1">
        <f t="array" ref="F1305">_xlfn.IFS(E1305&lt;30,"Under",E1305&lt;40,"between",E1305&gt;=40,"plus")</f>
        <v>between</v>
      </c>
    </row>
    <row r="1306" spans="5:6" x14ac:dyDescent="0.35">
      <c r="E1306" s="32">
        <v>39</v>
      </c>
      <c r="F1306" s="22" t="str" cm="1">
        <f t="array" ref="F1306">_xlfn.IFS(E1306&lt;30,"Under",E1306&lt;40,"between",E1306&gt;=40,"plus")</f>
        <v>between</v>
      </c>
    </row>
    <row r="1307" spans="5:6" x14ac:dyDescent="0.35">
      <c r="E1307" s="32">
        <v>45</v>
      </c>
      <c r="F1307" s="22" t="str" cm="1">
        <f t="array" ref="F1307">_xlfn.IFS(E1307&lt;30,"Under",E1307&lt;40,"between",E1307&gt;=40,"plus")</f>
        <v>plus</v>
      </c>
    </row>
    <row r="1308" spans="5:6" x14ac:dyDescent="0.35">
      <c r="E1308" s="32">
        <v>40</v>
      </c>
      <c r="F1308" s="22" t="str" cm="1">
        <f t="array" ref="F1308">_xlfn.IFS(E1308&lt;30,"Under",E1308&lt;40,"between",E1308&gt;=40,"plus")</f>
        <v>plus</v>
      </c>
    </row>
    <row r="1309" spans="5:6" x14ac:dyDescent="0.35">
      <c r="E1309" s="32">
        <v>40</v>
      </c>
      <c r="F1309" s="22" t="str" cm="1">
        <f t="array" ref="F1309">_xlfn.IFS(E1309&lt;30,"Under",E1309&lt;40,"between",E1309&gt;=40,"plus")</f>
        <v>plus</v>
      </c>
    </row>
    <row r="1310" spans="5:6" x14ac:dyDescent="0.35">
      <c r="E1310" s="32">
        <v>42</v>
      </c>
      <c r="F1310" s="22" t="str" cm="1">
        <f t="array" ref="F1310">_xlfn.IFS(E1310&lt;30,"Under",E1310&lt;40,"between",E1310&gt;=40,"plus")</f>
        <v>plus</v>
      </c>
    </row>
    <row r="1311" spans="5:6" x14ac:dyDescent="0.35">
      <c r="E1311" s="32">
        <v>54</v>
      </c>
      <c r="F1311" s="22" t="str" cm="1">
        <f t="array" ref="F1311">_xlfn.IFS(E1311&lt;30,"Under",E1311&lt;40,"between",E1311&gt;=40,"plus")</f>
        <v>plus</v>
      </c>
    </row>
    <row r="1312" spans="5:6" x14ac:dyDescent="0.35">
      <c r="E1312" s="32">
        <v>41</v>
      </c>
      <c r="F1312" s="22" t="str" cm="1">
        <f t="array" ref="F1312">_xlfn.IFS(E1312&lt;30,"Under",E1312&lt;40,"between",E1312&gt;=40,"plus")</f>
        <v>plus</v>
      </c>
    </row>
    <row r="1313" spans="5:6" x14ac:dyDescent="0.35">
      <c r="E1313" s="32">
        <v>55</v>
      </c>
      <c r="F1313" s="22" t="str" cm="1">
        <f t="array" ref="F1313">_xlfn.IFS(E1313&lt;30,"Under",E1313&lt;40,"between",E1313&gt;=40,"plus")</f>
        <v>plus</v>
      </c>
    </row>
    <row r="1314" spans="5:6" x14ac:dyDescent="0.35">
      <c r="E1314" s="32">
        <v>38</v>
      </c>
      <c r="F1314" s="22" t="str" cm="1">
        <f t="array" ref="F1314">_xlfn.IFS(E1314&lt;30,"Under",E1314&lt;40,"between",E1314&gt;=40,"plus")</f>
        <v>between</v>
      </c>
    </row>
    <row r="1315" spans="5:6" x14ac:dyDescent="0.35">
      <c r="E1315" s="32">
        <v>41</v>
      </c>
      <c r="F1315" s="22" t="str" cm="1">
        <f t="array" ref="F1315">_xlfn.IFS(E1315&lt;30,"Under",E1315&lt;40,"between",E1315&gt;=40,"plus")</f>
        <v>plus</v>
      </c>
    </row>
    <row r="1316" spans="5:6" x14ac:dyDescent="0.35">
      <c r="E1316" s="32">
        <v>37</v>
      </c>
      <c r="F1316" s="22" t="str" cm="1">
        <f t="array" ref="F1316">_xlfn.IFS(E1316&lt;30,"Under",E1316&lt;40,"between",E1316&gt;=40,"plus")</f>
        <v>between</v>
      </c>
    </row>
    <row r="1317" spans="5:6" x14ac:dyDescent="0.35">
      <c r="E1317" s="32">
        <v>33</v>
      </c>
      <c r="F1317" s="22" t="str" cm="1">
        <f t="array" ref="F1317">_xlfn.IFS(E1317&lt;30,"Under",E1317&lt;40,"between",E1317&gt;=40,"plus")</f>
        <v>between</v>
      </c>
    </row>
    <row r="1318" spans="5:6" x14ac:dyDescent="0.35">
      <c r="E1318" s="32">
        <v>37</v>
      </c>
      <c r="F1318" s="22" t="str" cm="1">
        <f t="array" ref="F1318">_xlfn.IFS(E1318&lt;30,"Under",E1318&lt;40,"between",E1318&gt;=40,"plus")</f>
        <v>between</v>
      </c>
    </row>
    <row r="1319" spans="5:6" x14ac:dyDescent="0.35">
      <c r="E1319" s="32">
        <v>31</v>
      </c>
      <c r="F1319" s="22" t="str" cm="1">
        <f t="array" ref="F1319">_xlfn.IFS(E1319&lt;30,"Under",E1319&lt;40,"between",E1319&gt;=40,"plus")</f>
        <v>between</v>
      </c>
    </row>
    <row r="1320" spans="5:6" x14ac:dyDescent="0.35">
      <c r="E1320" s="32">
        <v>55</v>
      </c>
      <c r="F1320" s="22" t="str" cm="1">
        <f t="array" ref="F1320">_xlfn.IFS(E1320&lt;30,"Under",E1320&lt;40,"between",E1320&gt;=40,"plus")</f>
        <v>plus</v>
      </c>
    </row>
    <row r="1321" spans="5:6" x14ac:dyDescent="0.35">
      <c r="E1321" s="32">
        <v>59</v>
      </c>
      <c r="F1321" s="22" t="str" cm="1">
        <f t="array" ref="F1321">_xlfn.IFS(E1321&lt;30,"Under",E1321&lt;40,"between",E1321&gt;=40,"plus")</f>
        <v>plus</v>
      </c>
    </row>
    <row r="1322" spans="5:6" x14ac:dyDescent="0.35">
      <c r="E1322" s="32">
        <v>51</v>
      </c>
      <c r="F1322" s="22" t="str" cm="1">
        <f t="array" ref="F1322">_xlfn.IFS(E1322&lt;30,"Under",E1322&lt;40,"between",E1322&gt;=40,"plus")</f>
        <v>plus</v>
      </c>
    </row>
    <row r="1323" spans="5:6" x14ac:dyDescent="0.35">
      <c r="E1323" s="32">
        <v>37</v>
      </c>
      <c r="F1323" s="22" t="str" cm="1">
        <f t="array" ref="F1323">_xlfn.IFS(E1323&lt;30,"Under",E1323&lt;40,"between",E1323&gt;=40,"plus")</f>
        <v>between</v>
      </c>
    </row>
    <row r="1324" spans="5:6" x14ac:dyDescent="0.35">
      <c r="E1324" s="32">
        <v>40</v>
      </c>
      <c r="F1324" s="22" t="str" cm="1">
        <f t="array" ref="F1324">_xlfn.IFS(E1324&lt;30,"Under",E1324&lt;40,"between",E1324&gt;=40,"plus")</f>
        <v>plus</v>
      </c>
    </row>
    <row r="1325" spans="5:6" x14ac:dyDescent="0.35">
      <c r="E1325" s="32">
        <v>42</v>
      </c>
      <c r="F1325" s="22" t="str" cm="1">
        <f t="array" ref="F1325">_xlfn.IFS(E1325&lt;30,"Under",E1325&lt;40,"between",E1325&gt;=40,"plus")</f>
        <v>plus</v>
      </c>
    </row>
    <row r="1326" spans="5:6" x14ac:dyDescent="0.35">
      <c r="E1326" s="32">
        <v>47</v>
      </c>
      <c r="F1326" s="22" t="str" cm="1">
        <f t="array" ref="F1326">_xlfn.IFS(E1326&lt;30,"Under",E1326&lt;40,"between",E1326&gt;=40,"plus")</f>
        <v>plus</v>
      </c>
    </row>
    <row r="1327" spans="5:6" x14ac:dyDescent="0.35">
      <c r="E1327" s="32">
        <v>52</v>
      </c>
      <c r="F1327" s="22" t="str" cm="1">
        <f t="array" ref="F1327">_xlfn.IFS(E1327&lt;30,"Under",E1327&lt;40,"between",E1327&gt;=40,"plus")</f>
        <v>plus</v>
      </c>
    </row>
    <row r="1328" spans="5:6" x14ac:dyDescent="0.35">
      <c r="E1328" s="32">
        <v>58</v>
      </c>
      <c r="F1328" s="22" t="str" cm="1">
        <f t="array" ref="F1328">_xlfn.IFS(E1328&lt;30,"Under",E1328&lt;40,"between",E1328&gt;=40,"plus")</f>
        <v>plus</v>
      </c>
    </row>
    <row r="1329" spans="5:6" x14ac:dyDescent="0.35">
      <c r="E1329" s="32">
        <v>49</v>
      </c>
      <c r="F1329" s="22" t="str" cm="1">
        <f t="array" ref="F1329">_xlfn.IFS(E1329&lt;30,"Under",E1329&lt;40,"between",E1329&gt;=40,"plus")</f>
        <v>plus</v>
      </c>
    </row>
    <row r="1330" spans="5:6" x14ac:dyDescent="0.35">
      <c r="E1330" s="32">
        <v>49</v>
      </c>
      <c r="F1330" s="22" t="str" cm="1">
        <f t="array" ref="F1330">_xlfn.IFS(E1330&lt;30,"Under",E1330&lt;40,"between",E1330&gt;=40,"plus")</f>
        <v>plus</v>
      </c>
    </row>
    <row r="1331" spans="5:6" x14ac:dyDescent="0.35">
      <c r="E1331" s="32">
        <v>50</v>
      </c>
      <c r="F1331" s="22" t="str" cm="1">
        <f t="array" ref="F1331">_xlfn.IFS(E1331&lt;30,"Under",E1331&lt;40,"between",E1331&gt;=40,"plus")</f>
        <v>plus</v>
      </c>
    </row>
    <row r="1332" spans="5:6" x14ac:dyDescent="0.35">
      <c r="E1332" s="32">
        <v>51</v>
      </c>
      <c r="F1332" s="22" t="str" cm="1">
        <f t="array" ref="F1332">_xlfn.IFS(E1332&lt;30,"Under",E1332&lt;40,"between",E1332&gt;=40,"plus")</f>
        <v>plus</v>
      </c>
    </row>
    <row r="1333" spans="5:6" x14ac:dyDescent="0.35">
      <c r="E1333" s="32">
        <v>57</v>
      </c>
      <c r="F1333" s="22" t="str" cm="1">
        <f t="array" ref="F1333">_xlfn.IFS(E1333&lt;30,"Under",E1333&lt;40,"between",E1333&gt;=40,"plus")</f>
        <v>plus</v>
      </c>
    </row>
    <row r="1334" spans="5:6" x14ac:dyDescent="0.35">
      <c r="E1334" s="32">
        <v>53</v>
      </c>
      <c r="F1334" s="22" t="str" cm="1">
        <f t="array" ref="F1334">_xlfn.IFS(E1334&lt;30,"Under",E1334&lt;40,"between",E1334&gt;=40,"plus")</f>
        <v>plus</v>
      </c>
    </row>
    <row r="1335" spans="5:6" x14ac:dyDescent="0.35">
      <c r="E1335" s="32">
        <v>43</v>
      </c>
      <c r="F1335" s="22" t="str" cm="1">
        <f t="array" ref="F1335">_xlfn.IFS(E1335&lt;30,"Under",E1335&lt;40,"between",E1335&gt;=40,"plus")</f>
        <v>plus</v>
      </c>
    </row>
    <row r="1336" spans="5:6" x14ac:dyDescent="0.35">
      <c r="E1336" s="32">
        <v>50</v>
      </c>
      <c r="F1336" s="22" t="str" cm="1">
        <f t="array" ref="F1336">_xlfn.IFS(E1336&lt;30,"Under",E1336&lt;40,"between",E1336&gt;=40,"plus")</f>
        <v>plus</v>
      </c>
    </row>
    <row r="1337" spans="5:6" x14ac:dyDescent="0.35">
      <c r="E1337" s="32">
        <v>55</v>
      </c>
      <c r="F1337" s="22" t="str" cm="1">
        <f t="array" ref="F1337">_xlfn.IFS(E1337&lt;30,"Under",E1337&lt;40,"between",E1337&gt;=40,"plus")</f>
        <v>plus</v>
      </c>
    </row>
    <row r="1338" spans="5:6" x14ac:dyDescent="0.35">
      <c r="E1338" s="32">
        <v>55</v>
      </c>
      <c r="F1338" s="22" t="str" cm="1">
        <f t="array" ref="F1338">_xlfn.IFS(E1338&lt;30,"Under",E1338&lt;40,"between",E1338&gt;=40,"plus")</f>
        <v>plus</v>
      </c>
    </row>
    <row r="1339" spans="5:6" x14ac:dyDescent="0.35">
      <c r="E1339" s="32">
        <v>53</v>
      </c>
      <c r="F1339" s="22" t="str" cm="1">
        <f t="array" ref="F1339">_xlfn.IFS(E1339&lt;30,"Under",E1339&lt;40,"between",E1339&gt;=40,"plus")</f>
        <v>plus</v>
      </c>
    </row>
    <row r="1340" spans="5:6" x14ac:dyDescent="0.35">
      <c r="E1340" s="32">
        <v>53</v>
      </c>
      <c r="F1340" s="22" t="str" cm="1">
        <f t="array" ref="F1340">_xlfn.IFS(E1340&lt;30,"Under",E1340&lt;40,"between",E1340&gt;=40,"plus")</f>
        <v>plus</v>
      </c>
    </row>
    <row r="1341" spans="5:6" x14ac:dyDescent="0.35">
      <c r="E1341" s="32">
        <v>48</v>
      </c>
      <c r="F1341" s="22" t="str" cm="1">
        <f t="array" ref="F1341">_xlfn.IFS(E1341&lt;30,"Under",E1341&lt;40,"between",E1341&gt;=40,"plus")</f>
        <v>plus</v>
      </c>
    </row>
    <row r="1342" spans="5:6" x14ac:dyDescent="0.35">
      <c r="E1342" s="32">
        <v>49</v>
      </c>
      <c r="F1342" s="22" t="str" cm="1">
        <f t="array" ref="F1342">_xlfn.IFS(E1342&lt;30,"Under",E1342&lt;40,"between",E1342&gt;=40,"plus")</f>
        <v>plus</v>
      </c>
    </row>
    <row r="1343" spans="5:6" x14ac:dyDescent="0.35">
      <c r="E1343" s="32">
        <v>48</v>
      </c>
      <c r="F1343" s="22" t="str" cm="1">
        <f t="array" ref="F1343">_xlfn.IFS(E1343&lt;30,"Under",E1343&lt;40,"between",E1343&gt;=40,"plus")</f>
        <v>plus</v>
      </c>
    </row>
    <row r="1344" spans="5:6" x14ac:dyDescent="0.35">
      <c r="E1344" s="32">
        <v>53</v>
      </c>
      <c r="F1344" s="22" t="str" cm="1">
        <f t="array" ref="F1344">_xlfn.IFS(E1344&lt;30,"Under",E1344&lt;40,"between",E1344&gt;=40,"plus")</f>
        <v>plus</v>
      </c>
    </row>
    <row r="1345" spans="5:6" x14ac:dyDescent="0.35">
      <c r="E1345" s="32">
        <v>58</v>
      </c>
      <c r="F1345" s="22" t="str" cm="1">
        <f t="array" ref="F1345">_xlfn.IFS(E1345&lt;30,"Under",E1345&lt;40,"between",E1345&gt;=40,"plus")</f>
        <v>plus</v>
      </c>
    </row>
    <row r="1346" spans="5:6" x14ac:dyDescent="0.35">
      <c r="E1346" s="32">
        <v>47</v>
      </c>
      <c r="F1346" s="22" t="str" cm="1">
        <f t="array" ref="F1346">_xlfn.IFS(E1346&lt;30,"Under",E1346&lt;40,"between",E1346&gt;=40,"plus")</f>
        <v>plus</v>
      </c>
    </row>
    <row r="1347" spans="5:6" x14ac:dyDescent="0.35">
      <c r="E1347" s="32">
        <v>42</v>
      </c>
      <c r="F1347" s="22" t="str" cm="1">
        <f t="array" ref="F1347">_xlfn.IFS(E1347&lt;30,"Under",E1347&lt;40,"between",E1347&gt;=40,"plus")</f>
        <v>plus</v>
      </c>
    </row>
    <row r="1348" spans="5:6" x14ac:dyDescent="0.35">
      <c r="E1348" s="32">
        <v>41</v>
      </c>
      <c r="F1348" s="22" t="str" cm="1">
        <f t="array" ref="F1348">_xlfn.IFS(E1348&lt;30,"Under",E1348&lt;40,"between",E1348&gt;=40,"plus")</f>
        <v>plus</v>
      </c>
    </row>
    <row r="1349" spans="5:6" x14ac:dyDescent="0.35">
      <c r="E1349" s="32">
        <v>54</v>
      </c>
      <c r="F1349" s="22" t="str" cm="1">
        <f t="array" ref="F1349">_xlfn.IFS(E1349&lt;30,"Under",E1349&lt;40,"between",E1349&gt;=40,"plus")</f>
        <v>plus</v>
      </c>
    </row>
    <row r="1350" spans="5:6" x14ac:dyDescent="0.35">
      <c r="E1350" s="32">
        <v>43</v>
      </c>
      <c r="F1350" s="22" t="str" cm="1">
        <f t="array" ref="F1350">_xlfn.IFS(E1350&lt;30,"Under",E1350&lt;40,"between",E1350&gt;=40,"plus")</f>
        <v>plus</v>
      </c>
    </row>
    <row r="1351" spans="5:6" x14ac:dyDescent="0.35">
      <c r="E1351" s="32">
        <v>29</v>
      </c>
      <c r="F1351" s="22" t="str" cm="1">
        <f t="array" ref="F1351">_xlfn.IFS(E1351&lt;30,"Under",E1351&lt;40,"between",E1351&gt;=40,"plus")</f>
        <v>Under</v>
      </c>
    </row>
    <row r="1352" spans="5:6" x14ac:dyDescent="0.35">
      <c r="E1352" s="32">
        <v>33</v>
      </c>
      <c r="F1352" s="22" t="str" cm="1">
        <f t="array" ref="F1352">_xlfn.IFS(E1352&lt;30,"Under",E1352&lt;40,"between",E1352&gt;=40,"plus")</f>
        <v>between</v>
      </c>
    </row>
    <row r="1353" spans="5:6" x14ac:dyDescent="0.35">
      <c r="E1353" s="32">
        <v>58</v>
      </c>
      <c r="F1353" s="22" t="str" cm="1">
        <f t="array" ref="F1353">_xlfn.IFS(E1353&lt;30,"Under",E1353&lt;40,"between",E1353&gt;=40,"plus")</f>
        <v>plus</v>
      </c>
    </row>
    <row r="1354" spans="5:6" x14ac:dyDescent="0.35">
      <c r="E1354" s="32">
        <v>51</v>
      </c>
      <c r="F1354" s="22" t="str" cm="1">
        <f t="array" ref="F1354">_xlfn.IFS(E1354&lt;30,"Under",E1354&lt;40,"between",E1354&gt;=40,"plus")</f>
        <v>plus</v>
      </c>
    </row>
    <row r="1355" spans="5:6" x14ac:dyDescent="0.35">
      <c r="E1355" s="32">
        <v>44</v>
      </c>
      <c r="F1355" s="22" t="str" cm="1">
        <f t="array" ref="F1355">_xlfn.IFS(E1355&lt;30,"Under",E1355&lt;40,"between",E1355&gt;=40,"plus")</f>
        <v>plus</v>
      </c>
    </row>
    <row r="1356" spans="5:6" x14ac:dyDescent="0.35">
      <c r="E1356" s="32">
        <v>49</v>
      </c>
      <c r="F1356" s="22" t="str" cm="1">
        <f t="array" ref="F1356">_xlfn.IFS(E1356&lt;30,"Under",E1356&lt;40,"between",E1356&gt;=40,"plus")</f>
        <v>plus</v>
      </c>
    </row>
    <row r="1357" spans="5:6" x14ac:dyDescent="0.35">
      <c r="E1357" s="32">
        <v>31</v>
      </c>
      <c r="F1357" s="22" t="str" cm="1">
        <f t="array" ref="F1357">_xlfn.IFS(E1357&lt;30,"Under",E1357&lt;40,"between",E1357&gt;=40,"plus")</f>
        <v>between</v>
      </c>
    </row>
    <row r="1358" spans="5:6" x14ac:dyDescent="0.35">
      <c r="E1358" s="32">
        <v>40</v>
      </c>
      <c r="F1358" s="22" t="str" cm="1">
        <f t="array" ref="F1358">_xlfn.IFS(E1358&lt;30,"Under",E1358&lt;40,"between",E1358&gt;=40,"plus")</f>
        <v>plus</v>
      </c>
    </row>
    <row r="1359" spans="5:6" x14ac:dyDescent="0.35">
      <c r="E1359" s="32">
        <v>52</v>
      </c>
      <c r="F1359" s="22" t="str" cm="1">
        <f t="array" ref="F1359">_xlfn.IFS(E1359&lt;30,"Under",E1359&lt;40,"between",E1359&gt;=40,"plus")</f>
        <v>plus</v>
      </c>
    </row>
    <row r="1360" spans="5:6" x14ac:dyDescent="0.35">
      <c r="E1360" s="32">
        <v>41</v>
      </c>
      <c r="F1360" s="22" t="str" cm="1">
        <f t="array" ref="F1360">_xlfn.IFS(E1360&lt;30,"Under",E1360&lt;40,"between",E1360&gt;=40,"plus")</f>
        <v>plus</v>
      </c>
    </row>
    <row r="1361" spans="5:6" x14ac:dyDescent="0.35">
      <c r="E1361" s="32">
        <v>53</v>
      </c>
      <c r="F1361" s="22" t="str" cm="1">
        <f t="array" ref="F1361">_xlfn.IFS(E1361&lt;30,"Under",E1361&lt;40,"between",E1361&gt;=40,"plus")</f>
        <v>plus</v>
      </c>
    </row>
    <row r="1362" spans="5:6" x14ac:dyDescent="0.35">
      <c r="E1362" s="32">
        <v>46</v>
      </c>
      <c r="F1362" s="22" t="str" cm="1">
        <f t="array" ref="F1362">_xlfn.IFS(E1362&lt;30,"Under",E1362&lt;40,"between",E1362&gt;=40,"plus")</f>
        <v>plus</v>
      </c>
    </row>
    <row r="1363" spans="5:6" x14ac:dyDescent="0.35">
      <c r="E1363" s="32">
        <v>43</v>
      </c>
      <c r="F1363" s="22" t="str" cm="1">
        <f t="array" ref="F1363">_xlfn.IFS(E1363&lt;30,"Under",E1363&lt;40,"between",E1363&gt;=40,"plus")</f>
        <v>plus</v>
      </c>
    </row>
    <row r="1364" spans="5:6" x14ac:dyDescent="0.35">
      <c r="E1364" s="32">
        <v>55</v>
      </c>
      <c r="F1364" s="22" t="str" cm="1">
        <f t="array" ref="F1364">_xlfn.IFS(E1364&lt;30,"Under",E1364&lt;40,"between",E1364&gt;=40,"plus")</f>
        <v>plus</v>
      </c>
    </row>
    <row r="1365" spans="5:6" x14ac:dyDescent="0.35">
      <c r="E1365" s="32">
        <v>45</v>
      </c>
      <c r="F1365" s="22" t="str" cm="1">
        <f t="array" ref="F1365">_xlfn.IFS(E1365&lt;30,"Under",E1365&lt;40,"between",E1365&gt;=40,"plus")</f>
        <v>plus</v>
      </c>
    </row>
    <row r="1366" spans="5:6" x14ac:dyDescent="0.35">
      <c r="E1366" s="32">
        <v>47</v>
      </c>
      <c r="F1366" s="22" t="str" cm="1">
        <f t="array" ref="F1366">_xlfn.IFS(E1366&lt;30,"Under",E1366&lt;40,"between",E1366&gt;=40,"plus")</f>
        <v>plus</v>
      </c>
    </row>
    <row r="1367" spans="5:6" x14ac:dyDescent="0.35">
      <c r="E1367" s="32">
        <v>55</v>
      </c>
      <c r="F1367" s="22" t="str" cm="1">
        <f t="array" ref="F1367">_xlfn.IFS(E1367&lt;30,"Under",E1367&lt;40,"between",E1367&gt;=40,"plus")</f>
        <v>plus</v>
      </c>
    </row>
    <row r="1368" spans="5:6" x14ac:dyDescent="0.35">
      <c r="E1368" s="32">
        <v>45</v>
      </c>
      <c r="F1368" s="22" t="str" cm="1">
        <f t="array" ref="F1368">_xlfn.IFS(E1368&lt;30,"Under",E1368&lt;40,"between",E1368&gt;=40,"plus")</f>
        <v>plus</v>
      </c>
    </row>
    <row r="1369" spans="5:6" x14ac:dyDescent="0.35">
      <c r="E1369" s="32">
        <v>42</v>
      </c>
      <c r="F1369" s="22" t="str" cm="1">
        <f t="array" ref="F1369">_xlfn.IFS(E1369&lt;30,"Under",E1369&lt;40,"between",E1369&gt;=40,"plus")</f>
        <v>plus</v>
      </c>
    </row>
    <row r="1370" spans="5:6" x14ac:dyDescent="0.35">
      <c r="E1370" s="32">
        <v>40</v>
      </c>
      <c r="F1370" s="22" t="str" cm="1">
        <f t="array" ref="F1370">_xlfn.IFS(E1370&lt;30,"Under",E1370&lt;40,"between",E1370&gt;=40,"plus")</f>
        <v>plus</v>
      </c>
    </row>
    <row r="1371" spans="5:6" x14ac:dyDescent="0.35">
      <c r="E1371" s="32">
        <v>55</v>
      </c>
      <c r="F1371" s="22" t="str" cm="1">
        <f t="array" ref="F1371">_xlfn.IFS(E1371&lt;30,"Under",E1371&lt;40,"between",E1371&gt;=40,"plus")</f>
        <v>plus</v>
      </c>
    </row>
    <row r="1372" spans="5:6" x14ac:dyDescent="0.35">
      <c r="E1372" s="32">
        <v>52</v>
      </c>
      <c r="F1372" s="22" t="str" cm="1">
        <f t="array" ref="F1372">_xlfn.IFS(E1372&lt;30,"Under",E1372&lt;40,"between",E1372&gt;=40,"plus")</f>
        <v>plus</v>
      </c>
    </row>
    <row r="1373" spans="5:6" x14ac:dyDescent="0.35">
      <c r="E1373" s="32">
        <v>46</v>
      </c>
      <c r="F1373" s="22" t="str" cm="1">
        <f t="array" ref="F1373">_xlfn.IFS(E1373&lt;30,"Under",E1373&lt;40,"between",E1373&gt;=40,"plus")</f>
        <v>plus</v>
      </c>
    </row>
    <row r="1374" spans="5:6" x14ac:dyDescent="0.35">
      <c r="E1374" s="32">
        <v>50</v>
      </c>
      <c r="F1374" s="22" t="str" cm="1">
        <f t="array" ref="F1374">_xlfn.IFS(E1374&lt;30,"Under",E1374&lt;40,"between",E1374&gt;=40,"plus")</f>
        <v>plus</v>
      </c>
    </row>
    <row r="1375" spans="5:6" x14ac:dyDescent="0.35">
      <c r="E1375" s="32">
        <v>48</v>
      </c>
      <c r="F1375" s="22" t="str" cm="1">
        <f t="array" ref="F1375">_xlfn.IFS(E1375&lt;30,"Under",E1375&lt;40,"between",E1375&gt;=40,"plus")</f>
        <v>plus</v>
      </c>
    </row>
    <row r="1376" spans="5:6" x14ac:dyDescent="0.35">
      <c r="E1376" s="32">
        <v>43</v>
      </c>
      <c r="F1376" s="22" t="str" cm="1">
        <f t="array" ref="F1376">_xlfn.IFS(E1376&lt;30,"Under",E1376&lt;40,"between",E1376&gt;=40,"plus")</f>
        <v>plus</v>
      </c>
    </row>
    <row r="1377" spans="5:6" x14ac:dyDescent="0.35">
      <c r="E1377" s="32">
        <v>34</v>
      </c>
      <c r="F1377" s="22" t="str" cm="1">
        <f t="array" ref="F1377">_xlfn.IFS(E1377&lt;30,"Under",E1377&lt;40,"between",E1377&gt;=40,"plus")</f>
        <v>between</v>
      </c>
    </row>
    <row r="1378" spans="5:6" x14ac:dyDescent="0.35">
      <c r="E1378" s="32">
        <v>50</v>
      </c>
      <c r="F1378" s="22" t="str" cm="1">
        <f t="array" ref="F1378">_xlfn.IFS(E1378&lt;30,"Under",E1378&lt;40,"between",E1378&gt;=40,"plus")</f>
        <v>plus</v>
      </c>
    </row>
    <row r="1379" spans="5:6" x14ac:dyDescent="0.35">
      <c r="E1379" s="32">
        <v>46</v>
      </c>
      <c r="F1379" s="22" t="str" cm="1">
        <f t="array" ref="F1379">_xlfn.IFS(E1379&lt;30,"Under",E1379&lt;40,"between",E1379&gt;=40,"plus")</f>
        <v>plus</v>
      </c>
    </row>
    <row r="1380" spans="5:6" x14ac:dyDescent="0.35">
      <c r="E1380" s="32">
        <v>39</v>
      </c>
      <c r="F1380" s="22" t="str" cm="1">
        <f t="array" ref="F1380">_xlfn.IFS(E1380&lt;30,"Under",E1380&lt;40,"between",E1380&gt;=40,"plus")</f>
        <v>between</v>
      </c>
    </row>
    <row r="1381" spans="5:6" x14ac:dyDescent="0.35">
      <c r="E1381" s="32">
        <v>52</v>
      </c>
      <c r="F1381" s="22" t="str" cm="1">
        <f t="array" ref="F1381">_xlfn.IFS(E1381&lt;30,"Under",E1381&lt;40,"between",E1381&gt;=40,"plus")</f>
        <v>plus</v>
      </c>
    </row>
    <row r="1382" spans="5:6" x14ac:dyDescent="0.35">
      <c r="E1382" s="32">
        <v>39</v>
      </c>
      <c r="F1382" s="22" t="str" cm="1">
        <f t="array" ref="F1382">_xlfn.IFS(E1382&lt;30,"Under",E1382&lt;40,"between",E1382&gt;=40,"plus")</f>
        <v>between</v>
      </c>
    </row>
    <row r="1383" spans="5:6" x14ac:dyDescent="0.35">
      <c r="E1383" s="32">
        <v>43</v>
      </c>
      <c r="F1383" s="22" t="str" cm="1">
        <f t="array" ref="F1383">_xlfn.IFS(E1383&lt;30,"Under",E1383&lt;40,"between",E1383&gt;=40,"plus")</f>
        <v>plus</v>
      </c>
    </row>
    <row r="1384" spans="5:6" x14ac:dyDescent="0.35">
      <c r="E1384" s="32">
        <v>47</v>
      </c>
      <c r="F1384" s="22" t="str" cm="1">
        <f t="array" ref="F1384">_xlfn.IFS(E1384&lt;30,"Under",E1384&lt;40,"between",E1384&gt;=40,"plus")</f>
        <v>plus</v>
      </c>
    </row>
    <row r="1385" spans="5:6" x14ac:dyDescent="0.35">
      <c r="E1385" s="32">
        <v>48</v>
      </c>
      <c r="F1385" s="22" t="str" cm="1">
        <f t="array" ref="F1385">_xlfn.IFS(E1385&lt;30,"Under",E1385&lt;40,"between",E1385&gt;=40,"plus")</f>
        <v>plus</v>
      </c>
    </row>
    <row r="1386" spans="5:6" x14ac:dyDescent="0.35">
      <c r="E1386" s="32">
        <v>41</v>
      </c>
      <c r="F1386" s="22" t="str" cm="1">
        <f t="array" ref="F1386">_xlfn.IFS(E1386&lt;30,"Under",E1386&lt;40,"between",E1386&gt;=40,"plus")</f>
        <v>plus</v>
      </c>
    </row>
    <row r="1387" spans="5:6" x14ac:dyDescent="0.35">
      <c r="E1387" s="32">
        <v>54</v>
      </c>
      <c r="F1387" s="22" t="str" cm="1">
        <f t="array" ref="F1387">_xlfn.IFS(E1387&lt;30,"Under",E1387&lt;40,"between",E1387&gt;=40,"plus")</f>
        <v>plus</v>
      </c>
    </row>
    <row r="1388" spans="5:6" x14ac:dyDescent="0.35">
      <c r="E1388" s="32">
        <v>54</v>
      </c>
      <c r="F1388" s="22" t="str" cm="1">
        <f t="array" ref="F1388">_xlfn.IFS(E1388&lt;30,"Under",E1388&lt;40,"between",E1388&gt;=40,"plus")</f>
        <v>plus</v>
      </c>
    </row>
    <row r="1389" spans="5:6" x14ac:dyDescent="0.35">
      <c r="E1389" s="32">
        <v>50</v>
      </c>
      <c r="F1389" s="22" t="str" cm="1">
        <f t="array" ref="F1389">_xlfn.IFS(E1389&lt;30,"Under",E1389&lt;40,"between",E1389&gt;=40,"plus")</f>
        <v>plus</v>
      </c>
    </row>
    <row r="1390" spans="5:6" x14ac:dyDescent="0.35">
      <c r="E1390" s="32">
        <v>54</v>
      </c>
      <c r="F1390" s="22" t="str" cm="1">
        <f t="array" ref="F1390">_xlfn.IFS(E1390&lt;30,"Under",E1390&lt;40,"between",E1390&gt;=40,"plus")</f>
        <v>plus</v>
      </c>
    </row>
    <row r="1391" spans="5:6" x14ac:dyDescent="0.35">
      <c r="E1391" s="32">
        <v>33</v>
      </c>
      <c r="F1391" s="22" t="str" cm="1">
        <f t="array" ref="F1391">_xlfn.IFS(E1391&lt;30,"Under",E1391&lt;40,"between",E1391&gt;=40,"plus")</f>
        <v>between</v>
      </c>
    </row>
    <row r="1392" spans="5:6" x14ac:dyDescent="0.35">
      <c r="E1392" s="32">
        <v>46</v>
      </c>
      <c r="F1392" s="22" t="str" cm="1">
        <f t="array" ref="F1392">_xlfn.IFS(E1392&lt;30,"Under",E1392&lt;40,"between",E1392&gt;=40,"plus")</f>
        <v>plus</v>
      </c>
    </row>
    <row r="1393" spans="5:6" x14ac:dyDescent="0.35">
      <c r="E1393" s="32">
        <v>46</v>
      </c>
      <c r="F1393" s="22" t="str" cm="1">
        <f t="array" ref="F1393">_xlfn.IFS(E1393&lt;30,"Under",E1393&lt;40,"between",E1393&gt;=40,"plus")</f>
        <v>plus</v>
      </c>
    </row>
    <row r="1394" spans="5:6" x14ac:dyDescent="0.35">
      <c r="E1394" s="32">
        <v>53</v>
      </c>
      <c r="F1394" s="22" t="str" cm="1">
        <f t="array" ref="F1394">_xlfn.IFS(E1394&lt;30,"Under",E1394&lt;40,"between",E1394&gt;=40,"plus")</f>
        <v>plus</v>
      </c>
    </row>
    <row r="1395" spans="5:6" x14ac:dyDescent="0.35">
      <c r="E1395" s="32">
        <v>43</v>
      </c>
      <c r="F1395" s="22" t="str" cm="1">
        <f t="array" ref="F1395">_xlfn.IFS(E1395&lt;30,"Under",E1395&lt;40,"between",E1395&gt;=40,"plus")</f>
        <v>plus</v>
      </c>
    </row>
    <row r="1396" spans="5:6" x14ac:dyDescent="0.35">
      <c r="E1396" s="32">
        <v>50</v>
      </c>
      <c r="F1396" s="22" t="str" cm="1">
        <f t="array" ref="F1396">_xlfn.IFS(E1396&lt;30,"Under",E1396&lt;40,"between",E1396&gt;=40,"plus")</f>
        <v>plus</v>
      </c>
    </row>
    <row r="1397" spans="5:6" x14ac:dyDescent="0.35">
      <c r="E1397" s="32">
        <v>45</v>
      </c>
      <c r="F1397" s="22" t="str" cm="1">
        <f t="array" ref="F1397">_xlfn.IFS(E1397&lt;30,"Under",E1397&lt;40,"between",E1397&gt;=40,"plus")</f>
        <v>plus</v>
      </c>
    </row>
    <row r="1398" spans="5:6" x14ac:dyDescent="0.35">
      <c r="E1398" s="32">
        <v>42</v>
      </c>
      <c r="F1398" s="22" t="str" cm="1">
        <f t="array" ref="F1398">_xlfn.IFS(E1398&lt;30,"Under",E1398&lt;40,"between",E1398&gt;=40,"plus")</f>
        <v>plus</v>
      </c>
    </row>
    <row r="1399" spans="5:6" x14ac:dyDescent="0.35">
      <c r="E1399" s="32">
        <v>54</v>
      </c>
      <c r="F1399" s="22" t="str" cm="1">
        <f t="array" ref="F1399">_xlfn.IFS(E1399&lt;30,"Under",E1399&lt;40,"between",E1399&gt;=40,"plus")</f>
        <v>plus</v>
      </c>
    </row>
    <row r="1400" spans="5:6" x14ac:dyDescent="0.35">
      <c r="E1400" s="32">
        <v>50</v>
      </c>
      <c r="F1400" s="22" t="str" cm="1">
        <f t="array" ref="F1400">_xlfn.IFS(E1400&lt;30,"Under",E1400&lt;40,"between",E1400&gt;=40,"plus")</f>
        <v>plus</v>
      </c>
    </row>
    <row r="1401" spans="5:6" x14ac:dyDescent="0.35">
      <c r="E1401" s="32">
        <v>46</v>
      </c>
      <c r="F1401" s="22" t="str" cm="1">
        <f t="array" ref="F1401">_xlfn.IFS(E1401&lt;30,"Under",E1401&lt;40,"between",E1401&gt;=40,"plus")</f>
        <v>plus</v>
      </c>
    </row>
    <row r="1402" spans="5:6" x14ac:dyDescent="0.35">
      <c r="E1402" s="32">
        <v>42</v>
      </c>
      <c r="F1402" s="22" t="str" cm="1">
        <f t="array" ref="F1402">_xlfn.IFS(E1402&lt;30,"Under",E1402&lt;40,"between",E1402&gt;=40,"plus")</f>
        <v>plus</v>
      </c>
    </row>
    <row r="1403" spans="5:6" x14ac:dyDescent="0.35">
      <c r="E1403" s="32">
        <v>58</v>
      </c>
      <c r="F1403" s="22" t="str" cm="1">
        <f t="array" ref="F1403">_xlfn.IFS(E1403&lt;30,"Under",E1403&lt;40,"between",E1403&gt;=40,"plus")</f>
        <v>plus</v>
      </c>
    </row>
    <row r="1404" spans="5:6" x14ac:dyDescent="0.35">
      <c r="E1404" s="32">
        <v>50</v>
      </c>
      <c r="F1404" s="22" t="str" cm="1">
        <f t="array" ref="F1404">_xlfn.IFS(E1404&lt;30,"Under",E1404&lt;40,"between",E1404&gt;=40,"plus")</f>
        <v>plus</v>
      </c>
    </row>
    <row r="1405" spans="5:6" x14ac:dyDescent="0.35">
      <c r="E1405" s="32">
        <v>40</v>
      </c>
      <c r="F1405" s="22" t="str" cm="1">
        <f t="array" ref="F1405">_xlfn.IFS(E1405&lt;30,"Under",E1405&lt;40,"between",E1405&gt;=40,"plus")</f>
        <v>plus</v>
      </c>
    </row>
    <row r="1406" spans="5:6" x14ac:dyDescent="0.35">
      <c r="E1406" s="32">
        <v>45</v>
      </c>
      <c r="F1406" s="22" t="str" cm="1">
        <f t="array" ref="F1406">_xlfn.IFS(E1406&lt;30,"Under",E1406&lt;40,"between",E1406&gt;=40,"plus")</f>
        <v>plus</v>
      </c>
    </row>
    <row r="1407" spans="5:6" x14ac:dyDescent="0.35">
      <c r="E1407" s="32">
        <v>50</v>
      </c>
      <c r="F1407" s="22" t="str" cm="1">
        <f t="array" ref="F1407">_xlfn.IFS(E1407&lt;30,"Under",E1407&lt;40,"between",E1407&gt;=40,"plus")</f>
        <v>plus</v>
      </c>
    </row>
    <row r="1408" spans="5:6" x14ac:dyDescent="0.35">
      <c r="E1408" s="32">
        <v>50</v>
      </c>
      <c r="F1408" s="22" t="str" cm="1">
        <f t="array" ref="F1408">_xlfn.IFS(E1408&lt;30,"Under",E1408&lt;40,"between",E1408&gt;=40,"plus")</f>
        <v>plus</v>
      </c>
    </row>
    <row r="1409" spans="5:6" x14ac:dyDescent="0.35">
      <c r="E1409" s="32">
        <v>44</v>
      </c>
      <c r="F1409" s="22" t="str" cm="1">
        <f t="array" ref="F1409">_xlfn.IFS(E1409&lt;30,"Under",E1409&lt;40,"between",E1409&gt;=40,"plus")</f>
        <v>plus</v>
      </c>
    </row>
    <row r="1410" spans="5:6" x14ac:dyDescent="0.35">
      <c r="E1410" s="32">
        <v>48</v>
      </c>
      <c r="F1410" s="22" t="str" cm="1">
        <f t="array" ref="F1410">_xlfn.IFS(E1410&lt;30,"Under",E1410&lt;40,"between",E1410&gt;=40,"plus")</f>
        <v>plus</v>
      </c>
    </row>
    <row r="1411" spans="5:6" x14ac:dyDescent="0.35">
      <c r="E1411" s="32">
        <v>47</v>
      </c>
      <c r="F1411" s="22" t="str" cm="1">
        <f t="array" ref="F1411">_xlfn.IFS(E1411&lt;30,"Under",E1411&lt;40,"between",E1411&gt;=40,"plus")</f>
        <v>plus</v>
      </c>
    </row>
    <row r="1412" spans="5:6" x14ac:dyDescent="0.35">
      <c r="E1412" s="32">
        <v>42</v>
      </c>
      <c r="F1412" s="22" t="str" cm="1">
        <f t="array" ref="F1412">_xlfn.IFS(E1412&lt;30,"Under",E1412&lt;40,"between",E1412&gt;=40,"plus")</f>
        <v>plus</v>
      </c>
    </row>
    <row r="1413" spans="5:6" x14ac:dyDescent="0.35">
      <c r="E1413" s="32">
        <v>42</v>
      </c>
      <c r="F1413" s="22" t="str" cm="1">
        <f t="array" ref="F1413">_xlfn.IFS(E1413&lt;30,"Under",E1413&lt;40,"between",E1413&gt;=40,"plus")</f>
        <v>plus</v>
      </c>
    </row>
    <row r="1414" spans="5:6" x14ac:dyDescent="0.35">
      <c r="E1414" s="32">
        <v>53</v>
      </c>
      <c r="F1414" s="22" t="str" cm="1">
        <f t="array" ref="F1414">_xlfn.IFS(E1414&lt;30,"Under",E1414&lt;40,"between",E1414&gt;=40,"plus")</f>
        <v>plus</v>
      </c>
    </row>
    <row r="1415" spans="5:6" x14ac:dyDescent="0.35">
      <c r="E1415" s="32">
        <v>49</v>
      </c>
      <c r="F1415" s="22" t="str" cm="1">
        <f t="array" ref="F1415">_xlfn.IFS(E1415&lt;30,"Under",E1415&lt;40,"between",E1415&gt;=40,"plus")</f>
        <v>plus</v>
      </c>
    </row>
    <row r="1416" spans="5:6" x14ac:dyDescent="0.35">
      <c r="E1416" s="32">
        <v>49</v>
      </c>
      <c r="F1416" s="22" t="str" cm="1">
        <f t="array" ref="F1416">_xlfn.IFS(E1416&lt;30,"Under",E1416&lt;40,"between",E1416&gt;=40,"plus")</f>
        <v>plus</v>
      </c>
    </row>
    <row r="1417" spans="5:6" x14ac:dyDescent="0.35">
      <c r="E1417" s="32">
        <v>55</v>
      </c>
      <c r="F1417" s="22" t="str" cm="1">
        <f t="array" ref="F1417">_xlfn.IFS(E1417&lt;30,"Under",E1417&lt;40,"between",E1417&gt;=40,"plus")</f>
        <v>plus</v>
      </c>
    </row>
    <row r="1418" spans="5:6" x14ac:dyDescent="0.35">
      <c r="E1418" s="32">
        <v>50</v>
      </c>
      <c r="F1418" s="22" t="str" cm="1">
        <f t="array" ref="F1418">_xlfn.IFS(E1418&lt;30,"Under",E1418&lt;40,"between",E1418&gt;=40,"plus")</f>
        <v>plus</v>
      </c>
    </row>
    <row r="1419" spans="5:6" x14ac:dyDescent="0.35">
      <c r="E1419" s="32">
        <v>46</v>
      </c>
      <c r="F1419" s="22" t="str" cm="1">
        <f t="array" ref="F1419">_xlfn.IFS(E1419&lt;30,"Under",E1419&lt;40,"between",E1419&gt;=40,"plus")</f>
        <v>plus</v>
      </c>
    </row>
    <row r="1420" spans="5:6" x14ac:dyDescent="0.35">
      <c r="E1420" s="32">
        <v>45</v>
      </c>
      <c r="F1420" s="22" t="str" cm="1">
        <f t="array" ref="F1420">_xlfn.IFS(E1420&lt;30,"Under",E1420&lt;40,"between",E1420&gt;=40,"plus")</f>
        <v>plus</v>
      </c>
    </row>
    <row r="1421" spans="5:6" x14ac:dyDescent="0.35">
      <c r="E1421" s="32">
        <v>59</v>
      </c>
      <c r="F1421" s="22" t="str" cm="1">
        <f t="array" ref="F1421">_xlfn.IFS(E1421&lt;30,"Under",E1421&lt;40,"between",E1421&gt;=40,"plus")</f>
        <v>plus</v>
      </c>
    </row>
    <row r="1422" spans="5:6" x14ac:dyDescent="0.35">
      <c r="E1422" s="32">
        <v>42</v>
      </c>
      <c r="F1422" s="22" t="str" cm="1">
        <f t="array" ref="F1422">_xlfn.IFS(E1422&lt;30,"Under",E1422&lt;40,"between",E1422&gt;=40,"plus")</f>
        <v>plus</v>
      </c>
    </row>
    <row r="1423" spans="5:6" x14ac:dyDescent="0.35">
      <c r="E1423" s="32">
        <v>46</v>
      </c>
      <c r="F1423" s="22" t="str" cm="1">
        <f t="array" ref="F1423">_xlfn.IFS(E1423&lt;30,"Under",E1423&lt;40,"between",E1423&gt;=40,"plus")</f>
        <v>plus</v>
      </c>
    </row>
    <row r="1424" spans="5:6" x14ac:dyDescent="0.35">
      <c r="E1424" s="32">
        <v>40</v>
      </c>
      <c r="F1424" s="22" t="str" cm="1">
        <f t="array" ref="F1424">_xlfn.IFS(E1424&lt;30,"Under",E1424&lt;40,"between",E1424&gt;=40,"plus")</f>
        <v>plus</v>
      </c>
    </row>
    <row r="1425" spans="5:6" x14ac:dyDescent="0.35">
      <c r="E1425" s="32">
        <v>55</v>
      </c>
      <c r="F1425" s="22" t="str" cm="1">
        <f t="array" ref="F1425">_xlfn.IFS(E1425&lt;30,"Under",E1425&lt;40,"between",E1425&gt;=40,"plus")</f>
        <v>plus</v>
      </c>
    </row>
    <row r="1426" spans="5:6" x14ac:dyDescent="0.35">
      <c r="E1426" s="32">
        <v>55</v>
      </c>
      <c r="F1426" s="22" t="str" cm="1">
        <f t="array" ref="F1426">_xlfn.IFS(E1426&lt;30,"Under",E1426&lt;40,"between",E1426&gt;=40,"plus")</f>
        <v>plus</v>
      </c>
    </row>
    <row r="1427" spans="5:6" x14ac:dyDescent="0.35">
      <c r="E1427" s="32">
        <v>44</v>
      </c>
      <c r="F1427" s="22" t="str" cm="1">
        <f t="array" ref="F1427">_xlfn.IFS(E1427&lt;30,"Under",E1427&lt;40,"between",E1427&gt;=40,"plus")</f>
        <v>plus</v>
      </c>
    </row>
    <row r="1428" spans="5:6" x14ac:dyDescent="0.35">
      <c r="E1428" s="32">
        <v>52</v>
      </c>
      <c r="F1428" s="22" t="str" cm="1">
        <f t="array" ref="F1428">_xlfn.IFS(E1428&lt;30,"Under",E1428&lt;40,"between",E1428&gt;=40,"plus")</f>
        <v>plus</v>
      </c>
    </row>
    <row r="1429" spans="5:6" x14ac:dyDescent="0.35">
      <c r="E1429" s="32">
        <v>46</v>
      </c>
      <c r="F1429" s="22" t="str" cm="1">
        <f t="array" ref="F1429">_xlfn.IFS(E1429&lt;30,"Under",E1429&lt;40,"between",E1429&gt;=40,"plus")</f>
        <v>plus</v>
      </c>
    </row>
    <row r="1430" spans="5:6" x14ac:dyDescent="0.35">
      <c r="E1430" s="32">
        <v>53</v>
      </c>
      <c r="F1430" s="22" t="str" cm="1">
        <f t="array" ref="F1430">_xlfn.IFS(E1430&lt;30,"Under",E1430&lt;40,"between",E1430&gt;=40,"plus")</f>
        <v>plus</v>
      </c>
    </row>
    <row r="1431" spans="5:6" x14ac:dyDescent="0.35">
      <c r="E1431" s="32">
        <v>41</v>
      </c>
      <c r="F1431" s="22" t="str" cm="1">
        <f t="array" ref="F1431">_xlfn.IFS(E1431&lt;30,"Under",E1431&lt;40,"between",E1431&gt;=40,"plus")</f>
        <v>plus</v>
      </c>
    </row>
    <row r="1432" spans="5:6" x14ac:dyDescent="0.35">
      <c r="E1432" s="32">
        <v>50</v>
      </c>
      <c r="F1432" s="22" t="str" cm="1">
        <f t="array" ref="F1432">_xlfn.IFS(E1432&lt;30,"Under",E1432&lt;40,"between",E1432&gt;=40,"plus")</f>
        <v>plus</v>
      </c>
    </row>
    <row r="1433" spans="5:6" x14ac:dyDescent="0.35">
      <c r="E1433" s="32">
        <v>49</v>
      </c>
      <c r="F1433" s="22" t="str" cm="1">
        <f t="array" ref="F1433">_xlfn.IFS(E1433&lt;30,"Under",E1433&lt;40,"between",E1433&gt;=40,"plus")</f>
        <v>plus</v>
      </c>
    </row>
    <row r="1434" spans="5:6" x14ac:dyDescent="0.35">
      <c r="E1434" s="32">
        <v>55</v>
      </c>
      <c r="F1434" s="22" t="str" cm="1">
        <f t="array" ref="F1434">_xlfn.IFS(E1434&lt;30,"Under",E1434&lt;40,"between",E1434&gt;=40,"plus")</f>
        <v>plus</v>
      </c>
    </row>
    <row r="1435" spans="5:6" x14ac:dyDescent="0.35">
      <c r="E1435" s="32">
        <v>41</v>
      </c>
      <c r="F1435" s="22" t="str" cm="1">
        <f t="array" ref="F1435">_xlfn.IFS(E1435&lt;30,"Under",E1435&lt;40,"between",E1435&gt;=40,"plus")</f>
        <v>plus</v>
      </c>
    </row>
    <row r="1436" spans="5:6" x14ac:dyDescent="0.35">
      <c r="E1436" s="32">
        <v>44</v>
      </c>
      <c r="F1436" s="22" t="str" cm="1">
        <f t="array" ref="F1436">_xlfn.IFS(E1436&lt;30,"Under",E1436&lt;40,"between",E1436&gt;=40,"plus")</f>
        <v>plus</v>
      </c>
    </row>
    <row r="1437" spans="5:6" x14ac:dyDescent="0.35">
      <c r="E1437" s="32">
        <v>39</v>
      </c>
      <c r="F1437" s="22" t="str" cm="1">
        <f t="array" ref="F1437">_xlfn.IFS(E1437&lt;30,"Under",E1437&lt;40,"between",E1437&gt;=40,"plus")</f>
        <v>between</v>
      </c>
    </row>
    <row r="1438" spans="5:6" x14ac:dyDescent="0.35">
      <c r="E1438" s="32">
        <v>45</v>
      </c>
      <c r="F1438" s="22" t="str" cm="1">
        <f t="array" ref="F1438">_xlfn.IFS(E1438&lt;30,"Under",E1438&lt;40,"between",E1438&gt;=40,"plus")</f>
        <v>plus</v>
      </c>
    </row>
    <row r="1439" spans="5:6" x14ac:dyDescent="0.35">
      <c r="E1439" s="32">
        <v>42</v>
      </c>
      <c r="F1439" s="22" t="str" cm="1">
        <f t="array" ref="F1439">_xlfn.IFS(E1439&lt;30,"Under",E1439&lt;40,"between",E1439&gt;=40,"plus")</f>
        <v>plus</v>
      </c>
    </row>
    <row r="1440" spans="5:6" x14ac:dyDescent="0.35">
      <c r="E1440" s="32">
        <v>50</v>
      </c>
      <c r="F1440" s="22" t="str" cm="1">
        <f t="array" ref="F1440">_xlfn.IFS(E1440&lt;30,"Under",E1440&lt;40,"between",E1440&gt;=40,"plus")</f>
        <v>plus</v>
      </c>
    </row>
    <row r="1441" spans="5:6" x14ac:dyDescent="0.35">
      <c r="E1441" s="32">
        <v>58</v>
      </c>
      <c r="F1441" s="22" t="str" cm="1">
        <f t="array" ref="F1441">_xlfn.IFS(E1441&lt;30,"Under",E1441&lt;40,"between",E1441&gt;=40,"plus")</f>
        <v>plus</v>
      </c>
    </row>
    <row r="1442" spans="5:6" x14ac:dyDescent="0.35">
      <c r="E1442" s="32">
        <v>39</v>
      </c>
      <c r="F1442" s="22" t="str" cm="1">
        <f t="array" ref="F1442">_xlfn.IFS(E1442&lt;30,"Under",E1442&lt;40,"between",E1442&gt;=40,"plus")</f>
        <v>between</v>
      </c>
    </row>
    <row r="1443" spans="5:6" x14ac:dyDescent="0.35">
      <c r="E1443" s="32">
        <v>46</v>
      </c>
      <c r="F1443" s="22" t="str" cm="1">
        <f t="array" ref="F1443">_xlfn.IFS(E1443&lt;30,"Under",E1443&lt;40,"between",E1443&gt;=40,"plus")</f>
        <v>plus</v>
      </c>
    </row>
    <row r="1444" spans="5:6" x14ac:dyDescent="0.35">
      <c r="E1444" s="32">
        <v>50</v>
      </c>
      <c r="F1444" s="22" t="str" cm="1">
        <f t="array" ref="F1444">_xlfn.IFS(E1444&lt;30,"Under",E1444&lt;40,"between",E1444&gt;=40,"plus")</f>
        <v>plus</v>
      </c>
    </row>
    <row r="1445" spans="5:6" x14ac:dyDescent="0.35">
      <c r="E1445" s="32">
        <v>43</v>
      </c>
      <c r="F1445" s="22" t="str" cm="1">
        <f t="array" ref="F1445">_xlfn.IFS(E1445&lt;30,"Under",E1445&lt;40,"between",E1445&gt;=40,"plus")</f>
        <v>plus</v>
      </c>
    </row>
    <row r="1446" spans="5:6" x14ac:dyDescent="0.35">
      <c r="E1446" s="32">
        <v>54</v>
      </c>
      <c r="F1446" s="22" t="str" cm="1">
        <f t="array" ref="F1446">_xlfn.IFS(E1446&lt;30,"Under",E1446&lt;40,"between",E1446&gt;=40,"plus")</f>
        <v>plus</v>
      </c>
    </row>
    <row r="1447" spans="5:6" x14ac:dyDescent="0.35">
      <c r="E1447" s="32">
        <v>41</v>
      </c>
      <c r="F1447" s="22" t="str" cm="1">
        <f t="array" ref="F1447">_xlfn.IFS(E1447&lt;30,"Under",E1447&lt;40,"between",E1447&gt;=40,"plus")</f>
        <v>plus</v>
      </c>
    </row>
    <row r="1448" spans="5:6" x14ac:dyDescent="0.35">
      <c r="E1448" s="32">
        <v>39</v>
      </c>
      <c r="F1448" s="22" t="str" cm="1">
        <f t="array" ref="F1448">_xlfn.IFS(E1448&lt;30,"Under",E1448&lt;40,"between",E1448&gt;=40,"plus")</f>
        <v>between</v>
      </c>
    </row>
    <row r="1449" spans="5:6" x14ac:dyDescent="0.35">
      <c r="E1449" s="32">
        <v>40</v>
      </c>
      <c r="F1449" s="22" t="str" cm="1">
        <f t="array" ref="F1449">_xlfn.IFS(E1449&lt;30,"Under",E1449&lt;40,"between",E1449&gt;=40,"plus")</f>
        <v>plus</v>
      </c>
    </row>
    <row r="1450" spans="5:6" x14ac:dyDescent="0.35">
      <c r="E1450" s="32">
        <v>49</v>
      </c>
      <c r="F1450" s="22" t="str" cm="1">
        <f t="array" ref="F1450">_xlfn.IFS(E1450&lt;30,"Under",E1450&lt;40,"between",E1450&gt;=40,"plus")</f>
        <v>plus</v>
      </c>
    </row>
    <row r="1451" spans="5:6" x14ac:dyDescent="0.35">
      <c r="E1451" s="32">
        <v>44</v>
      </c>
      <c r="F1451" s="22" t="str" cm="1">
        <f t="array" ref="F1451">_xlfn.IFS(E1451&lt;30,"Under",E1451&lt;40,"between",E1451&gt;=40,"plus")</f>
        <v>plus</v>
      </c>
    </row>
    <row r="1452" spans="5:6" x14ac:dyDescent="0.35">
      <c r="E1452" s="32">
        <v>50</v>
      </c>
      <c r="F1452" s="22" t="str" cm="1">
        <f t="array" ref="F1452">_xlfn.IFS(E1452&lt;30,"Under",E1452&lt;40,"between",E1452&gt;=40,"plus")</f>
        <v>plus</v>
      </c>
    </row>
    <row r="1453" spans="5:6" x14ac:dyDescent="0.35">
      <c r="E1453" s="32">
        <v>51</v>
      </c>
      <c r="F1453" s="22" t="str" cm="1">
        <f t="array" ref="F1453">_xlfn.IFS(E1453&lt;30,"Under",E1453&lt;40,"between",E1453&gt;=40,"plus")</f>
        <v>plus</v>
      </c>
    </row>
    <row r="1454" spans="5:6" x14ac:dyDescent="0.35">
      <c r="E1454" s="32">
        <v>41</v>
      </c>
      <c r="F1454" s="22" t="str" cm="1">
        <f t="array" ref="F1454">_xlfn.IFS(E1454&lt;30,"Under",E1454&lt;40,"between",E1454&gt;=40,"plus")</f>
        <v>plus</v>
      </c>
    </row>
    <row r="1455" spans="5:6" x14ac:dyDescent="0.35">
      <c r="E1455" s="32">
        <v>60</v>
      </c>
      <c r="F1455" s="22" t="str" cm="1">
        <f t="array" ref="F1455">_xlfn.IFS(E1455&lt;30,"Under",E1455&lt;40,"between",E1455&gt;=40,"plus")</f>
        <v>plus</v>
      </c>
    </row>
    <row r="1456" spans="5:6" x14ac:dyDescent="0.35">
      <c r="E1456" s="32">
        <v>55</v>
      </c>
      <c r="F1456" s="22" t="str" cm="1">
        <f t="array" ref="F1456">_xlfn.IFS(E1456&lt;30,"Under",E1456&lt;40,"between",E1456&gt;=40,"plus")</f>
        <v>plus</v>
      </c>
    </row>
    <row r="1457" spans="5:6" x14ac:dyDescent="0.35">
      <c r="E1457" s="32">
        <v>42</v>
      </c>
      <c r="F1457" s="22" t="str" cm="1">
        <f t="array" ref="F1457">_xlfn.IFS(E1457&lt;30,"Under",E1457&lt;40,"between",E1457&gt;=40,"plus")</f>
        <v>plus</v>
      </c>
    </row>
    <row r="1458" spans="5:6" x14ac:dyDescent="0.35">
      <c r="E1458" s="32">
        <v>40</v>
      </c>
      <c r="F1458" s="22" t="str" cm="1">
        <f t="array" ref="F1458">_xlfn.IFS(E1458&lt;30,"Under",E1458&lt;40,"between",E1458&gt;=40,"plus")</f>
        <v>plus</v>
      </c>
    </row>
    <row r="1459" spans="5:6" x14ac:dyDescent="0.35">
      <c r="E1459" s="32">
        <v>46</v>
      </c>
      <c r="F1459" s="22" t="str" cm="1">
        <f t="array" ref="F1459">_xlfn.IFS(E1459&lt;30,"Under",E1459&lt;40,"between",E1459&gt;=40,"plus")</f>
        <v>plus</v>
      </c>
    </row>
    <row r="1460" spans="5:6" x14ac:dyDescent="0.35">
      <c r="E1460" s="32">
        <v>55</v>
      </c>
      <c r="F1460" s="22" t="str" cm="1">
        <f t="array" ref="F1460">_xlfn.IFS(E1460&lt;30,"Under",E1460&lt;40,"between",E1460&gt;=40,"plus")</f>
        <v>plus</v>
      </c>
    </row>
    <row r="1461" spans="5:6" x14ac:dyDescent="0.35">
      <c r="E1461" s="32">
        <v>47</v>
      </c>
      <c r="F1461" s="22" t="str" cm="1">
        <f t="array" ref="F1461">_xlfn.IFS(E1461&lt;30,"Under",E1461&lt;40,"between",E1461&gt;=40,"plus")</f>
        <v>plus</v>
      </c>
    </row>
    <row r="1462" spans="5:6" x14ac:dyDescent="0.35">
      <c r="E1462" s="32">
        <v>48</v>
      </c>
      <c r="F1462" s="22" t="str" cm="1">
        <f t="array" ref="F1462">_xlfn.IFS(E1462&lt;30,"Under",E1462&lt;40,"between",E1462&gt;=40,"plus")</f>
        <v>plus</v>
      </c>
    </row>
    <row r="1463" spans="5:6" x14ac:dyDescent="0.35">
      <c r="E1463" s="32">
        <v>58</v>
      </c>
      <c r="F1463" s="22" t="str" cm="1">
        <f t="array" ref="F1463">_xlfn.IFS(E1463&lt;30,"Under",E1463&lt;40,"between",E1463&gt;=40,"plus")</f>
        <v>plus</v>
      </c>
    </row>
    <row r="1464" spans="5:6" x14ac:dyDescent="0.35">
      <c r="E1464" s="32">
        <v>56</v>
      </c>
      <c r="F1464" s="22" t="str" cm="1">
        <f t="array" ref="F1464">_xlfn.IFS(E1464&lt;30,"Under",E1464&lt;40,"between",E1464&gt;=40,"plus")</f>
        <v>plus</v>
      </c>
    </row>
    <row r="1465" spans="5:6" x14ac:dyDescent="0.35">
      <c r="E1465" s="32">
        <v>43</v>
      </c>
      <c r="F1465" s="22" t="str" cm="1">
        <f t="array" ref="F1465">_xlfn.IFS(E1465&lt;30,"Under",E1465&lt;40,"between",E1465&gt;=40,"plus")</f>
        <v>plus</v>
      </c>
    </row>
    <row r="1466" spans="5:6" x14ac:dyDescent="0.35">
      <c r="E1466" s="32">
        <v>40</v>
      </c>
      <c r="F1466" s="22" t="str" cm="1">
        <f t="array" ref="F1466">_xlfn.IFS(E1466&lt;30,"Under",E1466&lt;40,"between",E1466&gt;=40,"plus")</f>
        <v>plus</v>
      </c>
    </row>
    <row r="1467" spans="5:6" x14ac:dyDescent="0.35">
      <c r="E1467" s="32">
        <v>52</v>
      </c>
      <c r="F1467" s="22" t="str" cm="1">
        <f t="array" ref="F1467">_xlfn.IFS(E1467&lt;30,"Under",E1467&lt;40,"between",E1467&gt;=40,"plus")</f>
        <v>plus</v>
      </c>
    </row>
    <row r="1468" spans="5:6" x14ac:dyDescent="0.35">
      <c r="E1468" s="32">
        <v>51</v>
      </c>
      <c r="F1468" s="22" t="str" cm="1">
        <f t="array" ref="F1468">_xlfn.IFS(E1468&lt;30,"Under",E1468&lt;40,"between",E1468&gt;=40,"plus")</f>
        <v>plus</v>
      </c>
    </row>
    <row r="1469" spans="5:6" x14ac:dyDescent="0.35">
      <c r="E1469" s="32">
        <v>55</v>
      </c>
      <c r="F1469" s="22" t="str" cm="1">
        <f t="array" ref="F1469">_xlfn.IFS(E1469&lt;30,"Under",E1469&lt;40,"between",E1469&gt;=40,"plus")</f>
        <v>plus</v>
      </c>
    </row>
    <row r="1470" spans="5:6" x14ac:dyDescent="0.35">
      <c r="E1470" s="32">
        <v>50</v>
      </c>
      <c r="F1470" s="22" t="str" cm="1">
        <f t="array" ref="F1470">_xlfn.IFS(E1470&lt;30,"Under",E1470&lt;40,"between",E1470&gt;=40,"plus")</f>
        <v>plus</v>
      </c>
    </row>
    <row r="1471" spans="5:6" x14ac:dyDescent="0.35">
      <c r="E1471" s="32">
        <v>56</v>
      </c>
      <c r="F1471" s="22" t="str" cm="1">
        <f t="array" ref="F1471">_xlfn.IFS(E1471&lt;30,"Under",E1471&lt;40,"between",E1471&gt;=40,"plus")</f>
        <v>plus</v>
      </c>
    </row>
    <row r="1472" spans="5:6" x14ac:dyDescent="0.35">
      <c r="E1472" s="32">
        <v>41</v>
      </c>
      <c r="F1472" s="22" t="str" cm="1">
        <f t="array" ref="F1472">_xlfn.IFS(E1472&lt;30,"Under",E1472&lt;40,"between",E1472&gt;=40,"plus")</f>
        <v>plus</v>
      </c>
    </row>
    <row r="1473" spans="5:6" x14ac:dyDescent="0.35">
      <c r="E1473" s="32">
        <v>52</v>
      </c>
      <c r="F1473" s="22" t="str" cm="1">
        <f t="array" ref="F1473">_xlfn.IFS(E1473&lt;30,"Under",E1473&lt;40,"between",E1473&gt;=40,"plus")</f>
        <v>plus</v>
      </c>
    </row>
  </sheetData>
  <mergeCells count="3">
    <mergeCell ref="A1:S1"/>
    <mergeCell ref="J3:R5"/>
    <mergeCell ref="A3:C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C00C6-925C-467D-8C7D-0EA7B14CBBC4}">
  <dimension ref="A1:P1471"/>
  <sheetViews>
    <sheetView workbookViewId="0">
      <selection activeCell="F21" sqref="F21"/>
    </sheetView>
  </sheetViews>
  <sheetFormatPr defaultRowHeight="14.4" x14ac:dyDescent="0.3"/>
  <cols>
    <col min="1" max="1" width="13.44140625" customWidth="1"/>
    <col min="2" max="2" width="17.109375" customWidth="1"/>
    <col min="3" max="3" width="10.88671875" customWidth="1"/>
    <col min="4" max="4" width="8.88671875" hidden="1" customWidth="1"/>
    <col min="5" max="5" width="17.44140625" bestFit="1" customWidth="1"/>
    <col min="6" max="6" width="20.77734375" customWidth="1"/>
    <col min="7" max="7" width="23.6640625" customWidth="1"/>
    <col min="8" max="8" width="14.77734375" style="5" bestFit="1" customWidth="1"/>
    <col min="12" max="12" width="17.44140625" bestFit="1" customWidth="1"/>
    <col min="13" max="13" width="16.6640625" bestFit="1" customWidth="1"/>
  </cols>
  <sheetData>
    <row r="1" spans="1:16" ht="18" x14ac:dyDescent="0.35">
      <c r="C1" s="37" t="s">
        <v>92</v>
      </c>
      <c r="D1" s="37"/>
      <c r="E1" s="37"/>
      <c r="F1" s="37"/>
      <c r="G1" s="37"/>
      <c r="H1" s="38" t="s">
        <v>27</v>
      </c>
    </row>
    <row r="2" spans="1:16" x14ac:dyDescent="0.3">
      <c r="A2" s="14">
        <v>3</v>
      </c>
      <c r="B2" t="str" cm="1">
        <f t="array" ref="B2">_xlfn.IFS(Datasets!Q2=1,"LoW",Table1[[#This Row],[JobSatisfaction]]=2,"Medium",Table1[[#This Row],[JobSatisfaction]]=3,"High",Table1[[#This Row],[JobSatisfaction]]=4,"Very High")</f>
        <v>High</v>
      </c>
      <c r="H2" s="5">
        <v>3</v>
      </c>
      <c r="I2" t="str" cm="1">
        <f t="array" ref="I2">_xlfn.IFS(H2=1,"low",H2=2,"medium",H2=3,"balanced",H2=4,"Good")</f>
        <v>balanced</v>
      </c>
    </row>
    <row r="3" spans="1:16" x14ac:dyDescent="0.3">
      <c r="A3" s="13">
        <v>4</v>
      </c>
      <c r="B3" t="str" cm="1">
        <f t="array" ref="B3">_xlfn.IFS(Datasets!Q3=1,"LoW",Table1[[#This Row],[JobSatisfaction]]=2,"Medium",Table1[[#This Row],[JobSatisfaction]]=3,"High",Table1[[#This Row],[JobSatisfaction]]=4,"Very High")</f>
        <v>Very High</v>
      </c>
      <c r="H3" s="5">
        <v>3</v>
      </c>
      <c r="I3" t="str" cm="1">
        <f t="array" ref="I3">_xlfn.IFS(H3=1,"low",H3=2,"medium",H3=3,"balanced",H3=4,"Good")</f>
        <v>balanced</v>
      </c>
    </row>
    <row r="4" spans="1:16" x14ac:dyDescent="0.3">
      <c r="A4" s="14">
        <v>2</v>
      </c>
      <c r="B4" t="str" cm="1">
        <f t="array" ref="B4">_xlfn.IFS(Datasets!Q4=1,"LoW",Table1[[#This Row],[JobSatisfaction]]=2,"Medium",Table1[[#This Row],[JobSatisfaction]]=3,"High",Table1[[#This Row],[JobSatisfaction]]=4,"Very High")</f>
        <v>Medium</v>
      </c>
      <c r="H4" s="5">
        <v>3</v>
      </c>
      <c r="I4" t="str" cm="1">
        <f t="array" ref="I4">_xlfn.IFS(H4=1,"low",H4=2,"medium",H4=3,"balanced",H4=4,"Good")</f>
        <v>balanced</v>
      </c>
    </row>
    <row r="5" spans="1:16" ht="18" x14ac:dyDescent="0.35">
      <c r="A5" s="13">
        <v>4</v>
      </c>
      <c r="B5" t="str" cm="1">
        <f t="array" ref="B5">_xlfn.IFS(Datasets!Q5=1,"LoW",Table1[[#This Row],[JobSatisfaction]]=2,"Medium",Table1[[#This Row],[JobSatisfaction]]=3,"High",Table1[[#This Row],[JobSatisfaction]]=4,"Very High")</f>
        <v>Very High</v>
      </c>
      <c r="H5" s="5">
        <v>2</v>
      </c>
      <c r="I5" t="str" cm="1">
        <f t="array" ref="I5">_xlfn.IFS(H5=1,"low",H5=2,"medium",H5=3,"balanced",H5=4,"Good")</f>
        <v>medium</v>
      </c>
      <c r="L5" s="19" t="s">
        <v>95</v>
      </c>
      <c r="M5" s="19" t="s">
        <v>65</v>
      </c>
    </row>
    <row r="6" spans="1:16" ht="15.6" x14ac:dyDescent="0.3">
      <c r="A6" s="14">
        <v>1</v>
      </c>
      <c r="B6" t="str" cm="1">
        <f t="array" ref="B6">_xlfn.IFS(Datasets!Q6=1,"LoW",Table1[[#This Row],[JobSatisfaction]]=2,"Medium",Table1[[#This Row],[JobSatisfaction]]=3,"High",Table1[[#This Row],[JobSatisfaction]]=4,"Very High")</f>
        <v>LoW</v>
      </c>
      <c r="E6" s="18" t="s">
        <v>98</v>
      </c>
      <c r="F6" s="18" t="s">
        <v>65</v>
      </c>
      <c r="H6" s="5">
        <v>3</v>
      </c>
      <c r="I6" t="str" cm="1">
        <f t="array" ref="I6">_xlfn.IFS(H6=1,"low",H6=2,"medium",H6=3,"balanced",H6=4,"Good")</f>
        <v>balanced</v>
      </c>
      <c r="L6" s="40" t="s">
        <v>83</v>
      </c>
      <c r="M6" s="40">
        <f>COUNTIFS(I2:I1471,"low",Table1[Attrition],"Yes")</f>
        <v>25</v>
      </c>
    </row>
    <row r="7" spans="1:16" ht="15.6" x14ac:dyDescent="0.3">
      <c r="A7" s="13">
        <v>4</v>
      </c>
      <c r="B7" t="str" cm="1">
        <f t="array" ref="B7">_xlfn.IFS(Datasets!Q7=1,"LoW",Table1[[#This Row],[JobSatisfaction]]=2,"Medium",Table1[[#This Row],[JobSatisfaction]]=3,"High",Table1[[#This Row],[JobSatisfaction]]=4,"Very High")</f>
        <v>Very High</v>
      </c>
      <c r="E7" s="40" t="s">
        <v>83</v>
      </c>
      <c r="F7" s="40">
        <f>COUNTIFS(B2:B1471,"LoW",Table1[Attrition],"Yes")</f>
        <v>66</v>
      </c>
      <c r="H7" s="5">
        <v>2</v>
      </c>
      <c r="I7" t="str" cm="1">
        <f t="array" ref="I7">_xlfn.IFS(H7=1,"low",H7=2,"medium",H7=3,"balanced",H7=4,"Good")</f>
        <v>medium</v>
      </c>
      <c r="L7" s="40" t="s">
        <v>84</v>
      </c>
      <c r="M7" s="40">
        <f>COUNTIFS(I2:I1471,"medium",Table1[Attrition],"Yes")</f>
        <v>58</v>
      </c>
    </row>
    <row r="8" spans="1:16" ht="15.6" x14ac:dyDescent="0.3">
      <c r="A8" s="14">
        <v>4</v>
      </c>
      <c r="B8" t="str" cm="1">
        <f t="array" ref="B8">_xlfn.IFS(Datasets!Q8=1,"LoW",Table1[[#This Row],[JobSatisfaction]]=2,"Medium",Table1[[#This Row],[JobSatisfaction]]=3,"High",Table1[[#This Row],[JobSatisfaction]]=4,"Very High")</f>
        <v>Very High</v>
      </c>
      <c r="E8" s="40" t="s">
        <v>84</v>
      </c>
      <c r="F8" s="40">
        <f>COUNTIFS(B3:B1472,"Medium",Table1[Attrition],"Yes")</f>
        <v>53</v>
      </c>
      <c r="H8" s="5">
        <v>3</v>
      </c>
      <c r="I8" t="str" cm="1">
        <f t="array" ref="I8">_xlfn.IFS(H8=1,"low",H8=2,"medium",H8=3,"balanced",H8=4,"Good")</f>
        <v>balanced</v>
      </c>
      <c r="L8" s="40" t="s">
        <v>85</v>
      </c>
      <c r="M8" s="40">
        <f>COUNTIFS(I2:I1471,"balanced",Table1[Attrition],"Yes")</f>
        <v>127</v>
      </c>
    </row>
    <row r="9" spans="1:16" ht="15.6" x14ac:dyDescent="0.3">
      <c r="A9" s="13">
        <v>4</v>
      </c>
      <c r="B9" t="str" cm="1">
        <f t="array" ref="B9">_xlfn.IFS(Datasets!Q9=1,"LoW",Table1[[#This Row],[JobSatisfaction]]=2,"Medium",Table1[[#This Row],[JobSatisfaction]]=3,"High",Table1[[#This Row],[JobSatisfaction]]=4,"Very High")</f>
        <v>Very High</v>
      </c>
      <c r="E9" s="40" t="s">
        <v>96</v>
      </c>
      <c r="F9" s="40">
        <f>COUNTIFS(B4:B1473,"High",Table1[Attrition],"Yes")</f>
        <v>75</v>
      </c>
      <c r="H9" s="5">
        <v>3</v>
      </c>
      <c r="I9" t="str" cm="1">
        <f t="array" ref="I9">_xlfn.IFS(H9=1,"low",H9=2,"medium",H9=3,"balanced",H9=4,"Good")</f>
        <v>balanced</v>
      </c>
      <c r="L9" s="40" t="s">
        <v>86</v>
      </c>
      <c r="M9" s="40">
        <f>COUNTIFS(I2:I1471,"Good",Table1[Attrition],"Yes")</f>
        <v>27</v>
      </c>
    </row>
    <row r="10" spans="1:16" ht="15.6" x14ac:dyDescent="0.3">
      <c r="A10" s="14">
        <v>3</v>
      </c>
      <c r="B10" t="str" cm="1">
        <f t="array" ref="B10">_xlfn.IFS(Datasets!Q10=1,"LoW",Table1[[#This Row],[JobSatisfaction]]=2,"Medium",Table1[[#This Row],[JobSatisfaction]]=3,"High",Table1[[#This Row],[JobSatisfaction]]=4,"Very High")</f>
        <v>High</v>
      </c>
      <c r="E10" s="40" t="s">
        <v>97</v>
      </c>
      <c r="F10" s="40">
        <f>COUNTIFS(B5:B1474,"Very High",Table1[Attrition],"Yes")</f>
        <v>72</v>
      </c>
      <c r="H10" s="5">
        <v>3</v>
      </c>
      <c r="I10" t="str" cm="1">
        <f t="array" ref="I10">_xlfn.IFS(H10=1,"low",H10=2,"medium",H10=3,"balanced",H10=4,"Good")</f>
        <v>balanced</v>
      </c>
    </row>
    <row r="11" spans="1:16" x14ac:dyDescent="0.3">
      <c r="A11" s="13">
        <v>3</v>
      </c>
      <c r="B11" t="str" cm="1">
        <f t="array" ref="B11">_xlfn.IFS(Datasets!Q11=1,"LoW",Table1[[#This Row],[JobSatisfaction]]=2,"Medium",Table1[[#This Row],[JobSatisfaction]]=3,"High",Table1[[#This Row],[JobSatisfaction]]=4,"Very High")</f>
        <v>High</v>
      </c>
      <c r="H11" s="5">
        <v>3</v>
      </c>
      <c r="I11" t="str" cm="1">
        <f t="array" ref="I11">_xlfn.IFS(H11=1,"low",H11=2,"medium",H11=3,"balanced",H11=4,"Good")</f>
        <v>balanced</v>
      </c>
    </row>
    <row r="12" spans="1:16" x14ac:dyDescent="0.3">
      <c r="A12" s="14">
        <v>4</v>
      </c>
      <c r="B12" t="str" cm="1">
        <f t="array" ref="B12">_xlfn.IFS(Datasets!Q12=1,"LoW",Table1[[#This Row],[JobSatisfaction]]=2,"Medium",Table1[[#This Row],[JobSatisfaction]]=3,"High",Table1[[#This Row],[JobSatisfaction]]=4,"Very High")</f>
        <v>Very High</v>
      </c>
      <c r="H12" s="5">
        <v>3</v>
      </c>
      <c r="I12" t="str" cm="1">
        <f t="array" ref="I12">_xlfn.IFS(H12=1,"low",H12=2,"medium",H12=3,"balanced",H12=4,"Good")</f>
        <v>balanced</v>
      </c>
    </row>
    <row r="13" spans="1:16" x14ac:dyDescent="0.3">
      <c r="A13" s="13">
        <v>2</v>
      </c>
      <c r="B13" t="str" cm="1">
        <f t="array" ref="B13">_xlfn.IFS(Datasets!Q13=1,"LoW",Table1[[#This Row],[JobSatisfaction]]=2,"Medium",Table1[[#This Row],[JobSatisfaction]]=3,"High",Table1[[#This Row],[JobSatisfaction]]=4,"Very High")</f>
        <v>Medium</v>
      </c>
      <c r="H13" s="5">
        <v>4</v>
      </c>
      <c r="I13" t="str" cm="1">
        <f t="array" ref="I13">_xlfn.IFS(H13=1,"low",H13=2,"medium",H13=3,"balanced",H13=4,"Good")</f>
        <v>Good</v>
      </c>
    </row>
    <row r="14" spans="1:16" x14ac:dyDescent="0.3">
      <c r="A14" s="14">
        <v>3</v>
      </c>
      <c r="B14" t="str" cm="1">
        <f t="array" ref="B14">_xlfn.IFS(Datasets!Q14=1,"LoW",Table1[[#This Row],[JobSatisfaction]]=2,"Medium",Table1[[#This Row],[JobSatisfaction]]=3,"High",Table1[[#This Row],[JobSatisfaction]]=4,"Very High")</f>
        <v>High</v>
      </c>
      <c r="H14" s="5">
        <v>2</v>
      </c>
      <c r="I14" t="str" cm="1">
        <f t="array" ref="I14">_xlfn.IFS(H14=1,"low",H14=2,"medium",H14=3,"balanced",H14=4,"Good")</f>
        <v>medium</v>
      </c>
    </row>
    <row r="15" spans="1:16" x14ac:dyDescent="0.3">
      <c r="A15" s="13">
        <v>3</v>
      </c>
      <c r="B15" t="str" cm="1">
        <f t="array" ref="B15">_xlfn.IFS(Datasets!Q15=1,"LoW",Table1[[#This Row],[JobSatisfaction]]=2,"Medium",Table1[[#This Row],[JobSatisfaction]]=3,"High",Table1[[#This Row],[JobSatisfaction]]=4,"Very High")</f>
        <v>High</v>
      </c>
      <c r="H15" s="5">
        <v>3</v>
      </c>
      <c r="I15" t="str" cm="1">
        <f t="array" ref="I15">_xlfn.IFS(H15=1,"low",H15=2,"medium",H15=3,"balanced",H15=4,"Good")</f>
        <v>balanced</v>
      </c>
      <c r="L15" s="47" t="s">
        <v>102</v>
      </c>
      <c r="M15" s="47"/>
      <c r="N15" s="47"/>
      <c r="O15" s="47"/>
      <c r="P15" s="47"/>
    </row>
    <row r="16" spans="1:16" x14ac:dyDescent="0.3">
      <c r="A16" s="14">
        <v>3</v>
      </c>
      <c r="B16" t="str" cm="1">
        <f t="array" ref="B16">_xlfn.IFS(Datasets!Q16=1,"LoW",Table1[[#This Row],[JobSatisfaction]]=2,"Medium",Table1[[#This Row],[JobSatisfaction]]=3,"High",Table1[[#This Row],[JobSatisfaction]]=4,"Very High")</f>
        <v>High</v>
      </c>
      <c r="H16" s="5">
        <v>3</v>
      </c>
      <c r="I16" t="str" cm="1">
        <f t="array" ref="I16">_xlfn.IFS(H16=1,"low",H16=2,"medium",H16=3,"balanced",H16=4,"Good")</f>
        <v>balanced</v>
      </c>
      <c r="L16" s="47"/>
      <c r="M16" s="47"/>
      <c r="N16" s="47"/>
      <c r="O16" s="47"/>
      <c r="P16" s="47"/>
    </row>
    <row r="17" spans="1:16" x14ac:dyDescent="0.3">
      <c r="A17" s="13">
        <v>2</v>
      </c>
      <c r="B17" t="str" cm="1">
        <f t="array" ref="B17">_xlfn.IFS(Datasets!Q17=1,"LoW",Table1[[#This Row],[JobSatisfaction]]=2,"Medium",Table1[[#This Row],[JobSatisfaction]]=3,"High",Table1[[#This Row],[JobSatisfaction]]=4,"Very High")</f>
        <v>Medium</v>
      </c>
      <c r="H17" s="5">
        <v>3</v>
      </c>
      <c r="I17" t="str" cm="1">
        <f t="array" ref="I17">_xlfn.IFS(H17=1,"low",H17=2,"medium",H17=3,"balanced",H17=4,"Good")</f>
        <v>balanced</v>
      </c>
      <c r="L17" s="47"/>
      <c r="M17" s="47"/>
      <c r="N17" s="47"/>
      <c r="O17" s="47"/>
      <c r="P17" s="47"/>
    </row>
    <row r="18" spans="1:16" x14ac:dyDescent="0.3">
      <c r="A18" s="14">
        <v>1</v>
      </c>
      <c r="B18" t="str" cm="1">
        <f t="array" ref="B18">_xlfn.IFS(Datasets!Q18=1,"LoW",Table1[[#This Row],[JobSatisfaction]]=2,"Medium",Table1[[#This Row],[JobSatisfaction]]=3,"High",Table1[[#This Row],[JobSatisfaction]]=4,"Very High")</f>
        <v>LoW</v>
      </c>
      <c r="H18" s="5">
        <v>2</v>
      </c>
      <c r="I18" t="str" cm="1">
        <f t="array" ref="I18">_xlfn.IFS(H18=1,"low",H18=2,"medium",H18=3,"balanced",H18=4,"Good")</f>
        <v>medium</v>
      </c>
      <c r="L18" s="47"/>
      <c r="M18" s="47"/>
      <c r="N18" s="47"/>
      <c r="O18" s="47"/>
      <c r="P18" s="47"/>
    </row>
    <row r="19" spans="1:16" x14ac:dyDescent="0.3">
      <c r="A19" s="13">
        <v>3</v>
      </c>
      <c r="B19" t="str" cm="1">
        <f t="array" ref="B19">_xlfn.IFS(Datasets!Q19=1,"LoW",Table1[[#This Row],[JobSatisfaction]]=2,"Medium",Table1[[#This Row],[JobSatisfaction]]=3,"High",Table1[[#This Row],[JobSatisfaction]]=4,"Very High")</f>
        <v>High</v>
      </c>
      <c r="H19" s="5">
        <v>3</v>
      </c>
      <c r="I19" t="str" cm="1">
        <f t="array" ref="I19">_xlfn.IFS(H19=1,"low",H19=2,"medium",H19=3,"balanced",H19=4,"Good")</f>
        <v>balanced</v>
      </c>
      <c r="L19" s="47"/>
      <c r="M19" s="47"/>
      <c r="N19" s="47"/>
      <c r="O19" s="47"/>
      <c r="P19" s="47"/>
    </row>
    <row r="20" spans="1:16" x14ac:dyDescent="0.3">
      <c r="A20" s="14">
        <v>2</v>
      </c>
      <c r="B20" t="str" cm="1">
        <f t="array" ref="B20">_xlfn.IFS(Datasets!Q20=1,"LoW",Table1[[#This Row],[JobSatisfaction]]=2,"Medium",Table1[[#This Row],[JobSatisfaction]]=3,"High",Table1[[#This Row],[JobSatisfaction]]=4,"Very High")</f>
        <v>Medium</v>
      </c>
      <c r="H20" s="5">
        <v>3</v>
      </c>
      <c r="I20" t="str" cm="1">
        <f t="array" ref="I20">_xlfn.IFS(H20=1,"low",H20=2,"medium",H20=3,"balanced",H20=4,"Good")</f>
        <v>balanced</v>
      </c>
      <c r="L20" s="47"/>
      <c r="M20" s="47"/>
      <c r="N20" s="47"/>
      <c r="O20" s="47"/>
      <c r="P20" s="47"/>
    </row>
    <row r="21" spans="1:16" x14ac:dyDescent="0.3">
      <c r="A21" s="13">
        <v>3</v>
      </c>
      <c r="B21" t="str" cm="1">
        <f t="array" ref="B21">_xlfn.IFS(Datasets!Q21=1,"LoW",Table1[[#This Row],[JobSatisfaction]]=2,"Medium",Table1[[#This Row],[JobSatisfaction]]=3,"High",Table1[[#This Row],[JobSatisfaction]]=4,"Very High")</f>
        <v>High</v>
      </c>
      <c r="H21" s="5">
        <v>1</v>
      </c>
      <c r="I21" t="str" cm="1">
        <f t="array" ref="I21">_xlfn.IFS(H21=1,"low",H21=2,"medium",H21=3,"balanced",H21=4,"Good")</f>
        <v>low</v>
      </c>
    </row>
    <row r="22" spans="1:16" x14ac:dyDescent="0.3">
      <c r="A22" s="14">
        <v>3</v>
      </c>
      <c r="B22" t="str" cm="1">
        <f t="array" ref="B22">_xlfn.IFS(Datasets!Q22=1,"LoW",Table1[[#This Row],[JobSatisfaction]]=2,"Medium",Table1[[#This Row],[JobSatisfaction]]=3,"High",Table1[[#This Row],[JobSatisfaction]]=4,"Very High")</f>
        <v>High</v>
      </c>
      <c r="H22" s="5">
        <v>3</v>
      </c>
      <c r="I22" t="str" cm="1">
        <f t="array" ref="I22">_xlfn.IFS(H22=1,"low",H22=2,"medium",H22=3,"balanced",H22=4,"Good")</f>
        <v>balanced</v>
      </c>
    </row>
    <row r="23" spans="1:16" x14ac:dyDescent="0.3">
      <c r="A23" s="13">
        <v>3</v>
      </c>
      <c r="B23" t="str" cm="1">
        <f t="array" ref="B23">_xlfn.IFS(Datasets!Q23=1,"LoW",Table1[[#This Row],[JobSatisfaction]]=2,"Medium",Table1[[#This Row],[JobSatisfaction]]=3,"High",Table1[[#This Row],[JobSatisfaction]]=4,"Very High")</f>
        <v>High</v>
      </c>
      <c r="H23" s="5">
        <v>1</v>
      </c>
      <c r="I23" t="str" cm="1">
        <f t="array" ref="I23">_xlfn.IFS(H23=1,"low",H23=2,"medium",H23=3,"balanced",H23=4,"Good")</f>
        <v>low</v>
      </c>
    </row>
    <row r="24" spans="1:16" x14ac:dyDescent="0.3">
      <c r="A24" s="14">
        <v>4</v>
      </c>
      <c r="B24" t="str" cm="1">
        <f t="array" ref="B24">_xlfn.IFS(Datasets!Q24=1,"LoW",Table1[[#This Row],[JobSatisfaction]]=2,"Medium",Table1[[#This Row],[JobSatisfaction]]=3,"High",Table1[[#This Row],[JobSatisfaction]]=4,"Very High")</f>
        <v>Very High</v>
      </c>
      <c r="H24" s="5">
        <v>4</v>
      </c>
      <c r="I24" t="str" cm="1">
        <f t="array" ref="I24">_xlfn.IFS(H24=1,"low",H24=2,"medium",H24=3,"balanced",H24=4,"Good")</f>
        <v>Good</v>
      </c>
    </row>
    <row r="25" spans="1:16" x14ac:dyDescent="0.3">
      <c r="A25" s="13">
        <v>1</v>
      </c>
      <c r="B25" t="str" cm="1">
        <f t="array" ref="B25">_xlfn.IFS(Datasets!Q25=1,"LoW",Table1[[#This Row],[JobSatisfaction]]=2,"Medium",Table1[[#This Row],[JobSatisfaction]]=3,"High",Table1[[#This Row],[JobSatisfaction]]=4,"Very High")</f>
        <v>LoW</v>
      </c>
      <c r="H25" s="5">
        <v>3</v>
      </c>
      <c r="I25" t="str" cm="1">
        <f t="array" ref="I25">_xlfn.IFS(H25=1,"low",H25=2,"medium",H25=3,"balanced",H25=4,"Good")</f>
        <v>balanced</v>
      </c>
    </row>
    <row r="26" spans="1:16" x14ac:dyDescent="0.3">
      <c r="A26" s="14">
        <v>4</v>
      </c>
      <c r="B26" t="str" cm="1">
        <f t="array" ref="B26">_xlfn.IFS(Datasets!Q26=1,"LoW",Table1[[#This Row],[JobSatisfaction]]=2,"Medium",Table1[[#This Row],[JobSatisfaction]]=3,"High",Table1[[#This Row],[JobSatisfaction]]=4,"Very High")</f>
        <v>Very High</v>
      </c>
      <c r="H26" s="5">
        <v>4</v>
      </c>
      <c r="I26" t="str" cm="1">
        <f t="array" ref="I26">_xlfn.IFS(H26=1,"low",H26=2,"medium",H26=3,"balanced",H26=4,"Good")</f>
        <v>Good</v>
      </c>
    </row>
    <row r="27" spans="1:16" x14ac:dyDescent="0.3">
      <c r="A27" s="13">
        <v>3</v>
      </c>
      <c r="B27" t="str" cm="1">
        <f t="array" ref="B27">_xlfn.IFS(Datasets!Q27=1,"LoW",Table1[[#This Row],[JobSatisfaction]]=2,"Medium",Table1[[#This Row],[JobSatisfaction]]=3,"High",Table1[[#This Row],[JobSatisfaction]]=4,"Very High")</f>
        <v>High</v>
      </c>
      <c r="H27" s="5">
        <v>2</v>
      </c>
      <c r="I27" t="str" cm="1">
        <f t="array" ref="I27">_xlfn.IFS(H27=1,"low",H27=2,"medium",H27=3,"balanced",H27=4,"Good")</f>
        <v>medium</v>
      </c>
    </row>
    <row r="28" spans="1:16" x14ac:dyDescent="0.3">
      <c r="A28" s="14">
        <v>4</v>
      </c>
      <c r="B28" t="str" cm="1">
        <f t="array" ref="B28">_xlfn.IFS(Datasets!Q28=1,"LoW",Table1[[#This Row],[JobSatisfaction]]=2,"Medium",Table1[[#This Row],[JobSatisfaction]]=3,"High",Table1[[#This Row],[JobSatisfaction]]=4,"Very High")</f>
        <v>Very High</v>
      </c>
      <c r="H28" s="5">
        <v>3</v>
      </c>
      <c r="I28" t="str" cm="1">
        <f t="array" ref="I28">_xlfn.IFS(H28=1,"low",H28=2,"medium",H28=3,"balanced",H28=4,"Good")</f>
        <v>balanced</v>
      </c>
    </row>
    <row r="29" spans="1:16" x14ac:dyDescent="0.3">
      <c r="A29" s="13">
        <v>4</v>
      </c>
      <c r="B29" t="str" cm="1">
        <f t="array" ref="B29">_xlfn.IFS(Datasets!Q29=1,"LoW",Table1[[#This Row],[JobSatisfaction]]=2,"Medium",Table1[[#This Row],[JobSatisfaction]]=3,"High",Table1[[#This Row],[JobSatisfaction]]=4,"Very High")</f>
        <v>Very High</v>
      </c>
      <c r="H29" s="5">
        <v>2</v>
      </c>
      <c r="I29" t="str" cm="1">
        <f t="array" ref="I29">_xlfn.IFS(H29=1,"low",H29=2,"medium",H29=3,"balanced",H29=4,"Good")</f>
        <v>medium</v>
      </c>
    </row>
    <row r="30" spans="1:16" x14ac:dyDescent="0.3">
      <c r="A30" s="14">
        <v>1</v>
      </c>
      <c r="B30" t="str" cm="1">
        <f t="array" ref="B30">_xlfn.IFS(Datasets!Q30=1,"LoW",Table1[[#This Row],[JobSatisfaction]]=2,"Medium",Table1[[#This Row],[JobSatisfaction]]=3,"High",Table1[[#This Row],[JobSatisfaction]]=4,"Very High")</f>
        <v>LoW</v>
      </c>
      <c r="H30" s="5">
        <v>2</v>
      </c>
      <c r="I30" t="str" cm="1">
        <f t="array" ref="I30">_xlfn.IFS(H30=1,"low",H30=2,"medium",H30=3,"balanced",H30=4,"Good")</f>
        <v>medium</v>
      </c>
    </row>
    <row r="31" spans="1:16" x14ac:dyDescent="0.3">
      <c r="A31" s="13">
        <v>2</v>
      </c>
      <c r="B31" t="str" cm="1">
        <f t="array" ref="B31">_xlfn.IFS(Datasets!Q31=1,"LoW",Table1[[#This Row],[JobSatisfaction]]=2,"Medium",Table1[[#This Row],[JobSatisfaction]]=3,"High",Table1[[#This Row],[JobSatisfaction]]=4,"Very High")</f>
        <v>Medium</v>
      </c>
      <c r="H31" s="5">
        <v>4</v>
      </c>
      <c r="I31" t="str" cm="1">
        <f t="array" ref="I31">_xlfn.IFS(H31=1,"low",H31=2,"medium",H31=3,"balanced",H31=4,"Good")</f>
        <v>Good</v>
      </c>
    </row>
    <row r="32" spans="1:16" x14ac:dyDescent="0.3">
      <c r="A32" s="14">
        <v>2</v>
      </c>
      <c r="B32" t="str" cm="1">
        <f t="array" ref="B32">_xlfn.IFS(Datasets!Q32=1,"LoW",Table1[[#This Row],[JobSatisfaction]]=2,"Medium",Table1[[#This Row],[JobSatisfaction]]=3,"High",Table1[[#This Row],[JobSatisfaction]]=4,"Very High")</f>
        <v>Medium</v>
      </c>
      <c r="H32" s="5">
        <v>3</v>
      </c>
      <c r="I32" t="str" cm="1">
        <f t="array" ref="I32">_xlfn.IFS(H32=1,"low",H32=2,"medium",H32=3,"balanced",H32=4,"Good")</f>
        <v>balanced</v>
      </c>
    </row>
    <row r="33" spans="1:9" x14ac:dyDescent="0.3">
      <c r="A33" s="13">
        <v>3</v>
      </c>
      <c r="B33" t="str" cm="1">
        <f t="array" ref="B33">_xlfn.IFS(Datasets!Q33=1,"LoW",Table1[[#This Row],[JobSatisfaction]]=2,"Medium",Table1[[#This Row],[JobSatisfaction]]=3,"High",Table1[[#This Row],[JobSatisfaction]]=4,"Very High")</f>
        <v>High</v>
      </c>
      <c r="H33" s="5">
        <v>3</v>
      </c>
      <c r="I33" t="str" cm="1">
        <f t="array" ref="I33">_xlfn.IFS(H33=1,"low",H33=2,"medium",H33=3,"balanced",H33=4,"Good")</f>
        <v>balanced</v>
      </c>
    </row>
    <row r="34" spans="1:9" x14ac:dyDescent="0.3">
      <c r="A34" s="14">
        <v>4</v>
      </c>
      <c r="B34" t="str" cm="1">
        <f t="array" ref="B34">_xlfn.IFS(Datasets!Q34=1,"LoW",Table1[[#This Row],[JobSatisfaction]]=2,"Medium",Table1[[#This Row],[JobSatisfaction]]=3,"High",Table1[[#This Row],[JobSatisfaction]]=4,"Very High")</f>
        <v>Very High</v>
      </c>
      <c r="H34" s="5">
        <v>3</v>
      </c>
      <c r="I34" t="str" cm="1">
        <f t="array" ref="I34">_xlfn.IFS(H34=1,"low",H34=2,"medium",H34=3,"balanced",H34=4,"Good")</f>
        <v>balanced</v>
      </c>
    </row>
    <row r="35" spans="1:9" x14ac:dyDescent="0.3">
      <c r="A35" s="13">
        <v>3</v>
      </c>
      <c r="B35" t="str" cm="1">
        <f t="array" ref="B35">_xlfn.IFS(Datasets!Q35=1,"LoW",Table1[[#This Row],[JobSatisfaction]]=2,"Medium",Table1[[#This Row],[JobSatisfaction]]=3,"High",Table1[[#This Row],[JobSatisfaction]]=4,"Very High")</f>
        <v>High</v>
      </c>
      <c r="H35" s="5">
        <v>3</v>
      </c>
      <c r="I35" t="str" cm="1">
        <f t="array" ref="I35">_xlfn.IFS(H35=1,"low",H35=2,"medium",H35=3,"balanced",H35=4,"Good")</f>
        <v>balanced</v>
      </c>
    </row>
    <row r="36" spans="1:9" x14ac:dyDescent="0.3">
      <c r="A36" s="14">
        <v>3</v>
      </c>
      <c r="B36" t="str" cm="1">
        <f t="array" ref="B36">_xlfn.IFS(Datasets!Q36=1,"LoW",Table1[[#This Row],[JobSatisfaction]]=2,"Medium",Table1[[#This Row],[JobSatisfaction]]=3,"High",Table1[[#This Row],[JobSatisfaction]]=4,"Very High")</f>
        <v>High</v>
      </c>
      <c r="H36" s="5">
        <v>3</v>
      </c>
      <c r="I36" t="str" cm="1">
        <f t="array" ref="I36">_xlfn.IFS(H36=1,"low",H36=2,"medium",H36=3,"balanced",H36=4,"Good")</f>
        <v>balanced</v>
      </c>
    </row>
    <row r="37" spans="1:9" x14ac:dyDescent="0.3">
      <c r="A37" s="13">
        <v>2</v>
      </c>
      <c r="B37" t="str" cm="1">
        <f t="array" ref="B37">_xlfn.IFS(Datasets!Q37=1,"LoW",Table1[[#This Row],[JobSatisfaction]]=2,"Medium",Table1[[#This Row],[JobSatisfaction]]=3,"High",Table1[[#This Row],[JobSatisfaction]]=4,"Very High")</f>
        <v>Medium</v>
      </c>
      <c r="H37" s="5">
        <v>3</v>
      </c>
      <c r="I37" t="str" cm="1">
        <f t="array" ref="I37">_xlfn.IFS(H37=1,"low",H37=2,"medium",H37=3,"balanced",H37=4,"Good")</f>
        <v>balanced</v>
      </c>
    </row>
    <row r="38" spans="1:9" x14ac:dyDescent="0.3">
      <c r="A38" s="14">
        <v>3</v>
      </c>
      <c r="B38" t="str" cm="1">
        <f t="array" ref="B38">_xlfn.IFS(Datasets!Q38=1,"LoW",Table1[[#This Row],[JobSatisfaction]]=2,"Medium",Table1[[#This Row],[JobSatisfaction]]=3,"High",Table1[[#This Row],[JobSatisfaction]]=4,"Very High")</f>
        <v>High</v>
      </c>
      <c r="H38" s="5">
        <v>2</v>
      </c>
      <c r="I38" t="str" cm="1">
        <f t="array" ref="I38">_xlfn.IFS(H38=1,"low",H38=2,"medium",H38=3,"balanced",H38=4,"Good")</f>
        <v>medium</v>
      </c>
    </row>
    <row r="39" spans="1:9" x14ac:dyDescent="0.3">
      <c r="A39" s="13">
        <v>4</v>
      </c>
      <c r="B39" t="str" cm="1">
        <f t="array" ref="B39">_xlfn.IFS(Datasets!Q39=1,"LoW",Table1[[#This Row],[JobSatisfaction]]=2,"Medium",Table1[[#This Row],[JobSatisfaction]]=3,"High",Table1[[#This Row],[JobSatisfaction]]=4,"Very High")</f>
        <v>Very High</v>
      </c>
      <c r="H39" s="5">
        <v>3</v>
      </c>
      <c r="I39" t="str" cm="1">
        <f t="array" ref="I39">_xlfn.IFS(H39=1,"low",H39=2,"medium",H39=3,"balanced",H39=4,"Good")</f>
        <v>balanced</v>
      </c>
    </row>
    <row r="40" spans="1:9" x14ac:dyDescent="0.3">
      <c r="A40" s="14">
        <v>2</v>
      </c>
      <c r="B40" t="str" cm="1">
        <f t="array" ref="B40">_xlfn.IFS(Datasets!Q40=1,"LoW",Table1[[#This Row],[JobSatisfaction]]=2,"Medium",Table1[[#This Row],[JobSatisfaction]]=3,"High",Table1[[#This Row],[JobSatisfaction]]=4,"Very High")</f>
        <v>Medium</v>
      </c>
      <c r="H40" s="5">
        <v>3</v>
      </c>
      <c r="I40" t="str" cm="1">
        <f t="array" ref="I40">_xlfn.IFS(H40=1,"low",H40=2,"medium",H40=3,"balanced",H40=4,"Good")</f>
        <v>balanced</v>
      </c>
    </row>
    <row r="41" spans="1:9" x14ac:dyDescent="0.3">
      <c r="A41" s="13">
        <v>4</v>
      </c>
      <c r="B41" t="str" cm="1">
        <f t="array" ref="B41">_xlfn.IFS(Datasets!Q41=1,"LoW",Table1[[#This Row],[JobSatisfaction]]=2,"Medium",Table1[[#This Row],[JobSatisfaction]]=3,"High",Table1[[#This Row],[JobSatisfaction]]=4,"Very High")</f>
        <v>Very High</v>
      </c>
      <c r="H41" s="5">
        <v>3</v>
      </c>
      <c r="I41" t="str" cm="1">
        <f t="array" ref="I41">_xlfn.IFS(H41=1,"low",H41=2,"medium",H41=3,"balanced",H41=4,"Good")</f>
        <v>balanced</v>
      </c>
    </row>
    <row r="42" spans="1:9" x14ac:dyDescent="0.3">
      <c r="A42" s="14">
        <v>1</v>
      </c>
      <c r="B42" t="str" cm="1">
        <f t="array" ref="B42">_xlfn.IFS(Datasets!Q42=1,"LoW",Table1[[#This Row],[JobSatisfaction]]=2,"Medium",Table1[[#This Row],[JobSatisfaction]]=3,"High",Table1[[#This Row],[JobSatisfaction]]=4,"Very High")</f>
        <v>LoW</v>
      </c>
      <c r="H42" s="5">
        <v>1</v>
      </c>
      <c r="I42" t="str" cm="1">
        <f t="array" ref="I42">_xlfn.IFS(H42=1,"low",H42=2,"medium",H42=3,"balanced",H42=4,"Good")</f>
        <v>low</v>
      </c>
    </row>
    <row r="43" spans="1:9" x14ac:dyDescent="0.3">
      <c r="A43" s="13">
        <v>2</v>
      </c>
      <c r="B43" t="str" cm="1">
        <f t="array" ref="B43">_xlfn.IFS(Datasets!Q43=1,"LoW",Table1[[#This Row],[JobSatisfaction]]=2,"Medium",Table1[[#This Row],[JobSatisfaction]]=3,"High",Table1[[#This Row],[JobSatisfaction]]=4,"Very High")</f>
        <v>Medium</v>
      </c>
      <c r="H43" s="5">
        <v>2</v>
      </c>
      <c r="I43" t="str" cm="1">
        <f t="array" ref="I43">_xlfn.IFS(H43=1,"low",H43=2,"medium",H43=3,"balanced",H43=4,"Good")</f>
        <v>medium</v>
      </c>
    </row>
    <row r="44" spans="1:9" x14ac:dyDescent="0.3">
      <c r="A44" s="14">
        <v>2</v>
      </c>
      <c r="B44" t="str" cm="1">
        <f t="array" ref="B44">_xlfn.IFS(Datasets!Q44=1,"LoW",Table1[[#This Row],[JobSatisfaction]]=2,"Medium",Table1[[#This Row],[JobSatisfaction]]=3,"High",Table1[[#This Row],[JobSatisfaction]]=4,"Very High")</f>
        <v>Medium</v>
      </c>
      <c r="H44" s="5">
        <v>1</v>
      </c>
      <c r="I44" t="str" cm="1">
        <f t="array" ref="I44">_xlfn.IFS(H44=1,"low",H44=2,"medium",H44=3,"balanced",H44=4,"Good")</f>
        <v>low</v>
      </c>
    </row>
    <row r="45" spans="1:9" x14ac:dyDescent="0.3">
      <c r="A45" s="13">
        <v>3</v>
      </c>
      <c r="B45" t="str" cm="1">
        <f t="array" ref="B45">_xlfn.IFS(Datasets!Q45=1,"LoW",Table1[[#This Row],[JobSatisfaction]]=2,"Medium",Table1[[#This Row],[JobSatisfaction]]=3,"High",Table1[[#This Row],[JobSatisfaction]]=4,"Very High")</f>
        <v>High</v>
      </c>
      <c r="H45" s="5">
        <v>3</v>
      </c>
      <c r="I45" t="str" cm="1">
        <f t="array" ref="I45">_xlfn.IFS(H45=1,"low",H45=2,"medium",H45=3,"balanced",H45=4,"Good")</f>
        <v>balanced</v>
      </c>
    </row>
    <row r="46" spans="1:9" x14ac:dyDescent="0.3">
      <c r="A46" s="14">
        <v>2</v>
      </c>
      <c r="B46" t="str" cm="1">
        <f t="array" ref="B46">_xlfn.IFS(Datasets!Q46=1,"LoW",Table1[[#This Row],[JobSatisfaction]]=2,"Medium",Table1[[#This Row],[JobSatisfaction]]=3,"High",Table1[[#This Row],[JobSatisfaction]]=4,"Very High")</f>
        <v>Medium</v>
      </c>
      <c r="H46" s="5">
        <v>3</v>
      </c>
      <c r="I46" t="str" cm="1">
        <f t="array" ref="I46">_xlfn.IFS(H46=1,"low",H46=2,"medium",H46=3,"balanced",H46=4,"Good")</f>
        <v>balanced</v>
      </c>
    </row>
    <row r="47" spans="1:9" x14ac:dyDescent="0.3">
      <c r="A47" s="13">
        <v>3</v>
      </c>
      <c r="B47" t="str" cm="1">
        <f t="array" ref="B47">_xlfn.IFS(Datasets!Q47=1,"LoW",Table1[[#This Row],[JobSatisfaction]]=2,"Medium",Table1[[#This Row],[JobSatisfaction]]=3,"High",Table1[[#This Row],[JobSatisfaction]]=4,"Very High")</f>
        <v>High</v>
      </c>
      <c r="H47" s="5">
        <v>3</v>
      </c>
      <c r="I47" t="str" cm="1">
        <f t="array" ref="I47">_xlfn.IFS(H47=1,"low",H47=2,"medium",H47=3,"balanced",H47=4,"Good")</f>
        <v>balanced</v>
      </c>
    </row>
    <row r="48" spans="1:9" x14ac:dyDescent="0.3">
      <c r="A48" s="14">
        <v>1</v>
      </c>
      <c r="B48" t="str" cm="1">
        <f t="array" ref="B48">_xlfn.IFS(Datasets!Q48=1,"LoW",Table1[[#This Row],[JobSatisfaction]]=2,"Medium",Table1[[#This Row],[JobSatisfaction]]=3,"High",Table1[[#This Row],[JobSatisfaction]]=4,"Very High")</f>
        <v>LoW</v>
      </c>
      <c r="H48" s="5">
        <v>4</v>
      </c>
      <c r="I48" t="str" cm="1">
        <f t="array" ref="I48">_xlfn.IFS(H48=1,"low",H48=2,"medium",H48=3,"balanced",H48=4,"Good")</f>
        <v>Good</v>
      </c>
    </row>
    <row r="49" spans="1:9" x14ac:dyDescent="0.3">
      <c r="A49" s="13">
        <v>2</v>
      </c>
      <c r="B49" t="str" cm="1">
        <f t="array" ref="B49">_xlfn.IFS(Datasets!Q49=1,"LoW",Table1[[#This Row],[JobSatisfaction]]=2,"Medium",Table1[[#This Row],[JobSatisfaction]]=3,"High",Table1[[#This Row],[JobSatisfaction]]=4,"Very High")</f>
        <v>Medium</v>
      </c>
      <c r="H49" s="5">
        <v>3</v>
      </c>
      <c r="I49" t="str" cm="1">
        <f t="array" ref="I49">_xlfn.IFS(H49=1,"low",H49=2,"medium",H49=3,"balanced",H49=4,"Good")</f>
        <v>balanced</v>
      </c>
    </row>
    <row r="50" spans="1:9" x14ac:dyDescent="0.3">
      <c r="A50" s="14">
        <v>2</v>
      </c>
      <c r="B50" t="str" cm="1">
        <f t="array" ref="B50">_xlfn.IFS(Datasets!Q50=1,"LoW",Table1[[#This Row],[JobSatisfaction]]=2,"Medium",Table1[[#This Row],[JobSatisfaction]]=3,"High",Table1[[#This Row],[JobSatisfaction]]=4,"Very High")</f>
        <v>Medium</v>
      </c>
      <c r="H50" s="5">
        <v>4</v>
      </c>
      <c r="I50" t="str" cm="1">
        <f t="array" ref="I50">_xlfn.IFS(H50=1,"low",H50=2,"medium",H50=3,"balanced",H50=4,"Good")</f>
        <v>Good</v>
      </c>
    </row>
    <row r="51" spans="1:9" x14ac:dyDescent="0.3">
      <c r="A51" s="13">
        <v>1</v>
      </c>
      <c r="B51" t="str" cm="1">
        <f t="array" ref="B51">_xlfn.IFS(Datasets!Q51=1,"LoW",Table1[[#This Row],[JobSatisfaction]]=2,"Medium",Table1[[#This Row],[JobSatisfaction]]=3,"High",Table1[[#This Row],[JobSatisfaction]]=4,"Very High")</f>
        <v>LoW</v>
      </c>
      <c r="H51" s="5">
        <v>3</v>
      </c>
      <c r="I51" t="str" cm="1">
        <f t="array" ref="I51">_xlfn.IFS(H51=1,"low",H51=2,"medium",H51=3,"balanced",H51=4,"Good")</f>
        <v>balanced</v>
      </c>
    </row>
    <row r="52" spans="1:9" x14ac:dyDescent="0.3">
      <c r="A52" s="14">
        <v>3</v>
      </c>
      <c r="B52" t="str" cm="1">
        <f t="array" ref="B52">_xlfn.IFS(Datasets!Q52=1,"LoW",Table1[[#This Row],[JobSatisfaction]]=2,"Medium",Table1[[#This Row],[JobSatisfaction]]=3,"High",Table1[[#This Row],[JobSatisfaction]]=4,"Very High")</f>
        <v>High</v>
      </c>
      <c r="H52" s="5">
        <v>2</v>
      </c>
      <c r="I52" t="str" cm="1">
        <f t="array" ref="I52">_xlfn.IFS(H52=1,"low",H52=2,"medium",H52=3,"balanced",H52=4,"Good")</f>
        <v>medium</v>
      </c>
    </row>
    <row r="53" spans="1:9" x14ac:dyDescent="0.3">
      <c r="A53" s="13">
        <v>4</v>
      </c>
      <c r="B53" t="str" cm="1">
        <f t="array" ref="B53">_xlfn.IFS(Datasets!Q53=1,"LoW",Table1[[#This Row],[JobSatisfaction]]=2,"Medium",Table1[[#This Row],[JobSatisfaction]]=3,"High",Table1[[#This Row],[JobSatisfaction]]=4,"Very High")</f>
        <v>Very High</v>
      </c>
      <c r="H53" s="5">
        <v>4</v>
      </c>
      <c r="I53" t="str" cm="1">
        <f t="array" ref="I53">_xlfn.IFS(H53=1,"low",H53=2,"medium",H53=3,"balanced",H53=4,"Good")</f>
        <v>Good</v>
      </c>
    </row>
    <row r="54" spans="1:9" x14ac:dyDescent="0.3">
      <c r="A54" s="14">
        <v>4</v>
      </c>
      <c r="B54" t="str" cm="1">
        <f t="array" ref="B54">_xlfn.IFS(Datasets!Q54=1,"LoW",Table1[[#This Row],[JobSatisfaction]]=2,"Medium",Table1[[#This Row],[JobSatisfaction]]=3,"High",Table1[[#This Row],[JobSatisfaction]]=4,"Very High")</f>
        <v>Very High</v>
      </c>
      <c r="H54" s="5">
        <v>3</v>
      </c>
      <c r="I54" t="str" cm="1">
        <f t="array" ref="I54">_xlfn.IFS(H54=1,"low",H54=2,"medium",H54=3,"balanced",H54=4,"Good")</f>
        <v>balanced</v>
      </c>
    </row>
    <row r="55" spans="1:9" x14ac:dyDescent="0.3">
      <c r="A55" s="13">
        <v>3</v>
      </c>
      <c r="B55" t="str" cm="1">
        <f t="array" ref="B55">_xlfn.IFS(Datasets!Q55=1,"LoW",Table1[[#This Row],[JobSatisfaction]]=2,"Medium",Table1[[#This Row],[JobSatisfaction]]=3,"High",Table1[[#This Row],[JobSatisfaction]]=4,"Very High")</f>
        <v>High</v>
      </c>
      <c r="H55" s="5">
        <v>2</v>
      </c>
      <c r="I55" t="str" cm="1">
        <f t="array" ref="I55">_xlfn.IFS(H55=1,"low",H55=2,"medium",H55=3,"balanced",H55=4,"Good")</f>
        <v>medium</v>
      </c>
    </row>
    <row r="56" spans="1:9" x14ac:dyDescent="0.3">
      <c r="A56" s="14">
        <v>4</v>
      </c>
      <c r="B56" t="str" cm="1">
        <f t="array" ref="B56">_xlfn.IFS(Datasets!Q56=1,"LoW",Table1[[#This Row],[JobSatisfaction]]=2,"Medium",Table1[[#This Row],[JobSatisfaction]]=3,"High",Table1[[#This Row],[JobSatisfaction]]=4,"Very High")</f>
        <v>Very High</v>
      </c>
      <c r="H56" s="5">
        <v>3</v>
      </c>
      <c r="I56" t="str" cm="1">
        <f t="array" ref="I56">_xlfn.IFS(H56=1,"low",H56=2,"medium",H56=3,"balanced",H56=4,"Good")</f>
        <v>balanced</v>
      </c>
    </row>
    <row r="57" spans="1:9" x14ac:dyDescent="0.3">
      <c r="A57" s="13">
        <v>1</v>
      </c>
      <c r="B57" t="str" cm="1">
        <f t="array" ref="B57">_xlfn.IFS(Datasets!Q57=1,"LoW",Table1[[#This Row],[JobSatisfaction]]=2,"Medium",Table1[[#This Row],[JobSatisfaction]]=3,"High",Table1[[#This Row],[JobSatisfaction]]=4,"Very High")</f>
        <v>LoW</v>
      </c>
      <c r="H57" s="5">
        <v>3</v>
      </c>
      <c r="I57" t="str" cm="1">
        <f t="array" ref="I57">_xlfn.IFS(H57=1,"low",H57=2,"medium",H57=3,"balanced",H57=4,"Good")</f>
        <v>balanced</v>
      </c>
    </row>
    <row r="58" spans="1:9" x14ac:dyDescent="0.3">
      <c r="A58" s="14">
        <v>3</v>
      </c>
      <c r="B58" t="str" cm="1">
        <f t="array" ref="B58">_xlfn.IFS(Datasets!Q58=1,"LoW",Table1[[#This Row],[JobSatisfaction]]=2,"Medium",Table1[[#This Row],[JobSatisfaction]]=3,"High",Table1[[#This Row],[JobSatisfaction]]=4,"Very High")</f>
        <v>High</v>
      </c>
      <c r="H58" s="5">
        <v>4</v>
      </c>
      <c r="I58" t="str" cm="1">
        <f t="array" ref="I58">_xlfn.IFS(H58=1,"low",H58=2,"medium",H58=3,"balanced",H58=4,"Good")</f>
        <v>Good</v>
      </c>
    </row>
    <row r="59" spans="1:9" x14ac:dyDescent="0.3">
      <c r="A59" s="13">
        <v>1</v>
      </c>
      <c r="B59" t="str" cm="1">
        <f t="array" ref="B59">_xlfn.IFS(Datasets!Q59=1,"LoW",Table1[[#This Row],[JobSatisfaction]]=2,"Medium",Table1[[#This Row],[JobSatisfaction]]=3,"High",Table1[[#This Row],[JobSatisfaction]]=4,"Very High")</f>
        <v>LoW</v>
      </c>
      <c r="H59" s="5">
        <v>4</v>
      </c>
      <c r="I59" t="str" cm="1">
        <f t="array" ref="I59">_xlfn.IFS(H59=1,"low",H59=2,"medium",H59=3,"balanced",H59=4,"Good")</f>
        <v>Good</v>
      </c>
    </row>
    <row r="60" spans="1:9" x14ac:dyDescent="0.3">
      <c r="A60" s="14">
        <v>4</v>
      </c>
      <c r="B60" t="str" cm="1">
        <f t="array" ref="B60">_xlfn.IFS(Datasets!Q60=1,"LoW",Table1[[#This Row],[JobSatisfaction]]=2,"Medium",Table1[[#This Row],[JobSatisfaction]]=3,"High",Table1[[#This Row],[JobSatisfaction]]=4,"Very High")</f>
        <v>Very High</v>
      </c>
      <c r="H60" s="5">
        <v>2</v>
      </c>
      <c r="I60" t="str" cm="1">
        <f t="array" ref="I60">_xlfn.IFS(H60=1,"low",H60=2,"medium",H60=3,"balanced",H60=4,"Good")</f>
        <v>medium</v>
      </c>
    </row>
    <row r="61" spans="1:9" x14ac:dyDescent="0.3">
      <c r="A61" s="13">
        <v>2</v>
      </c>
      <c r="B61" t="str" cm="1">
        <f t="array" ref="B61">_xlfn.IFS(Datasets!Q61=1,"LoW",Table1[[#This Row],[JobSatisfaction]]=2,"Medium",Table1[[#This Row],[JobSatisfaction]]=3,"High",Table1[[#This Row],[JobSatisfaction]]=4,"Very High")</f>
        <v>Medium</v>
      </c>
      <c r="H61" s="5">
        <v>4</v>
      </c>
      <c r="I61" t="str" cm="1">
        <f t="array" ref="I61">_xlfn.IFS(H61=1,"low",H61=2,"medium",H61=3,"balanced",H61=4,"Good")</f>
        <v>Good</v>
      </c>
    </row>
    <row r="62" spans="1:9" x14ac:dyDescent="0.3">
      <c r="A62" s="14">
        <v>1</v>
      </c>
      <c r="B62" t="str" cm="1">
        <f t="array" ref="B62">_xlfn.IFS(Datasets!Q62=1,"LoW",Table1[[#This Row],[JobSatisfaction]]=2,"Medium",Table1[[#This Row],[JobSatisfaction]]=3,"High",Table1[[#This Row],[JobSatisfaction]]=4,"Very High")</f>
        <v>LoW</v>
      </c>
      <c r="H62" s="5">
        <v>3</v>
      </c>
      <c r="I62" t="str" cm="1">
        <f t="array" ref="I62">_xlfn.IFS(H62=1,"low",H62=2,"medium",H62=3,"balanced",H62=4,"Good")</f>
        <v>balanced</v>
      </c>
    </row>
    <row r="63" spans="1:9" x14ac:dyDescent="0.3">
      <c r="A63" s="13">
        <v>3</v>
      </c>
      <c r="B63" t="str" cm="1">
        <f t="array" ref="B63">_xlfn.IFS(Datasets!Q63=1,"LoW",Table1[[#This Row],[JobSatisfaction]]=2,"Medium",Table1[[#This Row],[JobSatisfaction]]=3,"High",Table1[[#This Row],[JobSatisfaction]]=4,"Very High")</f>
        <v>High</v>
      </c>
      <c r="H63" s="5">
        <v>3</v>
      </c>
      <c r="I63" t="str" cm="1">
        <f t="array" ref="I63">_xlfn.IFS(H63=1,"low",H63=2,"medium",H63=3,"balanced",H63=4,"Good")</f>
        <v>balanced</v>
      </c>
    </row>
    <row r="64" spans="1:9" x14ac:dyDescent="0.3">
      <c r="A64" s="14">
        <v>1</v>
      </c>
      <c r="B64" t="str" cm="1">
        <f t="array" ref="B64">_xlfn.IFS(Datasets!Q64=1,"LoW",Table1[[#This Row],[JobSatisfaction]]=2,"Medium",Table1[[#This Row],[JobSatisfaction]]=3,"High",Table1[[#This Row],[JobSatisfaction]]=4,"Very High")</f>
        <v>LoW</v>
      </c>
      <c r="H64" s="5">
        <v>3</v>
      </c>
      <c r="I64" t="str" cm="1">
        <f t="array" ref="I64">_xlfn.IFS(H64=1,"low",H64=2,"medium",H64=3,"balanced",H64=4,"Good")</f>
        <v>balanced</v>
      </c>
    </row>
    <row r="65" spans="1:9" x14ac:dyDescent="0.3">
      <c r="A65" s="13">
        <v>4</v>
      </c>
      <c r="B65" t="str" cm="1">
        <f t="array" ref="B65">_xlfn.IFS(Datasets!Q65=1,"LoW",Table1[[#This Row],[JobSatisfaction]]=2,"Medium",Table1[[#This Row],[JobSatisfaction]]=3,"High",Table1[[#This Row],[JobSatisfaction]]=4,"Very High")</f>
        <v>Very High</v>
      </c>
      <c r="H65" s="5">
        <v>3</v>
      </c>
      <c r="I65" t="str" cm="1">
        <f t="array" ref="I65">_xlfn.IFS(H65=1,"low",H65=2,"medium",H65=3,"balanced",H65=4,"Good")</f>
        <v>balanced</v>
      </c>
    </row>
    <row r="66" spans="1:9" x14ac:dyDescent="0.3">
      <c r="A66" s="14">
        <v>1</v>
      </c>
      <c r="B66" t="str" cm="1">
        <f t="array" ref="B66">_xlfn.IFS(Datasets!Q66=1,"LoW",Table1[[#This Row],[JobSatisfaction]]=2,"Medium",Table1[[#This Row],[JobSatisfaction]]=3,"High",Table1[[#This Row],[JobSatisfaction]]=4,"Very High")</f>
        <v>LoW</v>
      </c>
      <c r="H66" s="5">
        <v>2</v>
      </c>
      <c r="I66" t="str" cm="1">
        <f t="array" ref="I66">_xlfn.IFS(H66=1,"low",H66=2,"medium",H66=3,"balanced",H66=4,"Good")</f>
        <v>medium</v>
      </c>
    </row>
    <row r="67" spans="1:9" x14ac:dyDescent="0.3">
      <c r="A67" s="13">
        <v>3</v>
      </c>
      <c r="B67" t="str" cm="1">
        <f t="array" ref="B67">_xlfn.IFS(Datasets!Q67=1,"LoW",Table1[[#This Row],[JobSatisfaction]]=2,"Medium",Table1[[#This Row],[JobSatisfaction]]=3,"High",Table1[[#This Row],[JobSatisfaction]]=4,"Very High")</f>
        <v>High</v>
      </c>
      <c r="H67" s="5">
        <v>3</v>
      </c>
      <c r="I67" t="str" cm="1">
        <f t="array" ref="I67">_xlfn.IFS(H67=1,"low",H67=2,"medium",H67=3,"balanced",H67=4,"Good")</f>
        <v>balanced</v>
      </c>
    </row>
    <row r="68" spans="1:9" x14ac:dyDescent="0.3">
      <c r="A68" s="14">
        <v>4</v>
      </c>
      <c r="B68" t="str" cm="1">
        <f t="array" ref="B68">_xlfn.IFS(Datasets!Q68=1,"LoW",Table1[[#This Row],[JobSatisfaction]]=2,"Medium",Table1[[#This Row],[JobSatisfaction]]=3,"High",Table1[[#This Row],[JobSatisfaction]]=4,"Very High")</f>
        <v>Very High</v>
      </c>
      <c r="H68" s="5">
        <v>4</v>
      </c>
      <c r="I68" t="str" cm="1">
        <f t="array" ref="I68">_xlfn.IFS(H68=1,"low",H68=2,"medium",H68=3,"balanced",H68=4,"Good")</f>
        <v>Good</v>
      </c>
    </row>
    <row r="69" spans="1:9" x14ac:dyDescent="0.3">
      <c r="A69" s="13">
        <v>2</v>
      </c>
      <c r="B69" t="str" cm="1">
        <f t="array" ref="B69">_xlfn.IFS(Datasets!Q69=1,"LoW",Table1[[#This Row],[JobSatisfaction]]=2,"Medium",Table1[[#This Row],[JobSatisfaction]]=3,"High",Table1[[#This Row],[JobSatisfaction]]=4,"Very High")</f>
        <v>Medium</v>
      </c>
      <c r="H69" s="5">
        <v>2</v>
      </c>
      <c r="I69" t="str" cm="1">
        <f t="array" ref="I69">_xlfn.IFS(H69=1,"low",H69=2,"medium",H69=3,"balanced",H69=4,"Good")</f>
        <v>medium</v>
      </c>
    </row>
    <row r="70" spans="1:9" x14ac:dyDescent="0.3">
      <c r="A70" s="14">
        <v>4</v>
      </c>
      <c r="B70" t="str" cm="1">
        <f t="array" ref="B70">_xlfn.IFS(Datasets!Q70=1,"LoW",Table1[[#This Row],[JobSatisfaction]]=2,"Medium",Table1[[#This Row],[JobSatisfaction]]=3,"High",Table1[[#This Row],[JobSatisfaction]]=4,"Very High")</f>
        <v>Very High</v>
      </c>
      <c r="H70" s="5">
        <v>4</v>
      </c>
      <c r="I70" t="str" cm="1">
        <f t="array" ref="I70">_xlfn.IFS(H70=1,"low",H70=2,"medium",H70=3,"balanced",H70=4,"Good")</f>
        <v>Good</v>
      </c>
    </row>
    <row r="71" spans="1:9" x14ac:dyDescent="0.3">
      <c r="A71" s="13">
        <v>3</v>
      </c>
      <c r="B71" t="str" cm="1">
        <f t="array" ref="B71">_xlfn.IFS(Datasets!Q71=1,"LoW",Table1[[#This Row],[JobSatisfaction]]=2,"Medium",Table1[[#This Row],[JobSatisfaction]]=3,"High",Table1[[#This Row],[JobSatisfaction]]=4,"Very High")</f>
        <v>High</v>
      </c>
      <c r="H71" s="5">
        <v>3</v>
      </c>
      <c r="I71" t="str" cm="1">
        <f t="array" ref="I71">_xlfn.IFS(H71=1,"low",H71=2,"medium",H71=3,"balanced",H71=4,"Good")</f>
        <v>balanced</v>
      </c>
    </row>
    <row r="72" spans="1:9" x14ac:dyDescent="0.3">
      <c r="A72" s="14">
        <v>3</v>
      </c>
      <c r="B72" t="str" cm="1">
        <f t="array" ref="B72">_xlfn.IFS(Datasets!Q72=1,"LoW",Table1[[#This Row],[JobSatisfaction]]=2,"Medium",Table1[[#This Row],[JobSatisfaction]]=3,"High",Table1[[#This Row],[JobSatisfaction]]=4,"Very High")</f>
        <v>High</v>
      </c>
      <c r="H72" s="5">
        <v>3</v>
      </c>
      <c r="I72" t="str" cm="1">
        <f t="array" ref="I72">_xlfn.IFS(H72=1,"low",H72=2,"medium",H72=3,"balanced",H72=4,"Good")</f>
        <v>balanced</v>
      </c>
    </row>
    <row r="73" spans="1:9" x14ac:dyDescent="0.3">
      <c r="A73" s="13">
        <v>3</v>
      </c>
      <c r="B73" t="str" cm="1">
        <f t="array" ref="B73">_xlfn.IFS(Datasets!Q73=1,"LoW",Table1[[#This Row],[JobSatisfaction]]=2,"Medium",Table1[[#This Row],[JobSatisfaction]]=3,"High",Table1[[#This Row],[JobSatisfaction]]=4,"Very High")</f>
        <v>High</v>
      </c>
      <c r="H73" s="5">
        <v>3</v>
      </c>
      <c r="I73" t="str" cm="1">
        <f t="array" ref="I73">_xlfn.IFS(H73=1,"low",H73=2,"medium",H73=3,"balanced",H73=4,"Good")</f>
        <v>balanced</v>
      </c>
    </row>
    <row r="74" spans="1:9" x14ac:dyDescent="0.3">
      <c r="A74" s="14">
        <v>2</v>
      </c>
      <c r="B74" t="str" cm="1">
        <f t="array" ref="B74">_xlfn.IFS(Datasets!Q74=1,"LoW",Table1[[#This Row],[JobSatisfaction]]=2,"Medium",Table1[[#This Row],[JobSatisfaction]]=3,"High",Table1[[#This Row],[JobSatisfaction]]=4,"Very High")</f>
        <v>Medium</v>
      </c>
      <c r="H74" s="5">
        <v>2</v>
      </c>
      <c r="I74" t="str" cm="1">
        <f t="array" ref="I74">_xlfn.IFS(H74=1,"low",H74=2,"medium",H74=3,"balanced",H74=4,"Good")</f>
        <v>medium</v>
      </c>
    </row>
    <row r="75" spans="1:9" x14ac:dyDescent="0.3">
      <c r="A75" s="13">
        <v>4</v>
      </c>
      <c r="B75" t="str" cm="1">
        <f t="array" ref="B75">_xlfn.IFS(Datasets!Q75=1,"LoW",Table1[[#This Row],[JobSatisfaction]]=2,"Medium",Table1[[#This Row],[JobSatisfaction]]=3,"High",Table1[[#This Row],[JobSatisfaction]]=4,"Very High")</f>
        <v>Very High</v>
      </c>
      <c r="H75" s="5">
        <v>1</v>
      </c>
      <c r="I75" t="str" cm="1">
        <f t="array" ref="I75">_xlfn.IFS(H75=1,"low",H75=2,"medium",H75=3,"balanced",H75=4,"Good")</f>
        <v>low</v>
      </c>
    </row>
    <row r="76" spans="1:9" x14ac:dyDescent="0.3">
      <c r="A76" s="14">
        <v>1</v>
      </c>
      <c r="B76" t="str" cm="1">
        <f t="array" ref="B76">_xlfn.IFS(Datasets!Q76=1,"LoW",Table1[[#This Row],[JobSatisfaction]]=2,"Medium",Table1[[#This Row],[JobSatisfaction]]=3,"High",Table1[[#This Row],[JobSatisfaction]]=4,"Very High")</f>
        <v>LoW</v>
      </c>
      <c r="H76" s="5">
        <v>4</v>
      </c>
      <c r="I76" t="str" cm="1">
        <f t="array" ref="I76">_xlfn.IFS(H76=1,"low",H76=2,"medium",H76=3,"balanced",H76=4,"Good")</f>
        <v>Good</v>
      </c>
    </row>
    <row r="77" spans="1:9" x14ac:dyDescent="0.3">
      <c r="A77" s="13">
        <v>3</v>
      </c>
      <c r="B77" t="str" cm="1">
        <f t="array" ref="B77">_xlfn.IFS(Datasets!Q77=1,"LoW",Table1[[#This Row],[JobSatisfaction]]=2,"Medium",Table1[[#This Row],[JobSatisfaction]]=3,"High",Table1[[#This Row],[JobSatisfaction]]=4,"Very High")</f>
        <v>High</v>
      </c>
      <c r="H77" s="5">
        <v>3</v>
      </c>
      <c r="I77" t="str" cm="1">
        <f t="array" ref="I77">_xlfn.IFS(H77=1,"low",H77=2,"medium",H77=3,"balanced",H77=4,"Good")</f>
        <v>balanced</v>
      </c>
    </row>
    <row r="78" spans="1:9" x14ac:dyDescent="0.3">
      <c r="A78" s="14">
        <v>1</v>
      </c>
      <c r="B78" t="str" cm="1">
        <f t="array" ref="B78">_xlfn.IFS(Datasets!Q78=1,"LoW",Table1[[#This Row],[JobSatisfaction]]=2,"Medium",Table1[[#This Row],[JobSatisfaction]]=3,"High",Table1[[#This Row],[JobSatisfaction]]=4,"Very High")</f>
        <v>LoW</v>
      </c>
      <c r="H78" s="5">
        <v>1</v>
      </c>
      <c r="I78" t="str" cm="1">
        <f t="array" ref="I78">_xlfn.IFS(H78=1,"low",H78=2,"medium",H78=3,"balanced",H78=4,"Good")</f>
        <v>low</v>
      </c>
    </row>
    <row r="79" spans="1:9" x14ac:dyDescent="0.3">
      <c r="A79" s="13">
        <v>2</v>
      </c>
      <c r="B79" t="str" cm="1">
        <f t="array" ref="B79">_xlfn.IFS(Datasets!Q79=1,"LoW",Table1[[#This Row],[JobSatisfaction]]=2,"Medium",Table1[[#This Row],[JobSatisfaction]]=3,"High",Table1[[#This Row],[JobSatisfaction]]=4,"Very High")</f>
        <v>Medium</v>
      </c>
      <c r="H79" s="5">
        <v>3</v>
      </c>
      <c r="I79" t="str" cm="1">
        <f t="array" ref="I79">_xlfn.IFS(H79=1,"low",H79=2,"medium",H79=3,"balanced",H79=4,"Good")</f>
        <v>balanced</v>
      </c>
    </row>
    <row r="80" spans="1:9" x14ac:dyDescent="0.3">
      <c r="A80" s="14">
        <v>1</v>
      </c>
      <c r="B80" t="str" cm="1">
        <f t="array" ref="B80">_xlfn.IFS(Datasets!Q80=1,"LoW",Table1[[#This Row],[JobSatisfaction]]=2,"Medium",Table1[[#This Row],[JobSatisfaction]]=3,"High",Table1[[#This Row],[JobSatisfaction]]=4,"Very High")</f>
        <v>LoW</v>
      </c>
      <c r="H80" s="5">
        <v>3</v>
      </c>
      <c r="I80" t="str" cm="1">
        <f t="array" ref="I80">_xlfn.IFS(H80=1,"low",H80=2,"medium",H80=3,"balanced",H80=4,"Good")</f>
        <v>balanced</v>
      </c>
    </row>
    <row r="81" spans="1:9" x14ac:dyDescent="0.3">
      <c r="A81" s="13">
        <v>4</v>
      </c>
      <c r="B81" t="str" cm="1">
        <f t="array" ref="B81">_xlfn.IFS(Datasets!Q81=1,"LoW",Table1[[#This Row],[JobSatisfaction]]=2,"Medium",Table1[[#This Row],[JobSatisfaction]]=3,"High",Table1[[#This Row],[JobSatisfaction]]=4,"Very High")</f>
        <v>Very High</v>
      </c>
      <c r="H81" s="5">
        <v>3</v>
      </c>
      <c r="I81" t="str" cm="1">
        <f t="array" ref="I81">_xlfn.IFS(H81=1,"low",H81=2,"medium",H81=3,"balanced",H81=4,"Good")</f>
        <v>balanced</v>
      </c>
    </row>
    <row r="82" spans="1:9" x14ac:dyDescent="0.3">
      <c r="A82" s="14">
        <v>1</v>
      </c>
      <c r="B82" t="str" cm="1">
        <f t="array" ref="B82">_xlfn.IFS(Datasets!Q82=1,"LoW",Table1[[#This Row],[JobSatisfaction]]=2,"Medium",Table1[[#This Row],[JobSatisfaction]]=3,"High",Table1[[#This Row],[JobSatisfaction]]=4,"Very High")</f>
        <v>LoW</v>
      </c>
      <c r="H82" s="5">
        <v>2</v>
      </c>
      <c r="I82" t="str" cm="1">
        <f t="array" ref="I82">_xlfn.IFS(H82=1,"low",H82=2,"medium",H82=3,"balanced",H82=4,"Good")</f>
        <v>medium</v>
      </c>
    </row>
    <row r="83" spans="1:9" x14ac:dyDescent="0.3">
      <c r="A83" s="13">
        <v>2</v>
      </c>
      <c r="B83" t="str" cm="1">
        <f t="array" ref="B83">_xlfn.IFS(Datasets!Q83=1,"LoW",Table1[[#This Row],[JobSatisfaction]]=2,"Medium",Table1[[#This Row],[JobSatisfaction]]=3,"High",Table1[[#This Row],[JobSatisfaction]]=4,"Very High")</f>
        <v>Medium</v>
      </c>
      <c r="H83" s="5">
        <v>4</v>
      </c>
      <c r="I83" t="str" cm="1">
        <f t="array" ref="I83">_xlfn.IFS(H83=1,"low",H83=2,"medium",H83=3,"balanced",H83=4,"Good")</f>
        <v>Good</v>
      </c>
    </row>
    <row r="84" spans="1:9" x14ac:dyDescent="0.3">
      <c r="A84" s="14">
        <v>2</v>
      </c>
      <c r="B84" t="str" cm="1">
        <f t="array" ref="B84">_xlfn.IFS(Datasets!Q84=1,"LoW",Table1[[#This Row],[JobSatisfaction]]=2,"Medium",Table1[[#This Row],[JobSatisfaction]]=3,"High",Table1[[#This Row],[JobSatisfaction]]=4,"Very High")</f>
        <v>Medium</v>
      </c>
      <c r="H84" s="5">
        <v>3</v>
      </c>
      <c r="I84" t="str" cm="1">
        <f t="array" ref="I84">_xlfn.IFS(H84=1,"low",H84=2,"medium",H84=3,"balanced",H84=4,"Good")</f>
        <v>balanced</v>
      </c>
    </row>
    <row r="85" spans="1:9" x14ac:dyDescent="0.3">
      <c r="A85" s="13">
        <v>3</v>
      </c>
      <c r="B85" t="str" cm="1">
        <f t="array" ref="B85">_xlfn.IFS(Datasets!Q85=1,"LoW",Table1[[#This Row],[JobSatisfaction]]=2,"Medium",Table1[[#This Row],[JobSatisfaction]]=3,"High",Table1[[#This Row],[JobSatisfaction]]=4,"Very High")</f>
        <v>High</v>
      </c>
      <c r="H85" s="5">
        <v>2</v>
      </c>
      <c r="I85" t="str" cm="1">
        <f t="array" ref="I85">_xlfn.IFS(H85=1,"low",H85=2,"medium",H85=3,"balanced",H85=4,"Good")</f>
        <v>medium</v>
      </c>
    </row>
    <row r="86" spans="1:9" x14ac:dyDescent="0.3">
      <c r="A86" s="14">
        <v>3</v>
      </c>
      <c r="B86" t="str" cm="1">
        <f t="array" ref="B86">_xlfn.IFS(Datasets!Q86=1,"LoW",Table1[[#This Row],[JobSatisfaction]]=2,"Medium",Table1[[#This Row],[JobSatisfaction]]=3,"High",Table1[[#This Row],[JobSatisfaction]]=4,"Very High")</f>
        <v>High</v>
      </c>
      <c r="H86" s="5">
        <v>3</v>
      </c>
      <c r="I86" t="str" cm="1">
        <f t="array" ref="I86">_xlfn.IFS(H86=1,"low",H86=2,"medium",H86=3,"balanced",H86=4,"Good")</f>
        <v>balanced</v>
      </c>
    </row>
    <row r="87" spans="1:9" x14ac:dyDescent="0.3">
      <c r="A87" s="13">
        <v>4</v>
      </c>
      <c r="B87" t="str" cm="1">
        <f t="array" ref="B87">_xlfn.IFS(Datasets!Q87=1,"LoW",Table1[[#This Row],[JobSatisfaction]]=2,"Medium",Table1[[#This Row],[JobSatisfaction]]=3,"High",Table1[[#This Row],[JobSatisfaction]]=4,"Very High")</f>
        <v>Very High</v>
      </c>
      <c r="H87" s="5">
        <v>3</v>
      </c>
      <c r="I87" t="str" cm="1">
        <f t="array" ref="I87">_xlfn.IFS(H87=1,"low",H87=2,"medium",H87=3,"balanced",H87=4,"Good")</f>
        <v>balanced</v>
      </c>
    </row>
    <row r="88" spans="1:9" x14ac:dyDescent="0.3">
      <c r="A88" s="14">
        <v>2</v>
      </c>
      <c r="B88" t="str" cm="1">
        <f t="array" ref="B88">_xlfn.IFS(Datasets!Q88=1,"LoW",Table1[[#This Row],[JobSatisfaction]]=2,"Medium",Table1[[#This Row],[JobSatisfaction]]=3,"High",Table1[[#This Row],[JobSatisfaction]]=4,"Very High")</f>
        <v>Medium</v>
      </c>
      <c r="H88" s="5">
        <v>3</v>
      </c>
      <c r="I88" t="str" cm="1">
        <f t="array" ref="I88">_xlfn.IFS(H88=1,"low",H88=2,"medium",H88=3,"balanced",H88=4,"Good")</f>
        <v>balanced</v>
      </c>
    </row>
    <row r="89" spans="1:9" x14ac:dyDescent="0.3">
      <c r="A89" s="13">
        <v>2</v>
      </c>
      <c r="B89" t="str" cm="1">
        <f t="array" ref="B89">_xlfn.IFS(Datasets!Q89=1,"LoW",Table1[[#This Row],[JobSatisfaction]]=2,"Medium",Table1[[#This Row],[JobSatisfaction]]=3,"High",Table1[[#This Row],[JobSatisfaction]]=4,"Very High")</f>
        <v>Medium</v>
      </c>
      <c r="H89" s="5">
        <v>2</v>
      </c>
      <c r="I89" t="str" cm="1">
        <f t="array" ref="I89">_xlfn.IFS(H89=1,"low",H89=2,"medium",H89=3,"balanced",H89=4,"Good")</f>
        <v>medium</v>
      </c>
    </row>
    <row r="90" spans="1:9" x14ac:dyDescent="0.3">
      <c r="A90" s="14">
        <v>2</v>
      </c>
      <c r="B90" t="str" cm="1">
        <f t="array" ref="B90">_xlfn.IFS(Datasets!Q90=1,"LoW",Table1[[#This Row],[JobSatisfaction]]=2,"Medium",Table1[[#This Row],[JobSatisfaction]]=3,"High",Table1[[#This Row],[JobSatisfaction]]=4,"Very High")</f>
        <v>Medium</v>
      </c>
      <c r="H90" s="5">
        <v>3</v>
      </c>
      <c r="I90" t="str" cm="1">
        <f t="array" ref="I90">_xlfn.IFS(H90=1,"low",H90=2,"medium",H90=3,"balanced",H90=4,"Good")</f>
        <v>balanced</v>
      </c>
    </row>
    <row r="91" spans="1:9" x14ac:dyDescent="0.3">
      <c r="A91" s="13">
        <v>3</v>
      </c>
      <c r="B91" t="str" cm="1">
        <f t="array" ref="B91">_xlfn.IFS(Datasets!Q91=1,"LoW",Table1[[#This Row],[JobSatisfaction]]=2,"Medium",Table1[[#This Row],[JobSatisfaction]]=3,"High",Table1[[#This Row],[JobSatisfaction]]=4,"Very High")</f>
        <v>High</v>
      </c>
      <c r="H91" s="5">
        <v>2</v>
      </c>
      <c r="I91" t="str" cm="1">
        <f t="array" ref="I91">_xlfn.IFS(H91=1,"low",H91=2,"medium",H91=3,"balanced",H91=4,"Good")</f>
        <v>medium</v>
      </c>
    </row>
    <row r="92" spans="1:9" x14ac:dyDescent="0.3">
      <c r="A92" s="14">
        <v>4</v>
      </c>
      <c r="B92" t="str" cm="1">
        <f t="array" ref="B92">_xlfn.IFS(Datasets!Q92=1,"LoW",Table1[[#This Row],[JobSatisfaction]]=2,"Medium",Table1[[#This Row],[JobSatisfaction]]=3,"High",Table1[[#This Row],[JobSatisfaction]]=4,"Very High")</f>
        <v>Very High</v>
      </c>
      <c r="H92" s="5">
        <v>3</v>
      </c>
      <c r="I92" t="str" cm="1">
        <f t="array" ref="I92">_xlfn.IFS(H92=1,"low",H92=2,"medium",H92=3,"balanced",H92=4,"Good")</f>
        <v>balanced</v>
      </c>
    </row>
    <row r="93" spans="1:9" x14ac:dyDescent="0.3">
      <c r="A93" s="13">
        <v>2</v>
      </c>
      <c r="B93" t="str" cm="1">
        <f t="array" ref="B93">_xlfn.IFS(Datasets!Q93=1,"LoW",Table1[[#This Row],[JobSatisfaction]]=2,"Medium",Table1[[#This Row],[JobSatisfaction]]=3,"High",Table1[[#This Row],[JobSatisfaction]]=4,"Very High")</f>
        <v>Medium</v>
      </c>
      <c r="H93" s="5">
        <v>3</v>
      </c>
      <c r="I93" t="str" cm="1">
        <f t="array" ref="I93">_xlfn.IFS(H93=1,"low",H93=2,"medium",H93=3,"balanced",H93=4,"Good")</f>
        <v>balanced</v>
      </c>
    </row>
    <row r="94" spans="1:9" x14ac:dyDescent="0.3">
      <c r="A94" s="14">
        <v>4</v>
      </c>
      <c r="B94" t="str" cm="1">
        <f t="array" ref="B94">_xlfn.IFS(Datasets!Q94=1,"LoW",Table1[[#This Row],[JobSatisfaction]]=2,"Medium",Table1[[#This Row],[JobSatisfaction]]=3,"High",Table1[[#This Row],[JobSatisfaction]]=4,"Very High")</f>
        <v>Very High</v>
      </c>
      <c r="H94" s="5">
        <v>3</v>
      </c>
      <c r="I94" t="str" cm="1">
        <f t="array" ref="I94">_xlfn.IFS(H94=1,"low",H94=2,"medium",H94=3,"balanced",H94=4,"Good")</f>
        <v>balanced</v>
      </c>
    </row>
    <row r="95" spans="1:9" x14ac:dyDescent="0.3">
      <c r="A95" s="13">
        <v>3</v>
      </c>
      <c r="B95" t="str" cm="1">
        <f t="array" ref="B95">_xlfn.IFS(Datasets!Q95=1,"LoW",Table1[[#This Row],[JobSatisfaction]]=2,"Medium",Table1[[#This Row],[JobSatisfaction]]=3,"High",Table1[[#This Row],[JobSatisfaction]]=4,"Very High")</f>
        <v>High</v>
      </c>
      <c r="H95" s="5">
        <v>2</v>
      </c>
      <c r="I95" t="str" cm="1">
        <f t="array" ref="I95">_xlfn.IFS(H95=1,"low",H95=2,"medium",H95=3,"balanced",H95=4,"Good")</f>
        <v>medium</v>
      </c>
    </row>
    <row r="96" spans="1:9" x14ac:dyDescent="0.3">
      <c r="A96" s="14">
        <v>4</v>
      </c>
      <c r="B96" t="str" cm="1">
        <f t="array" ref="B96">_xlfn.IFS(Datasets!Q96=1,"LoW",Table1[[#This Row],[JobSatisfaction]]=2,"Medium",Table1[[#This Row],[JobSatisfaction]]=3,"High",Table1[[#This Row],[JobSatisfaction]]=4,"Very High")</f>
        <v>Very High</v>
      </c>
      <c r="H96" s="5">
        <v>3</v>
      </c>
      <c r="I96" t="str" cm="1">
        <f t="array" ref="I96">_xlfn.IFS(H96=1,"low",H96=2,"medium",H96=3,"balanced",H96=4,"Good")</f>
        <v>balanced</v>
      </c>
    </row>
    <row r="97" spans="1:9" x14ac:dyDescent="0.3">
      <c r="A97" s="13">
        <v>1</v>
      </c>
      <c r="B97" t="str" cm="1">
        <f t="array" ref="B97">_xlfn.IFS(Datasets!Q97=1,"LoW",Table1[[#This Row],[JobSatisfaction]]=2,"Medium",Table1[[#This Row],[JobSatisfaction]]=3,"High",Table1[[#This Row],[JobSatisfaction]]=4,"Very High")</f>
        <v>LoW</v>
      </c>
      <c r="H97" s="5">
        <v>1</v>
      </c>
      <c r="I97" t="str" cm="1">
        <f t="array" ref="I97">_xlfn.IFS(H97=1,"low",H97=2,"medium",H97=3,"balanced",H97=4,"Good")</f>
        <v>low</v>
      </c>
    </row>
    <row r="98" spans="1:9" x14ac:dyDescent="0.3">
      <c r="A98" s="14">
        <v>4</v>
      </c>
      <c r="B98" t="str" cm="1">
        <f t="array" ref="B98">_xlfn.IFS(Datasets!Q98=1,"LoW",Table1[[#This Row],[JobSatisfaction]]=2,"Medium",Table1[[#This Row],[JobSatisfaction]]=3,"High",Table1[[#This Row],[JobSatisfaction]]=4,"Very High")</f>
        <v>Very High</v>
      </c>
      <c r="H98" s="5">
        <v>2</v>
      </c>
      <c r="I98" t="str" cm="1">
        <f t="array" ref="I98">_xlfn.IFS(H98=1,"low",H98=2,"medium",H98=3,"balanced",H98=4,"Good")</f>
        <v>medium</v>
      </c>
    </row>
    <row r="99" spans="1:9" x14ac:dyDescent="0.3">
      <c r="A99" s="13">
        <v>2</v>
      </c>
      <c r="B99" t="str" cm="1">
        <f t="array" ref="B99">_xlfn.IFS(Datasets!Q99=1,"LoW",Table1[[#This Row],[JobSatisfaction]]=2,"Medium",Table1[[#This Row],[JobSatisfaction]]=3,"High",Table1[[#This Row],[JobSatisfaction]]=4,"Very High")</f>
        <v>Medium</v>
      </c>
      <c r="H99" s="5">
        <v>3</v>
      </c>
      <c r="I99" t="str" cm="1">
        <f t="array" ref="I99">_xlfn.IFS(H99=1,"low",H99=2,"medium",H99=3,"balanced",H99=4,"Good")</f>
        <v>balanced</v>
      </c>
    </row>
    <row r="100" spans="1:9" x14ac:dyDescent="0.3">
      <c r="A100" s="14">
        <v>1</v>
      </c>
      <c r="B100" t="str" cm="1">
        <f t="array" ref="B100">_xlfn.IFS(Datasets!Q100=1,"LoW",Table1[[#This Row],[JobSatisfaction]]=2,"Medium",Table1[[#This Row],[JobSatisfaction]]=3,"High",Table1[[#This Row],[JobSatisfaction]]=4,"Very High")</f>
        <v>LoW</v>
      </c>
      <c r="H100" s="5">
        <v>3</v>
      </c>
      <c r="I100" t="str" cm="1">
        <f t="array" ref="I100">_xlfn.IFS(H100=1,"low",H100=2,"medium",H100=3,"balanced",H100=4,"Good")</f>
        <v>balanced</v>
      </c>
    </row>
    <row r="101" spans="1:9" x14ac:dyDescent="0.3">
      <c r="A101" s="13">
        <v>4</v>
      </c>
      <c r="B101" t="str" cm="1">
        <f t="array" ref="B101">_xlfn.IFS(Datasets!Q101=1,"LoW",Table1[[#This Row],[JobSatisfaction]]=2,"Medium",Table1[[#This Row],[JobSatisfaction]]=3,"High",Table1[[#This Row],[JobSatisfaction]]=4,"Very High")</f>
        <v>Very High</v>
      </c>
      <c r="H101" s="5">
        <v>3</v>
      </c>
      <c r="I101" t="str" cm="1">
        <f t="array" ref="I101">_xlfn.IFS(H101=1,"low",H101=2,"medium",H101=3,"balanced",H101=4,"Good")</f>
        <v>balanced</v>
      </c>
    </row>
    <row r="102" spans="1:9" x14ac:dyDescent="0.3">
      <c r="A102" s="14">
        <v>2</v>
      </c>
      <c r="B102" t="str" cm="1">
        <f t="array" ref="B102">_xlfn.IFS(Datasets!Q102=1,"LoW",Table1[[#This Row],[JobSatisfaction]]=2,"Medium",Table1[[#This Row],[JobSatisfaction]]=3,"High",Table1[[#This Row],[JobSatisfaction]]=4,"Very High")</f>
        <v>Medium</v>
      </c>
      <c r="H102" s="5">
        <v>3</v>
      </c>
      <c r="I102" t="str" cm="1">
        <f t="array" ref="I102">_xlfn.IFS(H102=1,"low",H102=2,"medium",H102=3,"balanced",H102=4,"Good")</f>
        <v>balanced</v>
      </c>
    </row>
    <row r="103" spans="1:9" x14ac:dyDescent="0.3">
      <c r="A103" s="13">
        <v>4</v>
      </c>
      <c r="B103" t="str" cm="1">
        <f t="array" ref="B103">_xlfn.IFS(Datasets!Q103=1,"LoW",Table1[[#This Row],[JobSatisfaction]]=2,"Medium",Table1[[#This Row],[JobSatisfaction]]=3,"High",Table1[[#This Row],[JobSatisfaction]]=4,"Very High")</f>
        <v>Very High</v>
      </c>
      <c r="H103" s="5">
        <v>2</v>
      </c>
      <c r="I103" t="str" cm="1">
        <f t="array" ref="I103">_xlfn.IFS(H103=1,"low",H103=2,"medium",H103=3,"balanced",H103=4,"Good")</f>
        <v>medium</v>
      </c>
    </row>
    <row r="104" spans="1:9" x14ac:dyDescent="0.3">
      <c r="A104" s="14">
        <v>3</v>
      </c>
      <c r="B104" t="str" cm="1">
        <f t="array" ref="B104">_xlfn.IFS(Datasets!Q104=1,"LoW",Table1[[#This Row],[JobSatisfaction]]=2,"Medium",Table1[[#This Row],[JobSatisfaction]]=3,"High",Table1[[#This Row],[JobSatisfaction]]=4,"Very High")</f>
        <v>High</v>
      </c>
      <c r="H104" s="5">
        <v>2</v>
      </c>
      <c r="I104" t="str" cm="1">
        <f t="array" ref="I104">_xlfn.IFS(H104=1,"low",H104=2,"medium",H104=3,"balanced",H104=4,"Good")</f>
        <v>medium</v>
      </c>
    </row>
    <row r="105" spans="1:9" x14ac:dyDescent="0.3">
      <c r="A105" s="13">
        <v>2</v>
      </c>
      <c r="B105" t="str" cm="1">
        <f t="array" ref="B105">_xlfn.IFS(Datasets!Q105=1,"LoW",Table1[[#This Row],[JobSatisfaction]]=2,"Medium",Table1[[#This Row],[JobSatisfaction]]=3,"High",Table1[[#This Row],[JobSatisfaction]]=4,"Very High")</f>
        <v>Medium</v>
      </c>
      <c r="H105" s="5">
        <v>3</v>
      </c>
      <c r="I105" t="str" cm="1">
        <f t="array" ref="I105">_xlfn.IFS(H105=1,"low",H105=2,"medium",H105=3,"balanced",H105=4,"Good")</f>
        <v>balanced</v>
      </c>
    </row>
    <row r="106" spans="1:9" x14ac:dyDescent="0.3">
      <c r="A106" s="14">
        <v>1</v>
      </c>
      <c r="B106" t="str" cm="1">
        <f t="array" ref="B106">_xlfn.IFS(Datasets!Q106=1,"LoW",Table1[[#This Row],[JobSatisfaction]]=2,"Medium",Table1[[#This Row],[JobSatisfaction]]=3,"High",Table1[[#This Row],[JobSatisfaction]]=4,"Very High")</f>
        <v>LoW</v>
      </c>
      <c r="H106" s="5">
        <v>2</v>
      </c>
      <c r="I106" t="str" cm="1">
        <f t="array" ref="I106">_xlfn.IFS(H106=1,"low",H106=2,"medium",H106=3,"balanced",H106=4,"Good")</f>
        <v>medium</v>
      </c>
    </row>
    <row r="107" spans="1:9" x14ac:dyDescent="0.3">
      <c r="A107" s="13">
        <v>4</v>
      </c>
      <c r="B107" t="str" cm="1">
        <f t="array" ref="B107">_xlfn.IFS(Datasets!Q107=1,"LoW",Table1[[#This Row],[JobSatisfaction]]=2,"Medium",Table1[[#This Row],[JobSatisfaction]]=3,"High",Table1[[#This Row],[JobSatisfaction]]=4,"Very High")</f>
        <v>Very High</v>
      </c>
      <c r="H107" s="5">
        <v>3</v>
      </c>
      <c r="I107" t="str" cm="1">
        <f t="array" ref="I107">_xlfn.IFS(H107=1,"low",H107=2,"medium",H107=3,"balanced",H107=4,"Good")</f>
        <v>balanced</v>
      </c>
    </row>
    <row r="108" spans="1:9" x14ac:dyDescent="0.3">
      <c r="A108" s="14">
        <v>3</v>
      </c>
      <c r="B108" t="str" cm="1">
        <f t="array" ref="B108">_xlfn.IFS(Datasets!Q108=1,"LoW",Table1[[#This Row],[JobSatisfaction]]=2,"Medium",Table1[[#This Row],[JobSatisfaction]]=3,"High",Table1[[#This Row],[JobSatisfaction]]=4,"Very High")</f>
        <v>High</v>
      </c>
      <c r="H108" s="5">
        <v>3</v>
      </c>
      <c r="I108" t="str" cm="1">
        <f t="array" ref="I108">_xlfn.IFS(H108=1,"low",H108=2,"medium",H108=3,"balanced",H108=4,"Good")</f>
        <v>balanced</v>
      </c>
    </row>
    <row r="109" spans="1:9" x14ac:dyDescent="0.3">
      <c r="A109" s="13">
        <v>3</v>
      </c>
      <c r="B109" t="str" cm="1">
        <f t="array" ref="B109">_xlfn.IFS(Datasets!Q109=1,"LoW",Table1[[#This Row],[JobSatisfaction]]=2,"Medium",Table1[[#This Row],[JobSatisfaction]]=3,"High",Table1[[#This Row],[JobSatisfaction]]=4,"Very High")</f>
        <v>High</v>
      </c>
      <c r="H109" s="5">
        <v>2</v>
      </c>
      <c r="I109" t="str" cm="1">
        <f t="array" ref="I109">_xlfn.IFS(H109=1,"low",H109=2,"medium",H109=3,"balanced",H109=4,"Good")</f>
        <v>medium</v>
      </c>
    </row>
    <row r="110" spans="1:9" x14ac:dyDescent="0.3">
      <c r="A110" s="14">
        <v>2</v>
      </c>
      <c r="B110" t="str" cm="1">
        <f t="array" ref="B110">_xlfn.IFS(Datasets!Q110=1,"LoW",Table1[[#This Row],[JobSatisfaction]]=2,"Medium",Table1[[#This Row],[JobSatisfaction]]=3,"High",Table1[[#This Row],[JobSatisfaction]]=4,"Very High")</f>
        <v>Medium</v>
      </c>
      <c r="H110" s="5">
        <v>1</v>
      </c>
      <c r="I110" t="str" cm="1">
        <f t="array" ref="I110">_xlfn.IFS(H110=1,"low",H110=2,"medium",H110=3,"balanced",H110=4,"Good")</f>
        <v>low</v>
      </c>
    </row>
    <row r="111" spans="1:9" x14ac:dyDescent="0.3">
      <c r="A111" s="13">
        <v>3</v>
      </c>
      <c r="B111" t="str" cm="1">
        <f t="array" ref="B111">_xlfn.IFS(Datasets!Q111=1,"LoW",Table1[[#This Row],[JobSatisfaction]]=2,"Medium",Table1[[#This Row],[JobSatisfaction]]=3,"High",Table1[[#This Row],[JobSatisfaction]]=4,"Very High")</f>
        <v>High</v>
      </c>
      <c r="H111" s="5">
        <v>3</v>
      </c>
      <c r="I111" t="str" cm="1">
        <f t="array" ref="I111">_xlfn.IFS(H111=1,"low",H111=2,"medium",H111=3,"balanced",H111=4,"Good")</f>
        <v>balanced</v>
      </c>
    </row>
    <row r="112" spans="1:9" x14ac:dyDescent="0.3">
      <c r="A112" s="14">
        <v>2</v>
      </c>
      <c r="B112" t="str" cm="1">
        <f t="array" ref="B112">_xlfn.IFS(Datasets!Q112=1,"LoW",Table1[[#This Row],[JobSatisfaction]]=2,"Medium",Table1[[#This Row],[JobSatisfaction]]=3,"High",Table1[[#This Row],[JobSatisfaction]]=4,"Very High")</f>
        <v>Medium</v>
      </c>
      <c r="H112" s="5">
        <v>3</v>
      </c>
      <c r="I112" t="str" cm="1">
        <f t="array" ref="I112">_xlfn.IFS(H112=1,"low",H112=2,"medium",H112=3,"balanced",H112=4,"Good")</f>
        <v>balanced</v>
      </c>
    </row>
    <row r="113" spans="1:9" x14ac:dyDescent="0.3">
      <c r="A113" s="13">
        <v>1</v>
      </c>
      <c r="B113" t="str" cm="1">
        <f t="array" ref="B113">_xlfn.IFS(Datasets!Q113=1,"LoW",Table1[[#This Row],[JobSatisfaction]]=2,"Medium",Table1[[#This Row],[JobSatisfaction]]=3,"High",Table1[[#This Row],[JobSatisfaction]]=4,"Very High")</f>
        <v>LoW</v>
      </c>
      <c r="H113" s="5">
        <v>3</v>
      </c>
      <c r="I113" t="str" cm="1">
        <f t="array" ref="I113">_xlfn.IFS(H113=1,"low",H113=2,"medium",H113=3,"balanced",H113=4,"Good")</f>
        <v>balanced</v>
      </c>
    </row>
    <row r="114" spans="1:9" x14ac:dyDescent="0.3">
      <c r="A114" s="14">
        <v>3</v>
      </c>
      <c r="B114" t="str" cm="1">
        <f t="array" ref="B114">_xlfn.IFS(Datasets!Q114=1,"LoW",Table1[[#This Row],[JobSatisfaction]]=2,"Medium",Table1[[#This Row],[JobSatisfaction]]=3,"High",Table1[[#This Row],[JobSatisfaction]]=4,"Very High")</f>
        <v>High</v>
      </c>
      <c r="H114" s="5">
        <v>3</v>
      </c>
      <c r="I114" t="str" cm="1">
        <f t="array" ref="I114">_xlfn.IFS(H114=1,"low",H114=2,"medium",H114=3,"balanced",H114=4,"Good")</f>
        <v>balanced</v>
      </c>
    </row>
    <row r="115" spans="1:9" x14ac:dyDescent="0.3">
      <c r="A115" s="13">
        <v>2</v>
      </c>
      <c r="B115" t="str" cm="1">
        <f t="array" ref="B115">_xlfn.IFS(Datasets!Q115=1,"LoW",Table1[[#This Row],[JobSatisfaction]]=2,"Medium",Table1[[#This Row],[JobSatisfaction]]=3,"High",Table1[[#This Row],[JobSatisfaction]]=4,"Very High")</f>
        <v>Medium</v>
      </c>
      <c r="H115" s="5">
        <v>2</v>
      </c>
      <c r="I115" t="str" cm="1">
        <f t="array" ref="I115">_xlfn.IFS(H115=1,"low",H115=2,"medium",H115=3,"balanced",H115=4,"Good")</f>
        <v>medium</v>
      </c>
    </row>
    <row r="116" spans="1:9" x14ac:dyDescent="0.3">
      <c r="A116" s="14">
        <v>3</v>
      </c>
      <c r="B116" t="str" cm="1">
        <f t="array" ref="B116">_xlfn.IFS(Datasets!Q116=1,"LoW",Table1[[#This Row],[JobSatisfaction]]=2,"Medium",Table1[[#This Row],[JobSatisfaction]]=3,"High",Table1[[#This Row],[JobSatisfaction]]=4,"Very High")</f>
        <v>High</v>
      </c>
      <c r="H116" s="5">
        <v>3</v>
      </c>
      <c r="I116" t="str" cm="1">
        <f t="array" ref="I116">_xlfn.IFS(H116=1,"low",H116=2,"medium",H116=3,"balanced",H116=4,"Good")</f>
        <v>balanced</v>
      </c>
    </row>
    <row r="117" spans="1:9" x14ac:dyDescent="0.3">
      <c r="A117" s="13">
        <v>3</v>
      </c>
      <c r="B117" t="str" cm="1">
        <f t="array" ref="B117">_xlfn.IFS(Datasets!Q117=1,"LoW",Table1[[#This Row],[JobSatisfaction]]=2,"Medium",Table1[[#This Row],[JobSatisfaction]]=3,"High",Table1[[#This Row],[JobSatisfaction]]=4,"Very High")</f>
        <v>High</v>
      </c>
      <c r="H117" s="5">
        <v>3</v>
      </c>
      <c r="I117" t="str" cm="1">
        <f t="array" ref="I117">_xlfn.IFS(H117=1,"low",H117=2,"medium",H117=3,"balanced",H117=4,"Good")</f>
        <v>balanced</v>
      </c>
    </row>
    <row r="118" spans="1:9" x14ac:dyDescent="0.3">
      <c r="A118" s="14">
        <v>1</v>
      </c>
      <c r="B118" t="str" cm="1">
        <f t="array" ref="B118">_xlfn.IFS(Datasets!Q118=1,"LoW",Table1[[#This Row],[JobSatisfaction]]=2,"Medium",Table1[[#This Row],[JobSatisfaction]]=3,"High",Table1[[#This Row],[JobSatisfaction]]=4,"Very High")</f>
        <v>LoW</v>
      </c>
      <c r="H118" s="5">
        <v>2</v>
      </c>
      <c r="I118" t="str" cm="1">
        <f t="array" ref="I118">_xlfn.IFS(H118=1,"low",H118=2,"medium",H118=3,"balanced",H118=4,"Good")</f>
        <v>medium</v>
      </c>
    </row>
    <row r="119" spans="1:9" x14ac:dyDescent="0.3">
      <c r="A119" s="13">
        <v>1</v>
      </c>
      <c r="B119" t="str" cm="1">
        <f t="array" ref="B119">_xlfn.IFS(Datasets!Q119=1,"LoW",Table1[[#This Row],[JobSatisfaction]]=2,"Medium",Table1[[#This Row],[JobSatisfaction]]=3,"High",Table1[[#This Row],[JobSatisfaction]]=4,"Very High")</f>
        <v>LoW</v>
      </c>
      <c r="H119" s="5">
        <v>3</v>
      </c>
      <c r="I119" t="str" cm="1">
        <f t="array" ref="I119">_xlfn.IFS(H119=1,"low",H119=2,"medium",H119=3,"balanced",H119=4,"Good")</f>
        <v>balanced</v>
      </c>
    </row>
    <row r="120" spans="1:9" x14ac:dyDescent="0.3">
      <c r="A120" s="14">
        <v>2</v>
      </c>
      <c r="B120" t="str" cm="1">
        <f t="array" ref="B120">_xlfn.IFS(Datasets!Q120=1,"LoW",Table1[[#This Row],[JobSatisfaction]]=2,"Medium",Table1[[#This Row],[JobSatisfaction]]=3,"High",Table1[[#This Row],[JobSatisfaction]]=4,"Very High")</f>
        <v>Medium</v>
      </c>
      <c r="H120" s="5">
        <v>3</v>
      </c>
      <c r="I120" t="str" cm="1">
        <f t="array" ref="I120">_xlfn.IFS(H120=1,"low",H120=2,"medium",H120=3,"balanced",H120=4,"Good")</f>
        <v>balanced</v>
      </c>
    </row>
    <row r="121" spans="1:9" x14ac:dyDescent="0.3">
      <c r="A121" s="13">
        <v>4</v>
      </c>
      <c r="B121" t="str" cm="1">
        <f t="array" ref="B121">_xlfn.IFS(Datasets!Q121=1,"LoW",Table1[[#This Row],[JobSatisfaction]]=2,"Medium",Table1[[#This Row],[JobSatisfaction]]=3,"High",Table1[[#This Row],[JobSatisfaction]]=4,"Very High")</f>
        <v>Very High</v>
      </c>
      <c r="H121" s="5">
        <v>3</v>
      </c>
      <c r="I121" t="str" cm="1">
        <f t="array" ref="I121">_xlfn.IFS(H121=1,"low",H121=2,"medium",H121=3,"balanced",H121=4,"Good")</f>
        <v>balanced</v>
      </c>
    </row>
    <row r="122" spans="1:9" x14ac:dyDescent="0.3">
      <c r="A122" s="14">
        <v>3</v>
      </c>
      <c r="B122" t="str" cm="1">
        <f t="array" ref="B122">_xlfn.IFS(Datasets!Q122=1,"LoW",Table1[[#This Row],[JobSatisfaction]]=2,"Medium",Table1[[#This Row],[JobSatisfaction]]=3,"High",Table1[[#This Row],[JobSatisfaction]]=4,"Very High")</f>
        <v>High</v>
      </c>
      <c r="H122" s="5">
        <v>3</v>
      </c>
      <c r="I122" t="str" cm="1">
        <f t="array" ref="I122">_xlfn.IFS(H122=1,"low",H122=2,"medium",H122=3,"balanced",H122=4,"Good")</f>
        <v>balanced</v>
      </c>
    </row>
    <row r="123" spans="1:9" x14ac:dyDescent="0.3">
      <c r="A123" s="13">
        <v>3</v>
      </c>
      <c r="B123" t="str" cm="1">
        <f t="array" ref="B123">_xlfn.IFS(Datasets!Q123=1,"LoW",Table1[[#This Row],[JobSatisfaction]]=2,"Medium",Table1[[#This Row],[JobSatisfaction]]=3,"High",Table1[[#This Row],[JobSatisfaction]]=4,"Very High")</f>
        <v>High</v>
      </c>
      <c r="H123" s="5">
        <v>2</v>
      </c>
      <c r="I123" t="str" cm="1">
        <f t="array" ref="I123">_xlfn.IFS(H123=1,"low",H123=2,"medium",H123=3,"balanced",H123=4,"Good")</f>
        <v>medium</v>
      </c>
    </row>
    <row r="124" spans="1:9" x14ac:dyDescent="0.3">
      <c r="A124" s="14">
        <v>3</v>
      </c>
      <c r="B124" t="str" cm="1">
        <f t="array" ref="B124">_xlfn.IFS(Datasets!Q124=1,"LoW",Table1[[#This Row],[JobSatisfaction]]=2,"Medium",Table1[[#This Row],[JobSatisfaction]]=3,"High",Table1[[#This Row],[JobSatisfaction]]=4,"Very High")</f>
        <v>High</v>
      </c>
      <c r="H124" s="5">
        <v>2</v>
      </c>
      <c r="I124" t="str" cm="1">
        <f t="array" ref="I124">_xlfn.IFS(H124=1,"low",H124=2,"medium",H124=3,"balanced",H124=4,"Good")</f>
        <v>medium</v>
      </c>
    </row>
    <row r="125" spans="1:9" x14ac:dyDescent="0.3">
      <c r="A125" s="13">
        <v>4</v>
      </c>
      <c r="B125" t="str" cm="1">
        <f t="array" ref="B125">_xlfn.IFS(Datasets!Q125=1,"LoW",Table1[[#This Row],[JobSatisfaction]]=2,"Medium",Table1[[#This Row],[JobSatisfaction]]=3,"High",Table1[[#This Row],[JobSatisfaction]]=4,"Very High")</f>
        <v>Very High</v>
      </c>
      <c r="H125" s="5">
        <v>3</v>
      </c>
      <c r="I125" t="str" cm="1">
        <f t="array" ref="I125">_xlfn.IFS(H125=1,"low",H125=2,"medium",H125=3,"balanced",H125=4,"Good")</f>
        <v>balanced</v>
      </c>
    </row>
    <row r="126" spans="1:9" x14ac:dyDescent="0.3">
      <c r="A126" s="14">
        <v>2</v>
      </c>
      <c r="B126" t="str" cm="1">
        <f t="array" ref="B126">_xlfn.IFS(Datasets!Q126=1,"LoW",Table1[[#This Row],[JobSatisfaction]]=2,"Medium",Table1[[#This Row],[JobSatisfaction]]=3,"High",Table1[[#This Row],[JobSatisfaction]]=4,"Very High")</f>
        <v>Medium</v>
      </c>
      <c r="H126" s="5">
        <v>3</v>
      </c>
      <c r="I126" t="str" cm="1">
        <f t="array" ref="I126">_xlfn.IFS(H126=1,"low",H126=2,"medium",H126=3,"balanced",H126=4,"Good")</f>
        <v>balanced</v>
      </c>
    </row>
    <row r="127" spans="1:9" x14ac:dyDescent="0.3">
      <c r="A127" s="13">
        <v>4</v>
      </c>
      <c r="B127" t="str" cm="1">
        <f t="array" ref="B127">_xlfn.IFS(Datasets!Q127=1,"LoW",Table1[[#This Row],[JobSatisfaction]]=2,"Medium",Table1[[#This Row],[JobSatisfaction]]=3,"High",Table1[[#This Row],[JobSatisfaction]]=4,"Very High")</f>
        <v>Very High</v>
      </c>
      <c r="H127" s="5">
        <v>3</v>
      </c>
      <c r="I127" t="str" cm="1">
        <f t="array" ref="I127">_xlfn.IFS(H127=1,"low",H127=2,"medium",H127=3,"balanced",H127=4,"Good")</f>
        <v>balanced</v>
      </c>
    </row>
    <row r="128" spans="1:9" x14ac:dyDescent="0.3">
      <c r="A128" s="14">
        <v>3</v>
      </c>
      <c r="B128" t="str" cm="1">
        <f t="array" ref="B128">_xlfn.IFS(Datasets!Q128=1,"LoW",Table1[[#This Row],[JobSatisfaction]]=2,"Medium",Table1[[#This Row],[JobSatisfaction]]=3,"High",Table1[[#This Row],[JobSatisfaction]]=4,"Very High")</f>
        <v>High</v>
      </c>
      <c r="H128" s="5">
        <v>3</v>
      </c>
      <c r="I128" t="str" cm="1">
        <f t="array" ref="I128">_xlfn.IFS(H128=1,"low",H128=2,"medium",H128=3,"balanced",H128=4,"Good")</f>
        <v>balanced</v>
      </c>
    </row>
    <row r="129" spans="1:9" x14ac:dyDescent="0.3">
      <c r="A129" s="13">
        <v>3</v>
      </c>
      <c r="B129" t="str" cm="1">
        <f t="array" ref="B129">_xlfn.IFS(Datasets!Q129=1,"LoW",Table1[[#This Row],[JobSatisfaction]]=2,"Medium",Table1[[#This Row],[JobSatisfaction]]=3,"High",Table1[[#This Row],[JobSatisfaction]]=4,"Very High")</f>
        <v>High</v>
      </c>
      <c r="H129" s="5">
        <v>3</v>
      </c>
      <c r="I129" t="str" cm="1">
        <f t="array" ref="I129">_xlfn.IFS(H129=1,"low",H129=2,"medium",H129=3,"balanced",H129=4,"Good")</f>
        <v>balanced</v>
      </c>
    </row>
    <row r="130" spans="1:9" x14ac:dyDescent="0.3">
      <c r="A130" s="14">
        <v>4</v>
      </c>
      <c r="B130" t="str" cm="1">
        <f t="array" ref="B130">_xlfn.IFS(Datasets!Q130=1,"LoW",Table1[[#This Row],[JobSatisfaction]]=2,"Medium",Table1[[#This Row],[JobSatisfaction]]=3,"High",Table1[[#This Row],[JobSatisfaction]]=4,"Very High")</f>
        <v>Very High</v>
      </c>
      <c r="H130" s="5">
        <v>3</v>
      </c>
      <c r="I130" t="str" cm="1">
        <f t="array" ref="I130">_xlfn.IFS(H130=1,"low",H130=2,"medium",H130=3,"balanced",H130=4,"Good")</f>
        <v>balanced</v>
      </c>
    </row>
    <row r="131" spans="1:9" x14ac:dyDescent="0.3">
      <c r="A131" s="13">
        <v>2</v>
      </c>
      <c r="B131" t="str" cm="1">
        <f t="array" ref="B131">_xlfn.IFS(Datasets!Q131=1,"LoW",Table1[[#This Row],[JobSatisfaction]]=2,"Medium",Table1[[#This Row],[JobSatisfaction]]=3,"High",Table1[[#This Row],[JobSatisfaction]]=4,"Very High")</f>
        <v>Medium</v>
      </c>
      <c r="H131" s="5">
        <v>4</v>
      </c>
      <c r="I131" t="str" cm="1">
        <f t="array" ref="I131">_xlfn.IFS(H131=1,"low",H131=2,"medium",H131=3,"balanced",H131=4,"Good")</f>
        <v>Good</v>
      </c>
    </row>
    <row r="132" spans="1:9" x14ac:dyDescent="0.3">
      <c r="A132" s="14">
        <v>2</v>
      </c>
      <c r="B132" t="str" cm="1">
        <f t="array" ref="B132">_xlfn.IFS(Datasets!Q132=1,"LoW",Table1[[#This Row],[JobSatisfaction]]=2,"Medium",Table1[[#This Row],[JobSatisfaction]]=3,"High",Table1[[#This Row],[JobSatisfaction]]=4,"Very High")</f>
        <v>Medium</v>
      </c>
      <c r="H132" s="5">
        <v>2</v>
      </c>
      <c r="I132" t="str" cm="1">
        <f t="array" ref="I132">_xlfn.IFS(H132=1,"low",H132=2,"medium",H132=3,"balanced",H132=4,"Good")</f>
        <v>medium</v>
      </c>
    </row>
    <row r="133" spans="1:9" x14ac:dyDescent="0.3">
      <c r="A133" s="13">
        <v>4</v>
      </c>
      <c r="B133" t="str" cm="1">
        <f t="array" ref="B133">_xlfn.IFS(Datasets!Q133=1,"LoW",Table1[[#This Row],[JobSatisfaction]]=2,"Medium",Table1[[#This Row],[JobSatisfaction]]=3,"High",Table1[[#This Row],[JobSatisfaction]]=4,"Very High")</f>
        <v>Very High</v>
      </c>
      <c r="H133" s="5">
        <v>3</v>
      </c>
      <c r="I133" t="str" cm="1">
        <f t="array" ref="I133">_xlfn.IFS(H133=1,"low",H133=2,"medium",H133=3,"balanced",H133=4,"Good")</f>
        <v>balanced</v>
      </c>
    </row>
    <row r="134" spans="1:9" x14ac:dyDescent="0.3">
      <c r="A134" s="14">
        <v>4</v>
      </c>
      <c r="B134" t="str" cm="1">
        <f t="array" ref="B134">_xlfn.IFS(Datasets!Q134=1,"LoW",Table1[[#This Row],[JobSatisfaction]]=2,"Medium",Table1[[#This Row],[JobSatisfaction]]=3,"High",Table1[[#This Row],[JobSatisfaction]]=4,"Very High")</f>
        <v>Very High</v>
      </c>
      <c r="H134" s="5">
        <v>3</v>
      </c>
      <c r="I134" t="str" cm="1">
        <f t="array" ref="I134">_xlfn.IFS(H134=1,"low",H134=2,"medium",H134=3,"balanced",H134=4,"Good")</f>
        <v>balanced</v>
      </c>
    </row>
    <row r="135" spans="1:9" x14ac:dyDescent="0.3">
      <c r="A135" s="13">
        <v>1</v>
      </c>
      <c r="B135" t="str" cm="1">
        <f t="array" ref="B135">_xlfn.IFS(Datasets!Q135=1,"LoW",Table1[[#This Row],[JobSatisfaction]]=2,"Medium",Table1[[#This Row],[JobSatisfaction]]=3,"High",Table1[[#This Row],[JobSatisfaction]]=4,"Very High")</f>
        <v>LoW</v>
      </c>
      <c r="H135" s="5">
        <v>3</v>
      </c>
      <c r="I135" t="str" cm="1">
        <f t="array" ref="I135">_xlfn.IFS(H135=1,"low",H135=2,"medium",H135=3,"balanced",H135=4,"Good")</f>
        <v>balanced</v>
      </c>
    </row>
    <row r="136" spans="1:9" x14ac:dyDescent="0.3">
      <c r="A136" s="14">
        <v>3</v>
      </c>
      <c r="B136" t="str" cm="1">
        <f t="array" ref="B136">_xlfn.IFS(Datasets!Q136=1,"LoW",Table1[[#This Row],[JobSatisfaction]]=2,"Medium",Table1[[#This Row],[JobSatisfaction]]=3,"High",Table1[[#This Row],[JobSatisfaction]]=4,"Very High")</f>
        <v>High</v>
      </c>
      <c r="H136" s="5">
        <v>3</v>
      </c>
      <c r="I136" t="str" cm="1">
        <f t="array" ref="I136">_xlfn.IFS(H136=1,"low",H136=2,"medium",H136=3,"balanced",H136=4,"Good")</f>
        <v>balanced</v>
      </c>
    </row>
    <row r="137" spans="1:9" x14ac:dyDescent="0.3">
      <c r="A137" s="13">
        <v>4</v>
      </c>
      <c r="B137" t="str" cm="1">
        <f t="array" ref="B137">_xlfn.IFS(Datasets!Q137=1,"LoW",Table1[[#This Row],[JobSatisfaction]]=2,"Medium",Table1[[#This Row],[JobSatisfaction]]=3,"High",Table1[[#This Row],[JobSatisfaction]]=4,"Very High")</f>
        <v>Very High</v>
      </c>
      <c r="H137" s="5">
        <v>2</v>
      </c>
      <c r="I137" t="str" cm="1">
        <f t="array" ref="I137">_xlfn.IFS(H137=1,"low",H137=2,"medium",H137=3,"balanced",H137=4,"Good")</f>
        <v>medium</v>
      </c>
    </row>
    <row r="138" spans="1:9" x14ac:dyDescent="0.3">
      <c r="A138" s="14">
        <v>3</v>
      </c>
      <c r="B138" t="str" cm="1">
        <f t="array" ref="B138">_xlfn.IFS(Datasets!Q138=1,"LoW",Table1[[#This Row],[JobSatisfaction]]=2,"Medium",Table1[[#This Row],[JobSatisfaction]]=3,"High",Table1[[#This Row],[JobSatisfaction]]=4,"Very High")</f>
        <v>High</v>
      </c>
      <c r="H138" s="5">
        <v>2</v>
      </c>
      <c r="I138" t="str" cm="1">
        <f t="array" ref="I138">_xlfn.IFS(H138=1,"low",H138=2,"medium",H138=3,"balanced",H138=4,"Good")</f>
        <v>medium</v>
      </c>
    </row>
    <row r="139" spans="1:9" x14ac:dyDescent="0.3">
      <c r="A139" s="13">
        <v>1</v>
      </c>
      <c r="B139" t="str" cm="1">
        <f t="array" ref="B139">_xlfn.IFS(Datasets!Q139=1,"LoW",Table1[[#This Row],[JobSatisfaction]]=2,"Medium",Table1[[#This Row],[JobSatisfaction]]=3,"High",Table1[[#This Row],[JobSatisfaction]]=4,"Very High")</f>
        <v>LoW</v>
      </c>
      <c r="H139" s="5">
        <v>3</v>
      </c>
      <c r="I139" t="str" cm="1">
        <f t="array" ref="I139">_xlfn.IFS(H139=1,"low",H139=2,"medium",H139=3,"balanced",H139=4,"Good")</f>
        <v>balanced</v>
      </c>
    </row>
    <row r="140" spans="1:9" x14ac:dyDescent="0.3">
      <c r="A140" s="14">
        <v>2</v>
      </c>
      <c r="B140" t="str" cm="1">
        <f t="array" ref="B140">_xlfn.IFS(Datasets!Q140=1,"LoW",Table1[[#This Row],[JobSatisfaction]]=2,"Medium",Table1[[#This Row],[JobSatisfaction]]=3,"High",Table1[[#This Row],[JobSatisfaction]]=4,"Very High")</f>
        <v>Medium</v>
      </c>
      <c r="H140" s="5">
        <v>3</v>
      </c>
      <c r="I140" t="str" cm="1">
        <f t="array" ref="I140">_xlfn.IFS(H140=1,"low",H140=2,"medium",H140=3,"balanced",H140=4,"Good")</f>
        <v>balanced</v>
      </c>
    </row>
    <row r="141" spans="1:9" x14ac:dyDescent="0.3">
      <c r="A141" s="13">
        <v>2</v>
      </c>
      <c r="B141" t="str" cm="1">
        <f t="array" ref="B141">_xlfn.IFS(Datasets!Q141=1,"LoW",Table1[[#This Row],[JobSatisfaction]]=2,"Medium",Table1[[#This Row],[JobSatisfaction]]=3,"High",Table1[[#This Row],[JobSatisfaction]]=4,"Very High")</f>
        <v>Medium</v>
      </c>
      <c r="H141" s="5">
        <v>4</v>
      </c>
      <c r="I141" t="str" cm="1">
        <f t="array" ref="I141">_xlfn.IFS(H141=1,"low",H141=2,"medium",H141=3,"balanced",H141=4,"Good")</f>
        <v>Good</v>
      </c>
    </row>
    <row r="142" spans="1:9" x14ac:dyDescent="0.3">
      <c r="A142" s="14">
        <v>3</v>
      </c>
      <c r="B142" t="str" cm="1">
        <f t="array" ref="B142">_xlfn.IFS(Datasets!Q142=1,"LoW",Table1[[#This Row],[JobSatisfaction]]=2,"Medium",Table1[[#This Row],[JobSatisfaction]]=3,"High",Table1[[#This Row],[JobSatisfaction]]=4,"Very High")</f>
        <v>High</v>
      </c>
      <c r="H142" s="5">
        <v>4</v>
      </c>
      <c r="I142" t="str" cm="1">
        <f t="array" ref="I142">_xlfn.IFS(H142=1,"low",H142=2,"medium",H142=3,"balanced",H142=4,"Good")</f>
        <v>Good</v>
      </c>
    </row>
    <row r="143" spans="1:9" x14ac:dyDescent="0.3">
      <c r="A143" s="13">
        <v>3</v>
      </c>
      <c r="B143" t="str" cm="1">
        <f t="array" ref="B143">_xlfn.IFS(Datasets!Q143=1,"LoW",Table1[[#This Row],[JobSatisfaction]]=2,"Medium",Table1[[#This Row],[JobSatisfaction]]=3,"High",Table1[[#This Row],[JobSatisfaction]]=4,"Very High")</f>
        <v>High</v>
      </c>
      <c r="H143" s="5">
        <v>1</v>
      </c>
      <c r="I143" t="str" cm="1">
        <f t="array" ref="I143">_xlfn.IFS(H143=1,"low",H143=2,"medium",H143=3,"balanced",H143=4,"Good")</f>
        <v>low</v>
      </c>
    </row>
    <row r="144" spans="1:9" x14ac:dyDescent="0.3">
      <c r="A144" s="14">
        <v>1</v>
      </c>
      <c r="B144" t="str" cm="1">
        <f t="array" ref="B144">_xlfn.IFS(Datasets!Q144=1,"LoW",Table1[[#This Row],[JobSatisfaction]]=2,"Medium",Table1[[#This Row],[JobSatisfaction]]=3,"High",Table1[[#This Row],[JobSatisfaction]]=4,"Very High")</f>
        <v>LoW</v>
      </c>
      <c r="H144" s="5">
        <v>3</v>
      </c>
      <c r="I144" t="str" cm="1">
        <f t="array" ref="I144">_xlfn.IFS(H144=1,"low",H144=2,"medium",H144=3,"balanced",H144=4,"Good")</f>
        <v>balanced</v>
      </c>
    </row>
    <row r="145" spans="1:9" x14ac:dyDescent="0.3">
      <c r="A145" s="13">
        <v>3</v>
      </c>
      <c r="B145" t="str" cm="1">
        <f t="array" ref="B145">_xlfn.IFS(Datasets!Q145=1,"LoW",Table1[[#This Row],[JobSatisfaction]]=2,"Medium",Table1[[#This Row],[JobSatisfaction]]=3,"High",Table1[[#This Row],[JobSatisfaction]]=4,"Very High")</f>
        <v>High</v>
      </c>
      <c r="H145" s="5">
        <v>3</v>
      </c>
      <c r="I145" t="str" cm="1">
        <f t="array" ref="I145">_xlfn.IFS(H145=1,"low",H145=2,"medium",H145=3,"balanced",H145=4,"Good")</f>
        <v>balanced</v>
      </c>
    </row>
    <row r="146" spans="1:9" x14ac:dyDescent="0.3">
      <c r="A146" s="14">
        <v>2</v>
      </c>
      <c r="B146" t="str" cm="1">
        <f t="array" ref="B146">_xlfn.IFS(Datasets!Q146=1,"LoW",Table1[[#This Row],[JobSatisfaction]]=2,"Medium",Table1[[#This Row],[JobSatisfaction]]=3,"High",Table1[[#This Row],[JobSatisfaction]]=4,"Very High")</f>
        <v>Medium</v>
      </c>
      <c r="H146" s="5">
        <v>3</v>
      </c>
      <c r="I146" t="str" cm="1">
        <f t="array" ref="I146">_xlfn.IFS(H146=1,"low",H146=2,"medium",H146=3,"balanced",H146=4,"Good")</f>
        <v>balanced</v>
      </c>
    </row>
    <row r="147" spans="1:9" x14ac:dyDescent="0.3">
      <c r="A147" s="13">
        <v>2</v>
      </c>
      <c r="B147" t="str" cm="1">
        <f t="array" ref="B147">_xlfn.IFS(Datasets!Q147=1,"LoW",Table1[[#This Row],[JobSatisfaction]]=2,"Medium",Table1[[#This Row],[JobSatisfaction]]=3,"High",Table1[[#This Row],[JobSatisfaction]]=4,"Very High")</f>
        <v>Medium</v>
      </c>
      <c r="H147" s="5">
        <v>3</v>
      </c>
      <c r="I147" t="str" cm="1">
        <f t="array" ref="I147">_xlfn.IFS(H147=1,"low",H147=2,"medium",H147=3,"balanced",H147=4,"Good")</f>
        <v>balanced</v>
      </c>
    </row>
    <row r="148" spans="1:9" x14ac:dyDescent="0.3">
      <c r="A148" s="14">
        <v>4</v>
      </c>
      <c r="B148" t="str" cm="1">
        <f t="array" ref="B148">_xlfn.IFS(Datasets!Q148=1,"LoW",Table1[[#This Row],[JobSatisfaction]]=2,"Medium",Table1[[#This Row],[JobSatisfaction]]=3,"High",Table1[[#This Row],[JobSatisfaction]]=4,"Very High")</f>
        <v>Very High</v>
      </c>
      <c r="H148" s="5">
        <v>3</v>
      </c>
      <c r="I148" t="str" cm="1">
        <f t="array" ref="I148">_xlfn.IFS(H148=1,"low",H148=2,"medium",H148=3,"balanced",H148=4,"Good")</f>
        <v>balanced</v>
      </c>
    </row>
    <row r="149" spans="1:9" x14ac:dyDescent="0.3">
      <c r="A149" s="13">
        <v>3</v>
      </c>
      <c r="B149" t="str" cm="1">
        <f t="array" ref="B149">_xlfn.IFS(Datasets!Q149=1,"LoW",Table1[[#This Row],[JobSatisfaction]]=2,"Medium",Table1[[#This Row],[JobSatisfaction]]=3,"High",Table1[[#This Row],[JobSatisfaction]]=4,"Very High")</f>
        <v>High</v>
      </c>
      <c r="H149" s="5">
        <v>3</v>
      </c>
      <c r="I149" t="str" cm="1">
        <f t="array" ref="I149">_xlfn.IFS(H149=1,"low",H149=2,"medium",H149=3,"balanced",H149=4,"Good")</f>
        <v>balanced</v>
      </c>
    </row>
    <row r="150" spans="1:9" x14ac:dyDescent="0.3">
      <c r="A150" s="14">
        <v>1</v>
      </c>
      <c r="B150" t="str" cm="1">
        <f t="array" ref="B150">_xlfn.IFS(Datasets!Q150=1,"LoW",Table1[[#This Row],[JobSatisfaction]]=2,"Medium",Table1[[#This Row],[JobSatisfaction]]=3,"High",Table1[[#This Row],[JobSatisfaction]]=4,"Very High")</f>
        <v>LoW</v>
      </c>
      <c r="H150" s="5">
        <v>3</v>
      </c>
      <c r="I150" t="str" cm="1">
        <f t="array" ref="I150">_xlfn.IFS(H150=1,"low",H150=2,"medium",H150=3,"balanced",H150=4,"Good")</f>
        <v>balanced</v>
      </c>
    </row>
    <row r="151" spans="1:9" x14ac:dyDescent="0.3">
      <c r="A151" s="13">
        <v>1</v>
      </c>
      <c r="B151" t="str" cm="1">
        <f t="array" ref="B151">_xlfn.IFS(Datasets!Q151=1,"LoW",Table1[[#This Row],[JobSatisfaction]]=2,"Medium",Table1[[#This Row],[JobSatisfaction]]=3,"High",Table1[[#This Row],[JobSatisfaction]]=4,"Very High")</f>
        <v>LoW</v>
      </c>
      <c r="H151" s="5">
        <v>3</v>
      </c>
      <c r="I151" t="str" cm="1">
        <f t="array" ref="I151">_xlfn.IFS(H151=1,"low",H151=2,"medium",H151=3,"balanced",H151=4,"Good")</f>
        <v>balanced</v>
      </c>
    </row>
    <row r="152" spans="1:9" x14ac:dyDescent="0.3">
      <c r="A152" s="14">
        <v>1</v>
      </c>
      <c r="B152" t="str" cm="1">
        <f t="array" ref="B152">_xlfn.IFS(Datasets!Q152=1,"LoW",Table1[[#This Row],[JobSatisfaction]]=2,"Medium",Table1[[#This Row],[JobSatisfaction]]=3,"High",Table1[[#This Row],[JobSatisfaction]]=4,"Very High")</f>
        <v>LoW</v>
      </c>
      <c r="H152" s="5">
        <v>3</v>
      </c>
      <c r="I152" t="str" cm="1">
        <f t="array" ref="I152">_xlfn.IFS(H152=1,"low",H152=2,"medium",H152=3,"balanced",H152=4,"Good")</f>
        <v>balanced</v>
      </c>
    </row>
    <row r="153" spans="1:9" x14ac:dyDescent="0.3">
      <c r="A153" s="13">
        <v>4</v>
      </c>
      <c r="B153" t="str" cm="1">
        <f t="array" ref="B153">_xlfn.IFS(Datasets!Q153=1,"LoW",Table1[[#This Row],[JobSatisfaction]]=2,"Medium",Table1[[#This Row],[JobSatisfaction]]=3,"High",Table1[[#This Row],[JobSatisfaction]]=4,"Very High")</f>
        <v>Very High</v>
      </c>
      <c r="H153" s="5">
        <v>3</v>
      </c>
      <c r="I153" t="str" cm="1">
        <f t="array" ref="I153">_xlfn.IFS(H153=1,"low",H153=2,"medium",H153=3,"balanced",H153=4,"Good")</f>
        <v>balanced</v>
      </c>
    </row>
    <row r="154" spans="1:9" x14ac:dyDescent="0.3">
      <c r="A154" s="14">
        <v>4</v>
      </c>
      <c r="B154" t="str" cm="1">
        <f t="array" ref="B154">_xlfn.IFS(Datasets!Q154=1,"LoW",Table1[[#This Row],[JobSatisfaction]]=2,"Medium",Table1[[#This Row],[JobSatisfaction]]=3,"High",Table1[[#This Row],[JobSatisfaction]]=4,"Very High")</f>
        <v>Very High</v>
      </c>
      <c r="H154" s="5">
        <v>3</v>
      </c>
      <c r="I154" t="str" cm="1">
        <f t="array" ref="I154">_xlfn.IFS(H154=1,"low",H154=2,"medium",H154=3,"balanced",H154=4,"Good")</f>
        <v>balanced</v>
      </c>
    </row>
    <row r="155" spans="1:9" x14ac:dyDescent="0.3">
      <c r="A155" s="13">
        <v>1</v>
      </c>
      <c r="B155" t="str" cm="1">
        <f t="array" ref="B155">_xlfn.IFS(Datasets!Q155=1,"LoW",Table1[[#This Row],[JobSatisfaction]]=2,"Medium",Table1[[#This Row],[JobSatisfaction]]=3,"High",Table1[[#This Row],[JobSatisfaction]]=4,"Very High")</f>
        <v>LoW</v>
      </c>
      <c r="H155" s="5">
        <v>4</v>
      </c>
      <c r="I155" t="str" cm="1">
        <f t="array" ref="I155">_xlfn.IFS(H155=1,"low",H155=2,"medium",H155=3,"balanced",H155=4,"Good")</f>
        <v>Good</v>
      </c>
    </row>
    <row r="156" spans="1:9" x14ac:dyDescent="0.3">
      <c r="A156" s="14">
        <v>4</v>
      </c>
      <c r="B156" t="str" cm="1">
        <f t="array" ref="B156">_xlfn.IFS(Datasets!Q156=1,"LoW",Table1[[#This Row],[JobSatisfaction]]=2,"Medium",Table1[[#This Row],[JobSatisfaction]]=3,"High",Table1[[#This Row],[JobSatisfaction]]=4,"Very High")</f>
        <v>Very High</v>
      </c>
      <c r="H156" s="5">
        <v>2</v>
      </c>
      <c r="I156" t="str" cm="1">
        <f t="array" ref="I156">_xlfn.IFS(H156=1,"low",H156=2,"medium",H156=3,"balanced",H156=4,"Good")</f>
        <v>medium</v>
      </c>
    </row>
    <row r="157" spans="1:9" x14ac:dyDescent="0.3">
      <c r="A157" s="13">
        <v>2</v>
      </c>
      <c r="B157" t="str" cm="1">
        <f t="array" ref="B157">_xlfn.IFS(Datasets!Q157=1,"LoW",Table1[[#This Row],[JobSatisfaction]]=2,"Medium",Table1[[#This Row],[JobSatisfaction]]=3,"High",Table1[[#This Row],[JobSatisfaction]]=4,"Very High")</f>
        <v>Medium</v>
      </c>
      <c r="H157" s="5">
        <v>2</v>
      </c>
      <c r="I157" t="str" cm="1">
        <f t="array" ref="I157">_xlfn.IFS(H157=1,"low",H157=2,"medium",H157=3,"balanced",H157=4,"Good")</f>
        <v>medium</v>
      </c>
    </row>
    <row r="158" spans="1:9" x14ac:dyDescent="0.3">
      <c r="A158" s="14">
        <v>3</v>
      </c>
      <c r="B158" t="str" cm="1">
        <f t="array" ref="B158">_xlfn.IFS(Datasets!Q158=1,"LoW",Table1[[#This Row],[JobSatisfaction]]=2,"Medium",Table1[[#This Row],[JobSatisfaction]]=3,"High",Table1[[#This Row],[JobSatisfaction]]=4,"Very High")</f>
        <v>High</v>
      </c>
      <c r="H158" s="5">
        <v>4</v>
      </c>
      <c r="I158" t="str" cm="1">
        <f t="array" ref="I158">_xlfn.IFS(H158=1,"low",H158=2,"medium",H158=3,"balanced",H158=4,"Good")</f>
        <v>Good</v>
      </c>
    </row>
    <row r="159" spans="1:9" x14ac:dyDescent="0.3">
      <c r="A159" s="13">
        <v>2</v>
      </c>
      <c r="B159" t="str" cm="1">
        <f t="array" ref="B159">_xlfn.IFS(Datasets!Q159=1,"LoW",Table1[[#This Row],[JobSatisfaction]]=2,"Medium",Table1[[#This Row],[JobSatisfaction]]=3,"High",Table1[[#This Row],[JobSatisfaction]]=4,"Very High")</f>
        <v>Medium</v>
      </c>
      <c r="H159" s="5">
        <v>3</v>
      </c>
      <c r="I159" t="str" cm="1">
        <f t="array" ref="I159">_xlfn.IFS(H159=1,"low",H159=2,"medium",H159=3,"balanced",H159=4,"Good")</f>
        <v>balanced</v>
      </c>
    </row>
    <row r="160" spans="1:9" x14ac:dyDescent="0.3">
      <c r="A160" s="14">
        <v>1</v>
      </c>
      <c r="B160" t="str" cm="1">
        <f t="array" ref="B160">_xlfn.IFS(Datasets!Q160=1,"LoW",Table1[[#This Row],[JobSatisfaction]]=2,"Medium",Table1[[#This Row],[JobSatisfaction]]=3,"High",Table1[[#This Row],[JobSatisfaction]]=4,"Very High")</f>
        <v>LoW</v>
      </c>
      <c r="H160" s="5">
        <v>3</v>
      </c>
      <c r="I160" t="str" cm="1">
        <f t="array" ref="I160">_xlfn.IFS(H160=1,"low",H160=2,"medium",H160=3,"balanced",H160=4,"Good")</f>
        <v>balanced</v>
      </c>
    </row>
    <row r="161" spans="1:9" x14ac:dyDescent="0.3">
      <c r="A161" s="13">
        <v>3</v>
      </c>
      <c r="B161" t="str" cm="1">
        <f t="array" ref="B161">_xlfn.IFS(Datasets!Q161=1,"LoW",Table1[[#This Row],[JobSatisfaction]]=2,"Medium",Table1[[#This Row],[JobSatisfaction]]=3,"High",Table1[[#This Row],[JobSatisfaction]]=4,"Very High")</f>
        <v>High</v>
      </c>
      <c r="H161" s="5">
        <v>1</v>
      </c>
      <c r="I161" t="str" cm="1">
        <f t="array" ref="I161">_xlfn.IFS(H161=1,"low",H161=2,"medium",H161=3,"balanced",H161=4,"Good")</f>
        <v>low</v>
      </c>
    </row>
    <row r="162" spans="1:9" x14ac:dyDescent="0.3">
      <c r="A162" s="14">
        <v>4</v>
      </c>
      <c r="B162" t="str" cm="1">
        <f t="array" ref="B162">_xlfn.IFS(Datasets!Q162=1,"LoW",Table1[[#This Row],[JobSatisfaction]]=2,"Medium",Table1[[#This Row],[JobSatisfaction]]=3,"High",Table1[[#This Row],[JobSatisfaction]]=4,"Very High")</f>
        <v>Very High</v>
      </c>
      <c r="H162" s="5">
        <v>3</v>
      </c>
      <c r="I162" t="str" cm="1">
        <f t="array" ref="I162">_xlfn.IFS(H162=1,"low",H162=2,"medium",H162=3,"balanced",H162=4,"Good")</f>
        <v>balanced</v>
      </c>
    </row>
    <row r="163" spans="1:9" x14ac:dyDescent="0.3">
      <c r="A163" s="13">
        <v>4</v>
      </c>
      <c r="B163" t="str" cm="1">
        <f t="array" ref="B163">_xlfn.IFS(Datasets!Q163=1,"LoW",Table1[[#This Row],[JobSatisfaction]]=2,"Medium",Table1[[#This Row],[JobSatisfaction]]=3,"High",Table1[[#This Row],[JobSatisfaction]]=4,"Very High")</f>
        <v>Very High</v>
      </c>
      <c r="H163" s="5">
        <v>1</v>
      </c>
      <c r="I163" t="str" cm="1">
        <f t="array" ref="I163">_xlfn.IFS(H163=1,"low",H163=2,"medium",H163=3,"balanced",H163=4,"Good")</f>
        <v>low</v>
      </c>
    </row>
    <row r="164" spans="1:9" x14ac:dyDescent="0.3">
      <c r="A164" s="14">
        <v>1</v>
      </c>
      <c r="B164" t="str" cm="1">
        <f t="array" ref="B164">_xlfn.IFS(Datasets!Q164=1,"LoW",Table1[[#This Row],[JobSatisfaction]]=2,"Medium",Table1[[#This Row],[JobSatisfaction]]=3,"High",Table1[[#This Row],[JobSatisfaction]]=4,"Very High")</f>
        <v>LoW</v>
      </c>
      <c r="H164" s="5">
        <v>3</v>
      </c>
      <c r="I164" t="str" cm="1">
        <f t="array" ref="I164">_xlfn.IFS(H164=1,"low",H164=2,"medium",H164=3,"balanced",H164=4,"Good")</f>
        <v>balanced</v>
      </c>
    </row>
    <row r="165" spans="1:9" x14ac:dyDescent="0.3">
      <c r="A165" s="13">
        <v>4</v>
      </c>
      <c r="B165" t="str" cm="1">
        <f t="array" ref="B165">_xlfn.IFS(Datasets!Q165=1,"LoW",Table1[[#This Row],[JobSatisfaction]]=2,"Medium",Table1[[#This Row],[JobSatisfaction]]=3,"High",Table1[[#This Row],[JobSatisfaction]]=4,"Very High")</f>
        <v>Very High</v>
      </c>
      <c r="H165" s="5">
        <v>2</v>
      </c>
      <c r="I165" t="str" cm="1">
        <f t="array" ref="I165">_xlfn.IFS(H165=1,"low",H165=2,"medium",H165=3,"balanced",H165=4,"Good")</f>
        <v>medium</v>
      </c>
    </row>
    <row r="166" spans="1:9" x14ac:dyDescent="0.3">
      <c r="A166" s="14">
        <v>1</v>
      </c>
      <c r="B166" t="str" cm="1">
        <f t="array" ref="B166">_xlfn.IFS(Datasets!Q166=1,"LoW",Table1[[#This Row],[JobSatisfaction]]=2,"Medium",Table1[[#This Row],[JobSatisfaction]]=3,"High",Table1[[#This Row],[JobSatisfaction]]=4,"Very High")</f>
        <v>LoW</v>
      </c>
      <c r="H166" s="5">
        <v>3</v>
      </c>
      <c r="I166" t="str" cm="1">
        <f t="array" ref="I166">_xlfn.IFS(H166=1,"low",H166=2,"medium",H166=3,"balanced",H166=4,"Good")</f>
        <v>balanced</v>
      </c>
    </row>
    <row r="167" spans="1:9" x14ac:dyDescent="0.3">
      <c r="A167" s="13">
        <v>4</v>
      </c>
      <c r="B167" t="str" cm="1">
        <f t="array" ref="B167">_xlfn.IFS(Datasets!Q167=1,"LoW",Table1[[#This Row],[JobSatisfaction]]=2,"Medium",Table1[[#This Row],[JobSatisfaction]]=3,"High",Table1[[#This Row],[JobSatisfaction]]=4,"Very High")</f>
        <v>Very High</v>
      </c>
      <c r="H167" s="5">
        <v>2</v>
      </c>
      <c r="I167" t="str" cm="1">
        <f t="array" ref="I167">_xlfn.IFS(H167=1,"low",H167=2,"medium",H167=3,"balanced",H167=4,"Good")</f>
        <v>medium</v>
      </c>
    </row>
    <row r="168" spans="1:9" x14ac:dyDescent="0.3">
      <c r="A168" s="14">
        <v>2</v>
      </c>
      <c r="B168" t="str" cm="1">
        <f t="array" ref="B168">_xlfn.IFS(Datasets!Q168=1,"LoW",Table1[[#This Row],[JobSatisfaction]]=2,"Medium",Table1[[#This Row],[JobSatisfaction]]=3,"High",Table1[[#This Row],[JobSatisfaction]]=4,"Very High")</f>
        <v>Medium</v>
      </c>
      <c r="H168" s="5">
        <v>2</v>
      </c>
      <c r="I168" t="str" cm="1">
        <f t="array" ref="I168">_xlfn.IFS(H168=1,"low",H168=2,"medium",H168=3,"balanced",H168=4,"Good")</f>
        <v>medium</v>
      </c>
    </row>
    <row r="169" spans="1:9" x14ac:dyDescent="0.3">
      <c r="A169" s="13">
        <v>3</v>
      </c>
      <c r="B169" t="str" cm="1">
        <f t="array" ref="B169">_xlfn.IFS(Datasets!Q169=1,"LoW",Table1[[#This Row],[JobSatisfaction]]=2,"Medium",Table1[[#This Row],[JobSatisfaction]]=3,"High",Table1[[#This Row],[JobSatisfaction]]=4,"Very High")</f>
        <v>High</v>
      </c>
      <c r="H169" s="5">
        <v>4</v>
      </c>
      <c r="I169" t="str" cm="1">
        <f t="array" ref="I169">_xlfn.IFS(H169=1,"low",H169=2,"medium",H169=3,"balanced",H169=4,"Good")</f>
        <v>Good</v>
      </c>
    </row>
    <row r="170" spans="1:9" x14ac:dyDescent="0.3">
      <c r="A170" s="14">
        <v>2</v>
      </c>
      <c r="B170" t="str" cm="1">
        <f t="array" ref="B170">_xlfn.IFS(Datasets!Q170=1,"LoW",Table1[[#This Row],[JobSatisfaction]]=2,"Medium",Table1[[#This Row],[JobSatisfaction]]=3,"High",Table1[[#This Row],[JobSatisfaction]]=4,"Very High")</f>
        <v>Medium</v>
      </c>
      <c r="H170" s="5">
        <v>1</v>
      </c>
      <c r="I170" t="str" cm="1">
        <f t="array" ref="I170">_xlfn.IFS(H170=1,"low",H170=2,"medium",H170=3,"balanced",H170=4,"Good")</f>
        <v>low</v>
      </c>
    </row>
    <row r="171" spans="1:9" x14ac:dyDescent="0.3">
      <c r="A171" s="13">
        <v>3</v>
      </c>
      <c r="B171" t="str" cm="1">
        <f t="array" ref="B171">_xlfn.IFS(Datasets!Q171=1,"LoW",Table1[[#This Row],[JobSatisfaction]]=2,"Medium",Table1[[#This Row],[JobSatisfaction]]=3,"High",Table1[[#This Row],[JobSatisfaction]]=4,"Very High")</f>
        <v>High</v>
      </c>
      <c r="H171" s="5">
        <v>2</v>
      </c>
      <c r="I171" t="str" cm="1">
        <f t="array" ref="I171">_xlfn.IFS(H171=1,"low",H171=2,"medium",H171=3,"balanced",H171=4,"Good")</f>
        <v>medium</v>
      </c>
    </row>
    <row r="172" spans="1:9" x14ac:dyDescent="0.3">
      <c r="A172" s="14">
        <v>4</v>
      </c>
      <c r="B172" t="str" cm="1">
        <f t="array" ref="B172">_xlfn.IFS(Datasets!Q172=1,"LoW",Table1[[#This Row],[JobSatisfaction]]=2,"Medium",Table1[[#This Row],[JobSatisfaction]]=3,"High",Table1[[#This Row],[JobSatisfaction]]=4,"Very High")</f>
        <v>Very High</v>
      </c>
      <c r="H172" s="5">
        <v>3</v>
      </c>
      <c r="I172" t="str" cm="1">
        <f t="array" ref="I172">_xlfn.IFS(H172=1,"low",H172=2,"medium",H172=3,"balanced",H172=4,"Good")</f>
        <v>balanced</v>
      </c>
    </row>
    <row r="173" spans="1:9" x14ac:dyDescent="0.3">
      <c r="A173" s="13">
        <v>1</v>
      </c>
      <c r="B173" t="str" cm="1">
        <f t="array" ref="B173">_xlfn.IFS(Datasets!Q173=1,"LoW",Table1[[#This Row],[JobSatisfaction]]=2,"Medium",Table1[[#This Row],[JobSatisfaction]]=3,"High",Table1[[#This Row],[JobSatisfaction]]=4,"Very High")</f>
        <v>LoW</v>
      </c>
      <c r="H173" s="5">
        <v>4</v>
      </c>
      <c r="I173" t="str" cm="1">
        <f t="array" ref="I173">_xlfn.IFS(H173=1,"low",H173=2,"medium",H173=3,"balanced",H173=4,"Good")</f>
        <v>Good</v>
      </c>
    </row>
    <row r="174" spans="1:9" x14ac:dyDescent="0.3">
      <c r="A174" s="14">
        <v>1</v>
      </c>
      <c r="B174" t="str" cm="1">
        <f t="array" ref="B174">_xlfn.IFS(Datasets!Q174=1,"LoW",Table1[[#This Row],[JobSatisfaction]]=2,"Medium",Table1[[#This Row],[JobSatisfaction]]=3,"High",Table1[[#This Row],[JobSatisfaction]]=4,"Very High")</f>
        <v>LoW</v>
      </c>
      <c r="H174" s="5">
        <v>1</v>
      </c>
      <c r="I174" t="str" cm="1">
        <f t="array" ref="I174">_xlfn.IFS(H174=1,"low",H174=2,"medium",H174=3,"balanced",H174=4,"Good")</f>
        <v>low</v>
      </c>
    </row>
    <row r="175" spans="1:9" x14ac:dyDescent="0.3">
      <c r="A175" s="13">
        <v>3</v>
      </c>
      <c r="B175" t="str" cm="1">
        <f t="array" ref="B175">_xlfn.IFS(Datasets!Q175=1,"LoW",Table1[[#This Row],[JobSatisfaction]]=2,"Medium",Table1[[#This Row],[JobSatisfaction]]=3,"High",Table1[[#This Row],[JobSatisfaction]]=4,"Very High")</f>
        <v>High</v>
      </c>
      <c r="H175" s="5">
        <v>3</v>
      </c>
      <c r="I175" t="str" cm="1">
        <f t="array" ref="I175">_xlfn.IFS(H175=1,"low",H175=2,"medium",H175=3,"balanced",H175=4,"Good")</f>
        <v>balanced</v>
      </c>
    </row>
    <row r="176" spans="1:9" x14ac:dyDescent="0.3">
      <c r="A176" s="14">
        <v>1</v>
      </c>
      <c r="B176" t="str" cm="1">
        <f t="array" ref="B176">_xlfn.IFS(Datasets!Q176=1,"LoW",Table1[[#This Row],[JobSatisfaction]]=2,"Medium",Table1[[#This Row],[JobSatisfaction]]=3,"High",Table1[[#This Row],[JobSatisfaction]]=4,"Very High")</f>
        <v>LoW</v>
      </c>
      <c r="H176" s="5">
        <v>2</v>
      </c>
      <c r="I176" t="str" cm="1">
        <f t="array" ref="I176">_xlfn.IFS(H176=1,"low",H176=2,"medium",H176=3,"balanced",H176=4,"Good")</f>
        <v>medium</v>
      </c>
    </row>
    <row r="177" spans="1:9" x14ac:dyDescent="0.3">
      <c r="A177" s="13">
        <v>4</v>
      </c>
      <c r="B177" t="str" cm="1">
        <f t="array" ref="B177">_xlfn.IFS(Datasets!Q177=1,"LoW",Table1[[#This Row],[JobSatisfaction]]=2,"Medium",Table1[[#This Row],[JobSatisfaction]]=3,"High",Table1[[#This Row],[JobSatisfaction]]=4,"Very High")</f>
        <v>Very High</v>
      </c>
      <c r="H177" s="5">
        <v>2</v>
      </c>
      <c r="I177" t="str" cm="1">
        <f t="array" ref="I177">_xlfn.IFS(H177=1,"low",H177=2,"medium",H177=3,"balanced",H177=4,"Good")</f>
        <v>medium</v>
      </c>
    </row>
    <row r="178" spans="1:9" x14ac:dyDescent="0.3">
      <c r="A178" s="14">
        <v>2</v>
      </c>
      <c r="B178" t="str" cm="1">
        <f t="array" ref="B178">_xlfn.IFS(Datasets!Q178=1,"LoW",Table1[[#This Row],[JobSatisfaction]]=2,"Medium",Table1[[#This Row],[JobSatisfaction]]=3,"High",Table1[[#This Row],[JobSatisfaction]]=4,"Very High")</f>
        <v>Medium</v>
      </c>
      <c r="H178" s="5">
        <v>2</v>
      </c>
      <c r="I178" t="str" cm="1">
        <f t="array" ref="I178">_xlfn.IFS(H178=1,"low",H178=2,"medium",H178=3,"balanced",H178=4,"Good")</f>
        <v>medium</v>
      </c>
    </row>
    <row r="179" spans="1:9" x14ac:dyDescent="0.3">
      <c r="A179" s="13">
        <v>2</v>
      </c>
      <c r="B179" t="str" cm="1">
        <f t="array" ref="B179">_xlfn.IFS(Datasets!Q179=1,"LoW",Table1[[#This Row],[JobSatisfaction]]=2,"Medium",Table1[[#This Row],[JobSatisfaction]]=3,"High",Table1[[#This Row],[JobSatisfaction]]=4,"Very High")</f>
        <v>Medium</v>
      </c>
      <c r="H179" s="5">
        <v>3</v>
      </c>
      <c r="I179" t="str" cm="1">
        <f t="array" ref="I179">_xlfn.IFS(H179=1,"low",H179=2,"medium",H179=3,"balanced",H179=4,"Good")</f>
        <v>balanced</v>
      </c>
    </row>
    <row r="180" spans="1:9" x14ac:dyDescent="0.3">
      <c r="A180" s="14">
        <v>2</v>
      </c>
      <c r="B180" t="str" cm="1">
        <f t="array" ref="B180">_xlfn.IFS(Datasets!Q180=1,"LoW",Table1[[#This Row],[JobSatisfaction]]=2,"Medium",Table1[[#This Row],[JobSatisfaction]]=3,"High",Table1[[#This Row],[JobSatisfaction]]=4,"Very High")</f>
        <v>Medium</v>
      </c>
      <c r="H180" s="5">
        <v>3</v>
      </c>
      <c r="I180" t="str" cm="1">
        <f t="array" ref="I180">_xlfn.IFS(H180=1,"low",H180=2,"medium",H180=3,"balanced",H180=4,"Good")</f>
        <v>balanced</v>
      </c>
    </row>
    <row r="181" spans="1:9" x14ac:dyDescent="0.3">
      <c r="A181" s="13">
        <v>3</v>
      </c>
      <c r="B181" t="str" cm="1">
        <f t="array" ref="B181">_xlfn.IFS(Datasets!Q181=1,"LoW",Table1[[#This Row],[JobSatisfaction]]=2,"Medium",Table1[[#This Row],[JobSatisfaction]]=3,"High",Table1[[#This Row],[JobSatisfaction]]=4,"Very High")</f>
        <v>High</v>
      </c>
      <c r="H181" s="5">
        <v>3</v>
      </c>
      <c r="I181" t="str" cm="1">
        <f t="array" ref="I181">_xlfn.IFS(H181=1,"low",H181=2,"medium",H181=3,"balanced",H181=4,"Good")</f>
        <v>balanced</v>
      </c>
    </row>
    <row r="182" spans="1:9" x14ac:dyDescent="0.3">
      <c r="A182" s="14">
        <v>2</v>
      </c>
      <c r="B182" t="str" cm="1">
        <f t="array" ref="B182">_xlfn.IFS(Datasets!Q182=1,"LoW",Table1[[#This Row],[JobSatisfaction]]=2,"Medium",Table1[[#This Row],[JobSatisfaction]]=3,"High",Table1[[#This Row],[JobSatisfaction]]=4,"Very High")</f>
        <v>Medium</v>
      </c>
      <c r="H182" s="5">
        <v>3</v>
      </c>
      <c r="I182" t="str" cm="1">
        <f t="array" ref="I182">_xlfn.IFS(H182=1,"low",H182=2,"medium",H182=3,"balanced",H182=4,"Good")</f>
        <v>balanced</v>
      </c>
    </row>
    <row r="183" spans="1:9" x14ac:dyDescent="0.3">
      <c r="A183" s="13">
        <v>4</v>
      </c>
      <c r="B183" t="str" cm="1">
        <f t="array" ref="B183">_xlfn.IFS(Datasets!Q183=1,"LoW",Table1[[#This Row],[JobSatisfaction]]=2,"Medium",Table1[[#This Row],[JobSatisfaction]]=3,"High",Table1[[#This Row],[JobSatisfaction]]=4,"Very High")</f>
        <v>Very High</v>
      </c>
      <c r="H183" s="5">
        <v>4</v>
      </c>
      <c r="I183" t="str" cm="1">
        <f t="array" ref="I183">_xlfn.IFS(H183=1,"low",H183=2,"medium",H183=3,"balanced",H183=4,"Good")</f>
        <v>Good</v>
      </c>
    </row>
    <row r="184" spans="1:9" x14ac:dyDescent="0.3">
      <c r="A184" s="14">
        <v>3</v>
      </c>
      <c r="B184" t="str" cm="1">
        <f t="array" ref="B184">_xlfn.IFS(Datasets!Q184=1,"LoW",Table1[[#This Row],[JobSatisfaction]]=2,"Medium",Table1[[#This Row],[JobSatisfaction]]=3,"High",Table1[[#This Row],[JobSatisfaction]]=4,"Very High")</f>
        <v>High</v>
      </c>
      <c r="H184" s="5">
        <v>3</v>
      </c>
      <c r="I184" t="str" cm="1">
        <f t="array" ref="I184">_xlfn.IFS(H184=1,"low",H184=2,"medium",H184=3,"balanced",H184=4,"Good")</f>
        <v>balanced</v>
      </c>
    </row>
    <row r="185" spans="1:9" x14ac:dyDescent="0.3">
      <c r="A185" s="13">
        <v>3</v>
      </c>
      <c r="B185" t="str" cm="1">
        <f t="array" ref="B185">_xlfn.IFS(Datasets!Q185=1,"LoW",Table1[[#This Row],[JobSatisfaction]]=2,"Medium",Table1[[#This Row],[JobSatisfaction]]=3,"High",Table1[[#This Row],[JobSatisfaction]]=4,"Very High")</f>
        <v>High</v>
      </c>
      <c r="H185" s="5">
        <v>2</v>
      </c>
      <c r="I185" t="str" cm="1">
        <f t="array" ref="I185">_xlfn.IFS(H185=1,"low",H185=2,"medium",H185=3,"balanced",H185=4,"Good")</f>
        <v>medium</v>
      </c>
    </row>
    <row r="186" spans="1:9" x14ac:dyDescent="0.3">
      <c r="A186" s="14">
        <v>4</v>
      </c>
      <c r="B186" t="str" cm="1">
        <f t="array" ref="B186">_xlfn.IFS(Datasets!Q186=1,"LoW",Table1[[#This Row],[JobSatisfaction]]=2,"Medium",Table1[[#This Row],[JobSatisfaction]]=3,"High",Table1[[#This Row],[JobSatisfaction]]=4,"Very High")</f>
        <v>Very High</v>
      </c>
      <c r="H186" s="5">
        <v>2</v>
      </c>
      <c r="I186" t="str" cm="1">
        <f t="array" ref="I186">_xlfn.IFS(H186=1,"low",H186=2,"medium",H186=3,"balanced",H186=4,"Good")</f>
        <v>medium</v>
      </c>
    </row>
    <row r="187" spans="1:9" x14ac:dyDescent="0.3">
      <c r="A187" s="13">
        <v>4</v>
      </c>
      <c r="B187" t="str" cm="1">
        <f t="array" ref="B187">_xlfn.IFS(Datasets!Q187=1,"LoW",Table1[[#This Row],[JobSatisfaction]]=2,"Medium",Table1[[#This Row],[JobSatisfaction]]=3,"High",Table1[[#This Row],[JobSatisfaction]]=4,"Very High")</f>
        <v>Very High</v>
      </c>
      <c r="H187" s="5">
        <v>2</v>
      </c>
      <c r="I187" t="str" cm="1">
        <f t="array" ref="I187">_xlfn.IFS(H187=1,"low",H187=2,"medium",H187=3,"balanced",H187=4,"Good")</f>
        <v>medium</v>
      </c>
    </row>
    <row r="188" spans="1:9" x14ac:dyDescent="0.3">
      <c r="A188" s="14">
        <v>4</v>
      </c>
      <c r="B188" t="str" cm="1">
        <f t="array" ref="B188">_xlfn.IFS(Datasets!Q188=1,"LoW",Table1[[#This Row],[JobSatisfaction]]=2,"Medium",Table1[[#This Row],[JobSatisfaction]]=3,"High",Table1[[#This Row],[JobSatisfaction]]=4,"Very High")</f>
        <v>Very High</v>
      </c>
      <c r="H188" s="5">
        <v>3</v>
      </c>
      <c r="I188" t="str" cm="1">
        <f t="array" ref="I188">_xlfn.IFS(H188=1,"low",H188=2,"medium",H188=3,"balanced",H188=4,"Good")</f>
        <v>balanced</v>
      </c>
    </row>
    <row r="189" spans="1:9" x14ac:dyDescent="0.3">
      <c r="A189" s="13">
        <v>1</v>
      </c>
      <c r="B189" t="str" cm="1">
        <f t="array" ref="B189">_xlfn.IFS(Datasets!Q189=1,"LoW",Table1[[#This Row],[JobSatisfaction]]=2,"Medium",Table1[[#This Row],[JobSatisfaction]]=3,"High",Table1[[#This Row],[JobSatisfaction]]=4,"Very High")</f>
        <v>LoW</v>
      </c>
      <c r="H189" s="5">
        <v>3</v>
      </c>
      <c r="I189" t="str" cm="1">
        <f t="array" ref="I189">_xlfn.IFS(H189=1,"low",H189=2,"medium",H189=3,"balanced",H189=4,"Good")</f>
        <v>balanced</v>
      </c>
    </row>
    <row r="190" spans="1:9" x14ac:dyDescent="0.3">
      <c r="A190" s="14">
        <v>2</v>
      </c>
      <c r="B190" t="str" cm="1">
        <f t="array" ref="B190">_xlfn.IFS(Datasets!Q190=1,"LoW",Table1[[#This Row],[JobSatisfaction]]=2,"Medium",Table1[[#This Row],[JobSatisfaction]]=3,"High",Table1[[#This Row],[JobSatisfaction]]=4,"Very High")</f>
        <v>Medium</v>
      </c>
      <c r="H190" s="5">
        <v>3</v>
      </c>
      <c r="I190" t="str" cm="1">
        <f t="array" ref="I190">_xlfn.IFS(H190=1,"low",H190=2,"medium",H190=3,"balanced",H190=4,"Good")</f>
        <v>balanced</v>
      </c>
    </row>
    <row r="191" spans="1:9" x14ac:dyDescent="0.3">
      <c r="A191" s="13">
        <v>4</v>
      </c>
      <c r="B191" t="str" cm="1">
        <f t="array" ref="B191">_xlfn.IFS(Datasets!Q191=1,"LoW",Table1[[#This Row],[JobSatisfaction]]=2,"Medium",Table1[[#This Row],[JobSatisfaction]]=3,"High",Table1[[#This Row],[JobSatisfaction]]=4,"Very High")</f>
        <v>Very High</v>
      </c>
      <c r="H191" s="5">
        <v>2</v>
      </c>
      <c r="I191" t="str" cm="1">
        <f t="array" ref="I191">_xlfn.IFS(H191=1,"low",H191=2,"medium",H191=3,"balanced",H191=4,"Good")</f>
        <v>medium</v>
      </c>
    </row>
    <row r="192" spans="1:9" x14ac:dyDescent="0.3">
      <c r="A192" s="14">
        <v>3</v>
      </c>
      <c r="B192" t="str" cm="1">
        <f t="array" ref="B192">_xlfn.IFS(Datasets!Q192=1,"LoW",Table1[[#This Row],[JobSatisfaction]]=2,"Medium",Table1[[#This Row],[JobSatisfaction]]=3,"High",Table1[[#This Row],[JobSatisfaction]]=4,"Very High")</f>
        <v>High</v>
      </c>
      <c r="H192" s="5">
        <v>3</v>
      </c>
      <c r="I192" t="str" cm="1">
        <f t="array" ref="I192">_xlfn.IFS(H192=1,"low",H192=2,"medium",H192=3,"balanced",H192=4,"Good")</f>
        <v>balanced</v>
      </c>
    </row>
    <row r="193" spans="1:9" x14ac:dyDescent="0.3">
      <c r="A193" s="13">
        <v>1</v>
      </c>
      <c r="B193" t="str" cm="1">
        <f t="array" ref="B193">_xlfn.IFS(Datasets!Q193=1,"LoW",Table1[[#This Row],[JobSatisfaction]]=2,"Medium",Table1[[#This Row],[JobSatisfaction]]=3,"High",Table1[[#This Row],[JobSatisfaction]]=4,"Very High")</f>
        <v>LoW</v>
      </c>
      <c r="H193" s="5">
        <v>3</v>
      </c>
      <c r="I193" t="str" cm="1">
        <f t="array" ref="I193">_xlfn.IFS(H193=1,"low",H193=2,"medium",H193=3,"balanced",H193=4,"Good")</f>
        <v>balanced</v>
      </c>
    </row>
    <row r="194" spans="1:9" x14ac:dyDescent="0.3">
      <c r="A194" s="14">
        <v>4</v>
      </c>
      <c r="B194" t="str" cm="1">
        <f t="array" ref="B194">_xlfn.IFS(Datasets!Q194=1,"LoW",Table1[[#This Row],[JobSatisfaction]]=2,"Medium",Table1[[#This Row],[JobSatisfaction]]=3,"High",Table1[[#This Row],[JobSatisfaction]]=4,"Very High")</f>
        <v>Very High</v>
      </c>
      <c r="H194" s="5">
        <v>3</v>
      </c>
      <c r="I194" t="str" cm="1">
        <f t="array" ref="I194">_xlfn.IFS(H194=1,"low",H194=2,"medium",H194=3,"balanced",H194=4,"Good")</f>
        <v>balanced</v>
      </c>
    </row>
    <row r="195" spans="1:9" x14ac:dyDescent="0.3">
      <c r="A195" s="13">
        <v>1</v>
      </c>
      <c r="B195" t="str" cm="1">
        <f t="array" ref="B195">_xlfn.IFS(Datasets!Q195=1,"LoW",Table1[[#This Row],[JobSatisfaction]]=2,"Medium",Table1[[#This Row],[JobSatisfaction]]=3,"High",Table1[[#This Row],[JobSatisfaction]]=4,"Very High")</f>
        <v>LoW</v>
      </c>
      <c r="H195" s="5">
        <v>1</v>
      </c>
      <c r="I195" t="str" cm="1">
        <f t="array" ref="I195">_xlfn.IFS(H195=1,"low",H195=2,"medium",H195=3,"balanced",H195=4,"Good")</f>
        <v>low</v>
      </c>
    </row>
    <row r="196" spans="1:9" x14ac:dyDescent="0.3">
      <c r="A196" s="14">
        <v>1</v>
      </c>
      <c r="B196" t="str" cm="1">
        <f t="array" ref="B196">_xlfn.IFS(Datasets!Q196=1,"LoW",Table1[[#This Row],[JobSatisfaction]]=2,"Medium",Table1[[#This Row],[JobSatisfaction]]=3,"High",Table1[[#This Row],[JobSatisfaction]]=4,"Very High")</f>
        <v>LoW</v>
      </c>
      <c r="H196" s="5">
        <v>3</v>
      </c>
      <c r="I196" t="str" cm="1">
        <f t="array" ref="I196">_xlfn.IFS(H196=1,"low",H196=2,"medium",H196=3,"balanced",H196=4,"Good")</f>
        <v>balanced</v>
      </c>
    </row>
    <row r="197" spans="1:9" x14ac:dyDescent="0.3">
      <c r="A197" s="13">
        <v>3</v>
      </c>
      <c r="B197" t="str" cm="1">
        <f t="array" ref="B197">_xlfn.IFS(Datasets!Q197=1,"LoW",Table1[[#This Row],[JobSatisfaction]]=2,"Medium",Table1[[#This Row],[JobSatisfaction]]=3,"High",Table1[[#This Row],[JobSatisfaction]]=4,"Very High")</f>
        <v>High</v>
      </c>
      <c r="H197" s="5">
        <v>3</v>
      </c>
      <c r="I197" t="str" cm="1">
        <f t="array" ref="I197">_xlfn.IFS(H197=1,"low",H197=2,"medium",H197=3,"balanced",H197=4,"Good")</f>
        <v>balanced</v>
      </c>
    </row>
    <row r="198" spans="1:9" x14ac:dyDescent="0.3">
      <c r="A198" s="14">
        <v>4</v>
      </c>
      <c r="B198" t="str" cm="1">
        <f t="array" ref="B198">_xlfn.IFS(Datasets!Q198=1,"LoW",Table1[[#This Row],[JobSatisfaction]]=2,"Medium",Table1[[#This Row],[JobSatisfaction]]=3,"High",Table1[[#This Row],[JobSatisfaction]]=4,"Very High")</f>
        <v>Very High</v>
      </c>
      <c r="H198" s="5">
        <v>3</v>
      </c>
      <c r="I198" t="str" cm="1">
        <f t="array" ref="I198">_xlfn.IFS(H198=1,"low",H198=2,"medium",H198=3,"balanced",H198=4,"Good")</f>
        <v>balanced</v>
      </c>
    </row>
    <row r="199" spans="1:9" x14ac:dyDescent="0.3">
      <c r="A199" s="13">
        <v>4</v>
      </c>
      <c r="B199" t="str" cm="1">
        <f t="array" ref="B199">_xlfn.IFS(Datasets!Q199=1,"LoW",Table1[[#This Row],[JobSatisfaction]]=2,"Medium",Table1[[#This Row],[JobSatisfaction]]=3,"High",Table1[[#This Row],[JobSatisfaction]]=4,"Very High")</f>
        <v>Very High</v>
      </c>
      <c r="H199" s="5">
        <v>2</v>
      </c>
      <c r="I199" t="str" cm="1">
        <f t="array" ref="I199">_xlfn.IFS(H199=1,"low",H199=2,"medium",H199=3,"balanced",H199=4,"Good")</f>
        <v>medium</v>
      </c>
    </row>
    <row r="200" spans="1:9" x14ac:dyDescent="0.3">
      <c r="A200" s="14">
        <v>2</v>
      </c>
      <c r="B200" t="str" cm="1">
        <f t="array" ref="B200">_xlfn.IFS(Datasets!Q200=1,"LoW",Table1[[#This Row],[JobSatisfaction]]=2,"Medium",Table1[[#This Row],[JobSatisfaction]]=3,"High",Table1[[#This Row],[JobSatisfaction]]=4,"Very High")</f>
        <v>Medium</v>
      </c>
      <c r="H200" s="5">
        <v>3</v>
      </c>
      <c r="I200" t="str" cm="1">
        <f t="array" ref="I200">_xlfn.IFS(H200=1,"low",H200=2,"medium",H200=3,"balanced",H200=4,"Good")</f>
        <v>balanced</v>
      </c>
    </row>
    <row r="201" spans="1:9" x14ac:dyDescent="0.3">
      <c r="A201" s="13">
        <v>2</v>
      </c>
      <c r="B201" t="str" cm="1">
        <f t="array" ref="B201">_xlfn.IFS(Datasets!Q201=1,"LoW",Table1[[#This Row],[JobSatisfaction]]=2,"Medium",Table1[[#This Row],[JobSatisfaction]]=3,"High",Table1[[#This Row],[JobSatisfaction]]=4,"Very High")</f>
        <v>Medium</v>
      </c>
      <c r="H201" s="5">
        <v>3</v>
      </c>
      <c r="I201" t="str" cm="1">
        <f t="array" ref="I201">_xlfn.IFS(H201=1,"low",H201=2,"medium",H201=3,"balanced",H201=4,"Good")</f>
        <v>balanced</v>
      </c>
    </row>
    <row r="202" spans="1:9" x14ac:dyDescent="0.3">
      <c r="A202" s="14">
        <v>2</v>
      </c>
      <c r="B202" t="str" cm="1">
        <f t="array" ref="B202">_xlfn.IFS(Datasets!Q202=1,"LoW",Table1[[#This Row],[JobSatisfaction]]=2,"Medium",Table1[[#This Row],[JobSatisfaction]]=3,"High",Table1[[#This Row],[JobSatisfaction]]=4,"Very High")</f>
        <v>Medium</v>
      </c>
      <c r="H202" s="5">
        <v>3</v>
      </c>
      <c r="I202" t="str" cm="1">
        <f t="array" ref="I202">_xlfn.IFS(H202=1,"low",H202=2,"medium",H202=3,"balanced",H202=4,"Good")</f>
        <v>balanced</v>
      </c>
    </row>
    <row r="203" spans="1:9" x14ac:dyDescent="0.3">
      <c r="A203" s="13">
        <v>2</v>
      </c>
      <c r="B203" t="str" cm="1">
        <f t="array" ref="B203">_xlfn.IFS(Datasets!Q203=1,"LoW",Table1[[#This Row],[JobSatisfaction]]=2,"Medium",Table1[[#This Row],[JobSatisfaction]]=3,"High",Table1[[#This Row],[JobSatisfaction]]=4,"Very High")</f>
        <v>Medium</v>
      </c>
      <c r="H203" s="5">
        <v>3</v>
      </c>
      <c r="I203" t="str" cm="1">
        <f t="array" ref="I203">_xlfn.IFS(H203=1,"low",H203=2,"medium",H203=3,"balanced",H203=4,"Good")</f>
        <v>balanced</v>
      </c>
    </row>
    <row r="204" spans="1:9" x14ac:dyDescent="0.3">
      <c r="A204" s="14">
        <v>3</v>
      </c>
      <c r="B204" t="str" cm="1">
        <f t="array" ref="B204">_xlfn.IFS(Datasets!Q204=1,"LoW",Table1[[#This Row],[JobSatisfaction]]=2,"Medium",Table1[[#This Row],[JobSatisfaction]]=3,"High",Table1[[#This Row],[JobSatisfaction]]=4,"Very High")</f>
        <v>High</v>
      </c>
      <c r="H204" s="5">
        <v>3</v>
      </c>
      <c r="I204" t="str" cm="1">
        <f t="array" ref="I204">_xlfn.IFS(H204=1,"low",H204=2,"medium",H204=3,"balanced",H204=4,"Good")</f>
        <v>balanced</v>
      </c>
    </row>
    <row r="205" spans="1:9" x14ac:dyDescent="0.3">
      <c r="A205" s="13">
        <v>3</v>
      </c>
      <c r="B205" t="str" cm="1">
        <f t="array" ref="B205">_xlfn.IFS(Datasets!Q205=1,"LoW",Table1[[#This Row],[JobSatisfaction]]=2,"Medium",Table1[[#This Row],[JobSatisfaction]]=3,"High",Table1[[#This Row],[JobSatisfaction]]=4,"Very High")</f>
        <v>High</v>
      </c>
      <c r="H205" s="5">
        <v>3</v>
      </c>
      <c r="I205" t="str" cm="1">
        <f t="array" ref="I205">_xlfn.IFS(H205=1,"low",H205=2,"medium",H205=3,"balanced",H205=4,"Good")</f>
        <v>balanced</v>
      </c>
    </row>
    <row r="206" spans="1:9" x14ac:dyDescent="0.3">
      <c r="A206" s="14">
        <v>4</v>
      </c>
      <c r="B206" t="str" cm="1">
        <f t="array" ref="B206">_xlfn.IFS(Datasets!Q206=1,"LoW",Table1[[#This Row],[JobSatisfaction]]=2,"Medium",Table1[[#This Row],[JobSatisfaction]]=3,"High",Table1[[#This Row],[JobSatisfaction]]=4,"Very High")</f>
        <v>Very High</v>
      </c>
      <c r="H206" s="5">
        <v>1</v>
      </c>
      <c r="I206" t="str" cm="1">
        <f t="array" ref="I206">_xlfn.IFS(H206=1,"low",H206=2,"medium",H206=3,"balanced",H206=4,"Good")</f>
        <v>low</v>
      </c>
    </row>
    <row r="207" spans="1:9" x14ac:dyDescent="0.3">
      <c r="A207" s="13">
        <v>4</v>
      </c>
      <c r="B207" t="str" cm="1">
        <f t="array" ref="B207">_xlfn.IFS(Datasets!Q207=1,"LoW",Table1[[#This Row],[JobSatisfaction]]=2,"Medium",Table1[[#This Row],[JobSatisfaction]]=3,"High",Table1[[#This Row],[JobSatisfaction]]=4,"Very High")</f>
        <v>Very High</v>
      </c>
      <c r="H207" s="5">
        <v>3</v>
      </c>
      <c r="I207" t="str" cm="1">
        <f t="array" ref="I207">_xlfn.IFS(H207=1,"low",H207=2,"medium",H207=3,"balanced",H207=4,"Good")</f>
        <v>balanced</v>
      </c>
    </row>
    <row r="208" spans="1:9" x14ac:dyDescent="0.3">
      <c r="A208" s="14">
        <v>3</v>
      </c>
      <c r="B208" t="str" cm="1">
        <f t="array" ref="B208">_xlfn.IFS(Datasets!Q208=1,"LoW",Table1[[#This Row],[JobSatisfaction]]=2,"Medium",Table1[[#This Row],[JobSatisfaction]]=3,"High",Table1[[#This Row],[JobSatisfaction]]=4,"Very High")</f>
        <v>High</v>
      </c>
      <c r="H208" s="5">
        <v>3</v>
      </c>
      <c r="I208" t="str" cm="1">
        <f t="array" ref="I208">_xlfn.IFS(H208=1,"low",H208=2,"medium",H208=3,"balanced",H208=4,"Good")</f>
        <v>balanced</v>
      </c>
    </row>
    <row r="209" spans="1:9" x14ac:dyDescent="0.3">
      <c r="A209" s="13">
        <v>3</v>
      </c>
      <c r="B209" t="str" cm="1">
        <f t="array" ref="B209">_xlfn.IFS(Datasets!Q209=1,"LoW",Table1[[#This Row],[JobSatisfaction]]=2,"Medium",Table1[[#This Row],[JobSatisfaction]]=3,"High",Table1[[#This Row],[JobSatisfaction]]=4,"Very High")</f>
        <v>High</v>
      </c>
      <c r="H209" s="5">
        <v>2</v>
      </c>
      <c r="I209" t="str" cm="1">
        <f t="array" ref="I209">_xlfn.IFS(H209=1,"low",H209=2,"medium",H209=3,"balanced",H209=4,"Good")</f>
        <v>medium</v>
      </c>
    </row>
    <row r="210" spans="1:9" x14ac:dyDescent="0.3">
      <c r="A210" s="14">
        <v>4</v>
      </c>
      <c r="B210" t="str" cm="1">
        <f t="array" ref="B210">_xlfn.IFS(Datasets!Q210=1,"LoW",Table1[[#This Row],[JobSatisfaction]]=2,"Medium",Table1[[#This Row],[JobSatisfaction]]=3,"High",Table1[[#This Row],[JobSatisfaction]]=4,"Very High")</f>
        <v>Very High</v>
      </c>
      <c r="H210" s="5">
        <v>2</v>
      </c>
      <c r="I210" t="str" cm="1">
        <f t="array" ref="I210">_xlfn.IFS(H210=1,"low",H210=2,"medium",H210=3,"balanced",H210=4,"Good")</f>
        <v>medium</v>
      </c>
    </row>
    <row r="211" spans="1:9" x14ac:dyDescent="0.3">
      <c r="A211" s="13">
        <v>1</v>
      </c>
      <c r="B211" t="str" cm="1">
        <f t="array" ref="B211">_xlfn.IFS(Datasets!Q211=1,"LoW",Table1[[#This Row],[JobSatisfaction]]=2,"Medium",Table1[[#This Row],[JobSatisfaction]]=3,"High",Table1[[#This Row],[JobSatisfaction]]=4,"Very High")</f>
        <v>LoW</v>
      </c>
      <c r="H211" s="5">
        <v>3</v>
      </c>
      <c r="I211" t="str" cm="1">
        <f t="array" ref="I211">_xlfn.IFS(H211=1,"low",H211=2,"medium",H211=3,"balanced",H211=4,"Good")</f>
        <v>balanced</v>
      </c>
    </row>
    <row r="212" spans="1:9" x14ac:dyDescent="0.3">
      <c r="A212" s="14">
        <v>2</v>
      </c>
      <c r="B212" t="str" cm="1">
        <f t="array" ref="B212">_xlfn.IFS(Datasets!Q212=1,"LoW",Table1[[#This Row],[JobSatisfaction]]=2,"Medium",Table1[[#This Row],[JobSatisfaction]]=3,"High",Table1[[#This Row],[JobSatisfaction]]=4,"Very High")</f>
        <v>Medium</v>
      </c>
      <c r="H212" s="5">
        <v>3</v>
      </c>
      <c r="I212" t="str" cm="1">
        <f t="array" ref="I212">_xlfn.IFS(H212=1,"low",H212=2,"medium",H212=3,"balanced",H212=4,"Good")</f>
        <v>balanced</v>
      </c>
    </row>
    <row r="213" spans="1:9" x14ac:dyDescent="0.3">
      <c r="A213" s="13">
        <v>4</v>
      </c>
      <c r="B213" t="str" cm="1">
        <f t="array" ref="B213">_xlfn.IFS(Datasets!Q213=1,"LoW",Table1[[#This Row],[JobSatisfaction]]=2,"Medium",Table1[[#This Row],[JobSatisfaction]]=3,"High",Table1[[#This Row],[JobSatisfaction]]=4,"Very High")</f>
        <v>Very High</v>
      </c>
      <c r="H213" s="5">
        <v>3</v>
      </c>
      <c r="I213" t="str" cm="1">
        <f t="array" ref="I213">_xlfn.IFS(H213=1,"low",H213=2,"medium",H213=3,"balanced",H213=4,"Good")</f>
        <v>balanced</v>
      </c>
    </row>
    <row r="214" spans="1:9" x14ac:dyDescent="0.3">
      <c r="A214" s="14">
        <v>1</v>
      </c>
      <c r="B214" t="str" cm="1">
        <f t="array" ref="B214">_xlfn.IFS(Datasets!Q214=1,"LoW",Table1[[#This Row],[JobSatisfaction]]=2,"Medium",Table1[[#This Row],[JobSatisfaction]]=3,"High",Table1[[#This Row],[JobSatisfaction]]=4,"Very High")</f>
        <v>LoW</v>
      </c>
      <c r="H214" s="5">
        <v>3</v>
      </c>
      <c r="I214" t="str" cm="1">
        <f t="array" ref="I214">_xlfn.IFS(H214=1,"low",H214=2,"medium",H214=3,"balanced",H214=4,"Good")</f>
        <v>balanced</v>
      </c>
    </row>
    <row r="215" spans="1:9" x14ac:dyDescent="0.3">
      <c r="A215" s="13">
        <v>3</v>
      </c>
      <c r="B215" t="str" cm="1">
        <f t="array" ref="B215">_xlfn.IFS(Datasets!Q215=1,"LoW",Table1[[#This Row],[JobSatisfaction]]=2,"Medium",Table1[[#This Row],[JobSatisfaction]]=3,"High",Table1[[#This Row],[JobSatisfaction]]=4,"Very High")</f>
        <v>High</v>
      </c>
      <c r="H215" s="5">
        <v>3</v>
      </c>
      <c r="I215" t="str" cm="1">
        <f t="array" ref="I215">_xlfn.IFS(H215=1,"low",H215=2,"medium",H215=3,"balanced",H215=4,"Good")</f>
        <v>balanced</v>
      </c>
    </row>
    <row r="216" spans="1:9" x14ac:dyDescent="0.3">
      <c r="A216" s="14">
        <v>1</v>
      </c>
      <c r="B216" t="str" cm="1">
        <f t="array" ref="B216">_xlfn.IFS(Datasets!Q216=1,"LoW",Table1[[#This Row],[JobSatisfaction]]=2,"Medium",Table1[[#This Row],[JobSatisfaction]]=3,"High",Table1[[#This Row],[JobSatisfaction]]=4,"Very High")</f>
        <v>LoW</v>
      </c>
      <c r="H216" s="5">
        <v>2</v>
      </c>
      <c r="I216" t="str" cm="1">
        <f t="array" ref="I216">_xlfn.IFS(H216=1,"low",H216=2,"medium",H216=3,"balanced",H216=4,"Good")</f>
        <v>medium</v>
      </c>
    </row>
    <row r="217" spans="1:9" x14ac:dyDescent="0.3">
      <c r="A217" s="13">
        <v>3</v>
      </c>
      <c r="B217" t="str" cm="1">
        <f t="array" ref="B217">_xlfn.IFS(Datasets!Q217=1,"LoW",Table1[[#This Row],[JobSatisfaction]]=2,"Medium",Table1[[#This Row],[JobSatisfaction]]=3,"High",Table1[[#This Row],[JobSatisfaction]]=4,"Very High")</f>
        <v>High</v>
      </c>
      <c r="H217" s="5">
        <v>2</v>
      </c>
      <c r="I217" t="str" cm="1">
        <f t="array" ref="I217">_xlfn.IFS(H217=1,"low",H217=2,"medium",H217=3,"balanced",H217=4,"Good")</f>
        <v>medium</v>
      </c>
    </row>
    <row r="218" spans="1:9" x14ac:dyDescent="0.3">
      <c r="A218" s="14">
        <v>4</v>
      </c>
      <c r="B218" t="str" cm="1">
        <f t="array" ref="B218">_xlfn.IFS(Datasets!Q218=1,"LoW",Table1[[#This Row],[JobSatisfaction]]=2,"Medium",Table1[[#This Row],[JobSatisfaction]]=3,"High",Table1[[#This Row],[JobSatisfaction]]=4,"Very High")</f>
        <v>Very High</v>
      </c>
      <c r="H218" s="5">
        <v>3</v>
      </c>
      <c r="I218" t="str" cm="1">
        <f t="array" ref="I218">_xlfn.IFS(H218=1,"low",H218=2,"medium",H218=3,"balanced",H218=4,"Good")</f>
        <v>balanced</v>
      </c>
    </row>
    <row r="219" spans="1:9" x14ac:dyDescent="0.3">
      <c r="A219" s="13">
        <v>3</v>
      </c>
      <c r="B219" t="str" cm="1">
        <f t="array" ref="B219">_xlfn.IFS(Datasets!Q219=1,"LoW",Table1[[#This Row],[JobSatisfaction]]=2,"Medium",Table1[[#This Row],[JobSatisfaction]]=3,"High",Table1[[#This Row],[JobSatisfaction]]=4,"Very High")</f>
        <v>High</v>
      </c>
      <c r="H219" s="5">
        <v>4</v>
      </c>
      <c r="I219" t="str" cm="1">
        <f t="array" ref="I219">_xlfn.IFS(H219=1,"low",H219=2,"medium",H219=3,"balanced",H219=4,"Good")</f>
        <v>Good</v>
      </c>
    </row>
    <row r="220" spans="1:9" x14ac:dyDescent="0.3">
      <c r="A220" s="14">
        <v>2</v>
      </c>
      <c r="B220" t="str" cm="1">
        <f t="array" ref="B220">_xlfn.IFS(Datasets!Q220=1,"LoW",Table1[[#This Row],[JobSatisfaction]]=2,"Medium",Table1[[#This Row],[JobSatisfaction]]=3,"High",Table1[[#This Row],[JobSatisfaction]]=4,"Very High")</f>
        <v>Medium</v>
      </c>
      <c r="H220" s="5">
        <v>2</v>
      </c>
      <c r="I220" t="str" cm="1">
        <f t="array" ref="I220">_xlfn.IFS(H220=1,"low",H220=2,"medium",H220=3,"balanced",H220=4,"Good")</f>
        <v>medium</v>
      </c>
    </row>
    <row r="221" spans="1:9" x14ac:dyDescent="0.3">
      <c r="A221" s="13">
        <v>2</v>
      </c>
      <c r="B221" t="str" cm="1">
        <f t="array" ref="B221">_xlfn.IFS(Datasets!Q221=1,"LoW",Table1[[#This Row],[JobSatisfaction]]=2,"Medium",Table1[[#This Row],[JobSatisfaction]]=3,"High",Table1[[#This Row],[JobSatisfaction]]=4,"Very High")</f>
        <v>Medium</v>
      </c>
      <c r="H221" s="5">
        <v>3</v>
      </c>
      <c r="I221" t="str" cm="1">
        <f t="array" ref="I221">_xlfn.IFS(H221=1,"low",H221=2,"medium",H221=3,"balanced",H221=4,"Good")</f>
        <v>balanced</v>
      </c>
    </row>
    <row r="222" spans="1:9" x14ac:dyDescent="0.3">
      <c r="A222" s="14">
        <v>2</v>
      </c>
      <c r="B222" t="str" cm="1">
        <f t="array" ref="B222">_xlfn.IFS(Datasets!Q222=1,"LoW",Table1[[#This Row],[JobSatisfaction]]=2,"Medium",Table1[[#This Row],[JobSatisfaction]]=3,"High",Table1[[#This Row],[JobSatisfaction]]=4,"Very High")</f>
        <v>Medium</v>
      </c>
      <c r="H222" s="5">
        <v>3</v>
      </c>
      <c r="I222" t="str" cm="1">
        <f t="array" ref="I222">_xlfn.IFS(H222=1,"low",H222=2,"medium",H222=3,"balanced",H222=4,"Good")</f>
        <v>balanced</v>
      </c>
    </row>
    <row r="223" spans="1:9" x14ac:dyDescent="0.3">
      <c r="A223" s="13">
        <v>2</v>
      </c>
      <c r="B223" t="str" cm="1">
        <f t="array" ref="B223">_xlfn.IFS(Datasets!Q223=1,"LoW",Table1[[#This Row],[JobSatisfaction]]=2,"Medium",Table1[[#This Row],[JobSatisfaction]]=3,"High",Table1[[#This Row],[JobSatisfaction]]=4,"Very High")</f>
        <v>Medium</v>
      </c>
      <c r="H223" s="5">
        <v>2</v>
      </c>
      <c r="I223" t="str" cm="1">
        <f t="array" ref="I223">_xlfn.IFS(H223=1,"low",H223=2,"medium",H223=3,"balanced",H223=4,"Good")</f>
        <v>medium</v>
      </c>
    </row>
    <row r="224" spans="1:9" x14ac:dyDescent="0.3">
      <c r="A224" s="14">
        <v>3</v>
      </c>
      <c r="B224" t="str" cm="1">
        <f t="array" ref="B224">_xlfn.IFS(Datasets!Q224=1,"LoW",Table1[[#This Row],[JobSatisfaction]]=2,"Medium",Table1[[#This Row],[JobSatisfaction]]=3,"High",Table1[[#This Row],[JobSatisfaction]]=4,"Very High")</f>
        <v>High</v>
      </c>
      <c r="H224" s="5">
        <v>3</v>
      </c>
      <c r="I224" t="str" cm="1">
        <f t="array" ref="I224">_xlfn.IFS(H224=1,"low",H224=2,"medium",H224=3,"balanced",H224=4,"Good")</f>
        <v>balanced</v>
      </c>
    </row>
    <row r="225" spans="1:9" x14ac:dyDescent="0.3">
      <c r="A225" s="13">
        <v>4</v>
      </c>
      <c r="B225" t="str" cm="1">
        <f t="array" ref="B225">_xlfn.IFS(Datasets!Q225=1,"LoW",Table1[[#This Row],[JobSatisfaction]]=2,"Medium",Table1[[#This Row],[JobSatisfaction]]=3,"High",Table1[[#This Row],[JobSatisfaction]]=4,"Very High")</f>
        <v>Very High</v>
      </c>
      <c r="H225" s="5">
        <v>3</v>
      </c>
      <c r="I225" t="str" cm="1">
        <f t="array" ref="I225">_xlfn.IFS(H225=1,"low",H225=2,"medium",H225=3,"balanced",H225=4,"Good")</f>
        <v>balanced</v>
      </c>
    </row>
    <row r="226" spans="1:9" x14ac:dyDescent="0.3">
      <c r="A226" s="14">
        <v>4</v>
      </c>
      <c r="B226" t="str" cm="1">
        <f t="array" ref="B226">_xlfn.IFS(Datasets!Q226=1,"LoW",Table1[[#This Row],[JobSatisfaction]]=2,"Medium",Table1[[#This Row],[JobSatisfaction]]=3,"High",Table1[[#This Row],[JobSatisfaction]]=4,"Very High")</f>
        <v>Very High</v>
      </c>
      <c r="H226" s="5">
        <v>4</v>
      </c>
      <c r="I226" t="str" cm="1">
        <f t="array" ref="I226">_xlfn.IFS(H226=1,"low",H226=2,"medium",H226=3,"balanced",H226=4,"Good")</f>
        <v>Good</v>
      </c>
    </row>
    <row r="227" spans="1:9" x14ac:dyDescent="0.3">
      <c r="A227" s="13">
        <v>1</v>
      </c>
      <c r="B227" t="str" cm="1">
        <f t="array" ref="B227">_xlfn.IFS(Datasets!Q227=1,"LoW",Table1[[#This Row],[JobSatisfaction]]=2,"Medium",Table1[[#This Row],[JobSatisfaction]]=3,"High",Table1[[#This Row],[JobSatisfaction]]=4,"Very High")</f>
        <v>LoW</v>
      </c>
      <c r="H227" s="5">
        <v>4</v>
      </c>
      <c r="I227" t="str" cm="1">
        <f t="array" ref="I227">_xlfn.IFS(H227=1,"low",H227=2,"medium",H227=3,"balanced",H227=4,"Good")</f>
        <v>Good</v>
      </c>
    </row>
    <row r="228" spans="1:9" x14ac:dyDescent="0.3">
      <c r="A228" s="14">
        <v>2</v>
      </c>
      <c r="B228" t="str" cm="1">
        <f t="array" ref="B228">_xlfn.IFS(Datasets!Q228=1,"LoW",Table1[[#This Row],[JobSatisfaction]]=2,"Medium",Table1[[#This Row],[JobSatisfaction]]=3,"High",Table1[[#This Row],[JobSatisfaction]]=4,"Very High")</f>
        <v>Medium</v>
      </c>
      <c r="H228" s="5">
        <v>3</v>
      </c>
      <c r="I228" t="str" cm="1">
        <f t="array" ref="I228">_xlfn.IFS(H228=1,"low",H228=2,"medium",H228=3,"balanced",H228=4,"Good")</f>
        <v>balanced</v>
      </c>
    </row>
    <row r="229" spans="1:9" x14ac:dyDescent="0.3">
      <c r="A229" s="13">
        <v>3</v>
      </c>
      <c r="B229" t="str" cm="1">
        <f t="array" ref="B229">_xlfn.IFS(Datasets!Q229=1,"LoW",Table1[[#This Row],[JobSatisfaction]]=2,"Medium",Table1[[#This Row],[JobSatisfaction]]=3,"High",Table1[[#This Row],[JobSatisfaction]]=4,"Very High")</f>
        <v>High</v>
      </c>
      <c r="H229" s="5">
        <v>3</v>
      </c>
      <c r="I229" t="str" cm="1">
        <f t="array" ref="I229">_xlfn.IFS(H229=1,"low",H229=2,"medium",H229=3,"balanced",H229=4,"Good")</f>
        <v>balanced</v>
      </c>
    </row>
    <row r="230" spans="1:9" x14ac:dyDescent="0.3">
      <c r="A230" s="14">
        <v>4</v>
      </c>
      <c r="B230" t="str" cm="1">
        <f t="array" ref="B230">_xlfn.IFS(Datasets!Q230=1,"LoW",Table1[[#This Row],[JobSatisfaction]]=2,"Medium",Table1[[#This Row],[JobSatisfaction]]=3,"High",Table1[[#This Row],[JobSatisfaction]]=4,"Very High")</f>
        <v>Very High</v>
      </c>
      <c r="H230" s="5">
        <v>3</v>
      </c>
      <c r="I230" t="str" cm="1">
        <f t="array" ref="I230">_xlfn.IFS(H230=1,"low",H230=2,"medium",H230=3,"balanced",H230=4,"Good")</f>
        <v>balanced</v>
      </c>
    </row>
    <row r="231" spans="1:9" x14ac:dyDescent="0.3">
      <c r="A231" s="13">
        <v>4</v>
      </c>
      <c r="B231" t="str" cm="1">
        <f t="array" ref="B231">_xlfn.IFS(Datasets!Q231=1,"LoW",Table1[[#This Row],[JobSatisfaction]]=2,"Medium",Table1[[#This Row],[JobSatisfaction]]=3,"High",Table1[[#This Row],[JobSatisfaction]]=4,"Very High")</f>
        <v>Very High</v>
      </c>
      <c r="H231" s="5">
        <v>3</v>
      </c>
      <c r="I231" t="str" cm="1">
        <f t="array" ref="I231">_xlfn.IFS(H231=1,"low",H231=2,"medium",H231=3,"balanced",H231=4,"Good")</f>
        <v>balanced</v>
      </c>
    </row>
    <row r="232" spans="1:9" x14ac:dyDescent="0.3">
      <c r="A232" s="14">
        <v>4</v>
      </c>
      <c r="B232" t="str" cm="1">
        <f t="array" ref="B232">_xlfn.IFS(Datasets!Q232=1,"LoW",Table1[[#This Row],[JobSatisfaction]]=2,"Medium",Table1[[#This Row],[JobSatisfaction]]=3,"High",Table1[[#This Row],[JobSatisfaction]]=4,"Very High")</f>
        <v>Very High</v>
      </c>
      <c r="H232" s="5">
        <v>2</v>
      </c>
      <c r="I232" t="str" cm="1">
        <f t="array" ref="I232">_xlfn.IFS(H232=1,"low",H232=2,"medium",H232=3,"balanced",H232=4,"Good")</f>
        <v>medium</v>
      </c>
    </row>
    <row r="233" spans="1:9" x14ac:dyDescent="0.3">
      <c r="A233" s="13">
        <v>3</v>
      </c>
      <c r="B233" t="str" cm="1">
        <f t="array" ref="B233">_xlfn.IFS(Datasets!Q233=1,"LoW",Table1[[#This Row],[JobSatisfaction]]=2,"Medium",Table1[[#This Row],[JobSatisfaction]]=3,"High",Table1[[#This Row],[JobSatisfaction]]=4,"Very High")</f>
        <v>High</v>
      </c>
      <c r="H233" s="5">
        <v>3</v>
      </c>
      <c r="I233" t="str" cm="1">
        <f t="array" ref="I233">_xlfn.IFS(H233=1,"low",H233=2,"medium",H233=3,"balanced",H233=4,"Good")</f>
        <v>balanced</v>
      </c>
    </row>
    <row r="234" spans="1:9" x14ac:dyDescent="0.3">
      <c r="A234" s="14">
        <v>3</v>
      </c>
      <c r="B234" t="str" cm="1">
        <f t="array" ref="B234">_xlfn.IFS(Datasets!Q234=1,"LoW",Table1[[#This Row],[JobSatisfaction]]=2,"Medium",Table1[[#This Row],[JobSatisfaction]]=3,"High",Table1[[#This Row],[JobSatisfaction]]=4,"Very High")</f>
        <v>High</v>
      </c>
      <c r="H234" s="5">
        <v>3</v>
      </c>
      <c r="I234" t="str" cm="1">
        <f t="array" ref="I234">_xlfn.IFS(H234=1,"low",H234=2,"medium",H234=3,"balanced",H234=4,"Good")</f>
        <v>balanced</v>
      </c>
    </row>
    <row r="235" spans="1:9" x14ac:dyDescent="0.3">
      <c r="A235" s="13">
        <v>4</v>
      </c>
      <c r="B235" t="str" cm="1">
        <f t="array" ref="B235">_xlfn.IFS(Datasets!Q235=1,"LoW",Table1[[#This Row],[JobSatisfaction]]=2,"Medium",Table1[[#This Row],[JobSatisfaction]]=3,"High",Table1[[#This Row],[JobSatisfaction]]=4,"Very High")</f>
        <v>Very High</v>
      </c>
      <c r="H235" s="5">
        <v>3</v>
      </c>
      <c r="I235" t="str" cm="1">
        <f t="array" ref="I235">_xlfn.IFS(H235=1,"low",H235=2,"medium",H235=3,"balanced",H235=4,"Good")</f>
        <v>balanced</v>
      </c>
    </row>
    <row r="236" spans="1:9" x14ac:dyDescent="0.3">
      <c r="A236" s="14">
        <v>4</v>
      </c>
      <c r="B236" t="str" cm="1">
        <f t="array" ref="B236">_xlfn.IFS(Datasets!Q236=1,"LoW",Table1[[#This Row],[JobSatisfaction]]=2,"Medium",Table1[[#This Row],[JobSatisfaction]]=3,"High",Table1[[#This Row],[JobSatisfaction]]=4,"Very High")</f>
        <v>Very High</v>
      </c>
      <c r="H236" s="5">
        <v>3</v>
      </c>
      <c r="I236" t="str" cm="1">
        <f t="array" ref="I236">_xlfn.IFS(H236=1,"low",H236=2,"medium",H236=3,"balanced",H236=4,"Good")</f>
        <v>balanced</v>
      </c>
    </row>
    <row r="237" spans="1:9" x14ac:dyDescent="0.3">
      <c r="A237" s="13">
        <v>4</v>
      </c>
      <c r="B237" t="str" cm="1">
        <f t="array" ref="B237">_xlfn.IFS(Datasets!Q237=1,"LoW",Table1[[#This Row],[JobSatisfaction]]=2,"Medium",Table1[[#This Row],[JobSatisfaction]]=3,"High",Table1[[#This Row],[JobSatisfaction]]=4,"Very High")</f>
        <v>Very High</v>
      </c>
      <c r="H237" s="5">
        <v>3</v>
      </c>
      <c r="I237" t="str" cm="1">
        <f t="array" ref="I237">_xlfn.IFS(H237=1,"low",H237=2,"medium",H237=3,"balanced",H237=4,"Good")</f>
        <v>balanced</v>
      </c>
    </row>
    <row r="238" spans="1:9" x14ac:dyDescent="0.3">
      <c r="A238" s="14">
        <v>3</v>
      </c>
      <c r="B238" t="str" cm="1">
        <f t="array" ref="B238">_xlfn.IFS(Datasets!Q238=1,"LoW",Table1[[#This Row],[JobSatisfaction]]=2,"Medium",Table1[[#This Row],[JobSatisfaction]]=3,"High",Table1[[#This Row],[JobSatisfaction]]=4,"Very High")</f>
        <v>High</v>
      </c>
      <c r="H238" s="5">
        <v>3</v>
      </c>
      <c r="I238" t="str" cm="1">
        <f t="array" ref="I238">_xlfn.IFS(H238=1,"low",H238=2,"medium",H238=3,"balanced",H238=4,"Good")</f>
        <v>balanced</v>
      </c>
    </row>
    <row r="239" spans="1:9" x14ac:dyDescent="0.3">
      <c r="A239" s="13">
        <v>3</v>
      </c>
      <c r="B239" t="str" cm="1">
        <f t="array" ref="B239">_xlfn.IFS(Datasets!Q239=1,"LoW",Table1[[#This Row],[JobSatisfaction]]=2,"Medium",Table1[[#This Row],[JobSatisfaction]]=3,"High",Table1[[#This Row],[JobSatisfaction]]=4,"Very High")</f>
        <v>High</v>
      </c>
      <c r="H239" s="5">
        <v>3</v>
      </c>
      <c r="I239" t="str" cm="1">
        <f t="array" ref="I239">_xlfn.IFS(H239=1,"low",H239=2,"medium",H239=3,"balanced",H239=4,"Good")</f>
        <v>balanced</v>
      </c>
    </row>
    <row r="240" spans="1:9" x14ac:dyDescent="0.3">
      <c r="A240" s="14">
        <v>4</v>
      </c>
      <c r="B240" t="str" cm="1">
        <f t="array" ref="B240">_xlfn.IFS(Datasets!Q240=1,"LoW",Table1[[#This Row],[JobSatisfaction]]=2,"Medium",Table1[[#This Row],[JobSatisfaction]]=3,"High",Table1[[#This Row],[JobSatisfaction]]=4,"Very High")</f>
        <v>Very High</v>
      </c>
      <c r="H240" s="5">
        <v>3</v>
      </c>
      <c r="I240" t="str" cm="1">
        <f t="array" ref="I240">_xlfn.IFS(H240=1,"low",H240=2,"medium",H240=3,"balanced",H240=4,"Good")</f>
        <v>balanced</v>
      </c>
    </row>
    <row r="241" spans="1:9" x14ac:dyDescent="0.3">
      <c r="A241" s="13">
        <v>2</v>
      </c>
      <c r="B241" t="str" cm="1">
        <f t="array" ref="B241">_xlfn.IFS(Datasets!Q241=1,"LoW",Table1[[#This Row],[JobSatisfaction]]=2,"Medium",Table1[[#This Row],[JobSatisfaction]]=3,"High",Table1[[#This Row],[JobSatisfaction]]=4,"Very High")</f>
        <v>Medium</v>
      </c>
      <c r="H241" s="5">
        <v>4</v>
      </c>
      <c r="I241" t="str" cm="1">
        <f t="array" ref="I241">_xlfn.IFS(H241=1,"low",H241=2,"medium",H241=3,"balanced",H241=4,"Good")</f>
        <v>Good</v>
      </c>
    </row>
    <row r="242" spans="1:9" x14ac:dyDescent="0.3">
      <c r="A242" s="14">
        <v>1</v>
      </c>
      <c r="B242" t="str" cm="1">
        <f t="array" ref="B242">_xlfn.IFS(Datasets!Q242=1,"LoW",Table1[[#This Row],[JobSatisfaction]]=2,"Medium",Table1[[#This Row],[JobSatisfaction]]=3,"High",Table1[[#This Row],[JobSatisfaction]]=4,"Very High")</f>
        <v>LoW</v>
      </c>
      <c r="H242" s="5">
        <v>3</v>
      </c>
      <c r="I242" t="str" cm="1">
        <f t="array" ref="I242">_xlfn.IFS(H242=1,"low",H242=2,"medium",H242=3,"balanced",H242=4,"Good")</f>
        <v>balanced</v>
      </c>
    </row>
    <row r="243" spans="1:9" x14ac:dyDescent="0.3">
      <c r="A243" s="13">
        <v>4</v>
      </c>
      <c r="B243" t="str" cm="1">
        <f t="array" ref="B243">_xlfn.IFS(Datasets!Q243=1,"LoW",Table1[[#This Row],[JobSatisfaction]]=2,"Medium",Table1[[#This Row],[JobSatisfaction]]=3,"High",Table1[[#This Row],[JobSatisfaction]]=4,"Very High")</f>
        <v>Very High</v>
      </c>
      <c r="H243" s="5">
        <v>3</v>
      </c>
      <c r="I243" t="str" cm="1">
        <f t="array" ref="I243">_xlfn.IFS(H243=1,"low",H243=2,"medium",H243=3,"balanced",H243=4,"Good")</f>
        <v>balanced</v>
      </c>
    </row>
    <row r="244" spans="1:9" x14ac:dyDescent="0.3">
      <c r="A244" s="14">
        <v>1</v>
      </c>
      <c r="B244" t="str" cm="1">
        <f t="array" ref="B244">_xlfn.IFS(Datasets!Q244=1,"LoW",Table1[[#This Row],[JobSatisfaction]]=2,"Medium",Table1[[#This Row],[JobSatisfaction]]=3,"High",Table1[[#This Row],[JobSatisfaction]]=4,"Very High")</f>
        <v>LoW</v>
      </c>
      <c r="H244" s="5">
        <v>2</v>
      </c>
      <c r="I244" t="str" cm="1">
        <f t="array" ref="I244">_xlfn.IFS(H244=1,"low",H244=2,"medium",H244=3,"balanced",H244=4,"Good")</f>
        <v>medium</v>
      </c>
    </row>
    <row r="245" spans="1:9" x14ac:dyDescent="0.3">
      <c r="A245" s="13">
        <v>1</v>
      </c>
      <c r="B245" t="str" cm="1">
        <f t="array" ref="B245">_xlfn.IFS(Datasets!Q245=1,"LoW",Table1[[#This Row],[JobSatisfaction]]=2,"Medium",Table1[[#This Row],[JobSatisfaction]]=3,"High",Table1[[#This Row],[JobSatisfaction]]=4,"Very High")</f>
        <v>LoW</v>
      </c>
      <c r="H245" s="5">
        <v>3</v>
      </c>
      <c r="I245" t="str" cm="1">
        <f t="array" ref="I245">_xlfn.IFS(H245=1,"low",H245=2,"medium",H245=3,"balanced",H245=4,"Good")</f>
        <v>balanced</v>
      </c>
    </row>
    <row r="246" spans="1:9" x14ac:dyDescent="0.3">
      <c r="A246" s="14">
        <v>2</v>
      </c>
      <c r="B246" t="str" cm="1">
        <f t="array" ref="B246">_xlfn.IFS(Datasets!Q246=1,"LoW",Table1[[#This Row],[JobSatisfaction]]=2,"Medium",Table1[[#This Row],[JobSatisfaction]]=3,"High",Table1[[#This Row],[JobSatisfaction]]=4,"Very High")</f>
        <v>Medium</v>
      </c>
      <c r="H246" s="5">
        <v>2</v>
      </c>
      <c r="I246" t="str" cm="1">
        <f t="array" ref="I246">_xlfn.IFS(H246=1,"low",H246=2,"medium",H246=3,"balanced",H246=4,"Good")</f>
        <v>medium</v>
      </c>
    </row>
    <row r="247" spans="1:9" x14ac:dyDescent="0.3">
      <c r="A247" s="13">
        <v>1</v>
      </c>
      <c r="B247" t="str" cm="1">
        <f t="array" ref="B247">_xlfn.IFS(Datasets!Q247=1,"LoW",Table1[[#This Row],[JobSatisfaction]]=2,"Medium",Table1[[#This Row],[JobSatisfaction]]=3,"High",Table1[[#This Row],[JobSatisfaction]]=4,"Very High")</f>
        <v>LoW</v>
      </c>
      <c r="H247" s="5">
        <v>2</v>
      </c>
      <c r="I247" t="str" cm="1">
        <f t="array" ref="I247">_xlfn.IFS(H247=1,"low",H247=2,"medium",H247=3,"balanced",H247=4,"Good")</f>
        <v>medium</v>
      </c>
    </row>
    <row r="248" spans="1:9" x14ac:dyDescent="0.3">
      <c r="A248" s="14">
        <v>4</v>
      </c>
      <c r="B248" t="str" cm="1">
        <f t="array" ref="B248">_xlfn.IFS(Datasets!Q248=1,"LoW",Table1[[#This Row],[JobSatisfaction]]=2,"Medium",Table1[[#This Row],[JobSatisfaction]]=3,"High",Table1[[#This Row],[JobSatisfaction]]=4,"Very High")</f>
        <v>Very High</v>
      </c>
      <c r="H248" s="5">
        <v>4</v>
      </c>
      <c r="I248" t="str" cm="1">
        <f t="array" ref="I248">_xlfn.IFS(H248=1,"low",H248=2,"medium",H248=3,"balanced",H248=4,"Good")</f>
        <v>Good</v>
      </c>
    </row>
    <row r="249" spans="1:9" x14ac:dyDescent="0.3">
      <c r="A249" s="13">
        <v>4</v>
      </c>
      <c r="B249" t="str" cm="1">
        <f t="array" ref="B249">_xlfn.IFS(Datasets!Q249=1,"LoW",Table1[[#This Row],[JobSatisfaction]]=2,"Medium",Table1[[#This Row],[JobSatisfaction]]=3,"High",Table1[[#This Row],[JobSatisfaction]]=4,"Very High")</f>
        <v>Very High</v>
      </c>
      <c r="H249" s="5">
        <v>2</v>
      </c>
      <c r="I249" t="str" cm="1">
        <f t="array" ref="I249">_xlfn.IFS(H249=1,"low",H249=2,"medium",H249=3,"balanced",H249=4,"Good")</f>
        <v>medium</v>
      </c>
    </row>
    <row r="250" spans="1:9" x14ac:dyDescent="0.3">
      <c r="A250" s="14">
        <v>3</v>
      </c>
      <c r="B250" t="str" cm="1">
        <f t="array" ref="B250">_xlfn.IFS(Datasets!Q250=1,"LoW",Table1[[#This Row],[JobSatisfaction]]=2,"Medium",Table1[[#This Row],[JobSatisfaction]]=3,"High",Table1[[#This Row],[JobSatisfaction]]=4,"Very High")</f>
        <v>High</v>
      </c>
      <c r="H250" s="5">
        <v>2</v>
      </c>
      <c r="I250" t="str" cm="1">
        <f t="array" ref="I250">_xlfn.IFS(H250=1,"low",H250=2,"medium",H250=3,"balanced",H250=4,"Good")</f>
        <v>medium</v>
      </c>
    </row>
    <row r="251" spans="1:9" x14ac:dyDescent="0.3">
      <c r="A251" s="13">
        <v>4</v>
      </c>
      <c r="B251" t="str" cm="1">
        <f t="array" ref="B251">_xlfn.IFS(Datasets!Q251=1,"LoW",Table1[[#This Row],[JobSatisfaction]]=2,"Medium",Table1[[#This Row],[JobSatisfaction]]=3,"High",Table1[[#This Row],[JobSatisfaction]]=4,"Very High")</f>
        <v>Very High</v>
      </c>
      <c r="H251" s="5">
        <v>3</v>
      </c>
      <c r="I251" t="str" cm="1">
        <f t="array" ref="I251">_xlfn.IFS(H251=1,"low",H251=2,"medium",H251=3,"balanced",H251=4,"Good")</f>
        <v>balanced</v>
      </c>
    </row>
    <row r="252" spans="1:9" x14ac:dyDescent="0.3">
      <c r="A252" s="14">
        <v>4</v>
      </c>
      <c r="B252" t="str" cm="1">
        <f t="array" ref="B252">_xlfn.IFS(Datasets!Q252=1,"LoW",Table1[[#This Row],[JobSatisfaction]]=2,"Medium",Table1[[#This Row],[JobSatisfaction]]=3,"High",Table1[[#This Row],[JobSatisfaction]]=4,"Very High")</f>
        <v>Very High</v>
      </c>
      <c r="H252" s="5">
        <v>3</v>
      </c>
      <c r="I252" t="str" cm="1">
        <f t="array" ref="I252">_xlfn.IFS(H252=1,"low",H252=2,"medium",H252=3,"balanced",H252=4,"Good")</f>
        <v>balanced</v>
      </c>
    </row>
    <row r="253" spans="1:9" x14ac:dyDescent="0.3">
      <c r="A253" s="13">
        <v>4</v>
      </c>
      <c r="B253" t="str" cm="1">
        <f t="array" ref="B253">_xlfn.IFS(Datasets!Q253=1,"LoW",Table1[[#This Row],[JobSatisfaction]]=2,"Medium",Table1[[#This Row],[JobSatisfaction]]=3,"High",Table1[[#This Row],[JobSatisfaction]]=4,"Very High")</f>
        <v>Very High</v>
      </c>
      <c r="H253" s="5">
        <v>2</v>
      </c>
      <c r="I253" t="str" cm="1">
        <f t="array" ref="I253">_xlfn.IFS(H253=1,"low",H253=2,"medium",H253=3,"balanced",H253=4,"Good")</f>
        <v>medium</v>
      </c>
    </row>
    <row r="254" spans="1:9" x14ac:dyDescent="0.3">
      <c r="A254" s="14">
        <v>1</v>
      </c>
      <c r="B254" t="str" cm="1">
        <f t="array" ref="B254">_xlfn.IFS(Datasets!Q254=1,"LoW",Table1[[#This Row],[JobSatisfaction]]=2,"Medium",Table1[[#This Row],[JobSatisfaction]]=3,"High",Table1[[#This Row],[JobSatisfaction]]=4,"Very High")</f>
        <v>LoW</v>
      </c>
      <c r="H254" s="5">
        <v>3</v>
      </c>
      <c r="I254" t="str" cm="1">
        <f t="array" ref="I254">_xlfn.IFS(H254=1,"low",H254=2,"medium",H254=3,"balanced",H254=4,"Good")</f>
        <v>balanced</v>
      </c>
    </row>
    <row r="255" spans="1:9" x14ac:dyDescent="0.3">
      <c r="A255" s="13">
        <v>3</v>
      </c>
      <c r="B255" t="str" cm="1">
        <f t="array" ref="B255">_xlfn.IFS(Datasets!Q255=1,"LoW",Table1[[#This Row],[JobSatisfaction]]=2,"Medium",Table1[[#This Row],[JobSatisfaction]]=3,"High",Table1[[#This Row],[JobSatisfaction]]=4,"Very High")</f>
        <v>High</v>
      </c>
      <c r="H255" s="5">
        <v>3</v>
      </c>
      <c r="I255" t="str" cm="1">
        <f t="array" ref="I255">_xlfn.IFS(H255=1,"low",H255=2,"medium",H255=3,"balanced",H255=4,"Good")</f>
        <v>balanced</v>
      </c>
    </row>
    <row r="256" spans="1:9" x14ac:dyDescent="0.3">
      <c r="A256" s="14">
        <v>4</v>
      </c>
      <c r="B256" t="str" cm="1">
        <f t="array" ref="B256">_xlfn.IFS(Datasets!Q256=1,"LoW",Table1[[#This Row],[JobSatisfaction]]=2,"Medium",Table1[[#This Row],[JobSatisfaction]]=3,"High",Table1[[#This Row],[JobSatisfaction]]=4,"Very High")</f>
        <v>Very High</v>
      </c>
      <c r="H256" s="5">
        <v>2</v>
      </c>
      <c r="I256" t="str" cm="1">
        <f t="array" ref="I256">_xlfn.IFS(H256=1,"low",H256=2,"medium",H256=3,"balanced",H256=4,"Good")</f>
        <v>medium</v>
      </c>
    </row>
    <row r="257" spans="1:9" x14ac:dyDescent="0.3">
      <c r="A257" s="13">
        <v>3</v>
      </c>
      <c r="B257" t="str" cm="1">
        <f t="array" ref="B257">_xlfn.IFS(Datasets!Q257=1,"LoW",Table1[[#This Row],[JobSatisfaction]]=2,"Medium",Table1[[#This Row],[JobSatisfaction]]=3,"High",Table1[[#This Row],[JobSatisfaction]]=4,"Very High")</f>
        <v>High</v>
      </c>
      <c r="H257" s="5">
        <v>2</v>
      </c>
      <c r="I257" t="str" cm="1">
        <f t="array" ref="I257">_xlfn.IFS(H257=1,"low",H257=2,"medium",H257=3,"balanced",H257=4,"Good")</f>
        <v>medium</v>
      </c>
    </row>
    <row r="258" spans="1:9" x14ac:dyDescent="0.3">
      <c r="A258" s="14">
        <v>1</v>
      </c>
      <c r="B258" t="str" cm="1">
        <f t="array" ref="B258">_xlfn.IFS(Datasets!Q258=1,"LoW",Table1[[#This Row],[JobSatisfaction]]=2,"Medium",Table1[[#This Row],[JobSatisfaction]]=3,"High",Table1[[#This Row],[JobSatisfaction]]=4,"Very High")</f>
        <v>LoW</v>
      </c>
      <c r="H258" s="5">
        <v>2</v>
      </c>
      <c r="I258" t="str" cm="1">
        <f t="array" ref="I258">_xlfn.IFS(H258=1,"low",H258=2,"medium",H258=3,"balanced",H258=4,"Good")</f>
        <v>medium</v>
      </c>
    </row>
    <row r="259" spans="1:9" x14ac:dyDescent="0.3">
      <c r="A259" s="13">
        <v>4</v>
      </c>
      <c r="B259" t="str" cm="1">
        <f t="array" ref="B259">_xlfn.IFS(Datasets!Q259=1,"LoW",Table1[[#This Row],[JobSatisfaction]]=2,"Medium",Table1[[#This Row],[JobSatisfaction]]=3,"High",Table1[[#This Row],[JobSatisfaction]]=4,"Very High")</f>
        <v>Very High</v>
      </c>
      <c r="H259" s="5">
        <v>3</v>
      </c>
      <c r="I259" t="str" cm="1">
        <f t="array" ref="I259">_xlfn.IFS(H259=1,"low",H259=2,"medium",H259=3,"balanced",H259=4,"Good")</f>
        <v>balanced</v>
      </c>
    </row>
    <row r="260" spans="1:9" x14ac:dyDescent="0.3">
      <c r="A260" s="14">
        <v>2</v>
      </c>
      <c r="B260" t="str" cm="1">
        <f t="array" ref="B260">_xlfn.IFS(Datasets!Q260=1,"LoW",Table1[[#This Row],[JobSatisfaction]]=2,"Medium",Table1[[#This Row],[JobSatisfaction]]=3,"High",Table1[[#This Row],[JobSatisfaction]]=4,"Very High")</f>
        <v>Medium</v>
      </c>
      <c r="H260" s="5">
        <v>3</v>
      </c>
      <c r="I260" t="str" cm="1">
        <f t="array" ref="I260">_xlfn.IFS(H260=1,"low",H260=2,"medium",H260=3,"balanced",H260=4,"Good")</f>
        <v>balanced</v>
      </c>
    </row>
    <row r="261" spans="1:9" x14ac:dyDescent="0.3">
      <c r="A261" s="13">
        <v>1</v>
      </c>
      <c r="B261" t="str" cm="1">
        <f t="array" ref="B261">_xlfn.IFS(Datasets!Q261=1,"LoW",Table1[[#This Row],[JobSatisfaction]]=2,"Medium",Table1[[#This Row],[JobSatisfaction]]=3,"High",Table1[[#This Row],[JobSatisfaction]]=4,"Very High")</f>
        <v>LoW</v>
      </c>
      <c r="H261" s="5">
        <v>3</v>
      </c>
      <c r="I261" t="str" cm="1">
        <f t="array" ref="I261">_xlfn.IFS(H261=1,"low",H261=2,"medium",H261=3,"balanced",H261=4,"Good")</f>
        <v>balanced</v>
      </c>
    </row>
    <row r="262" spans="1:9" x14ac:dyDescent="0.3">
      <c r="A262" s="14">
        <v>2</v>
      </c>
      <c r="B262" t="str" cm="1">
        <f t="array" ref="B262">_xlfn.IFS(Datasets!Q262=1,"LoW",Table1[[#This Row],[JobSatisfaction]]=2,"Medium",Table1[[#This Row],[JobSatisfaction]]=3,"High",Table1[[#This Row],[JobSatisfaction]]=4,"Very High")</f>
        <v>Medium</v>
      </c>
      <c r="H262" s="5">
        <v>3</v>
      </c>
      <c r="I262" t="str" cm="1">
        <f t="array" ref="I262">_xlfn.IFS(H262=1,"low",H262=2,"medium",H262=3,"balanced",H262=4,"Good")</f>
        <v>balanced</v>
      </c>
    </row>
    <row r="263" spans="1:9" x14ac:dyDescent="0.3">
      <c r="A263" s="13">
        <v>1</v>
      </c>
      <c r="B263" t="str" cm="1">
        <f t="array" ref="B263">_xlfn.IFS(Datasets!Q263=1,"LoW",Table1[[#This Row],[JobSatisfaction]]=2,"Medium",Table1[[#This Row],[JobSatisfaction]]=3,"High",Table1[[#This Row],[JobSatisfaction]]=4,"Very High")</f>
        <v>LoW</v>
      </c>
      <c r="H263" s="5">
        <v>3</v>
      </c>
      <c r="I263" t="str" cm="1">
        <f t="array" ref="I263">_xlfn.IFS(H263=1,"low",H263=2,"medium",H263=3,"balanced",H263=4,"Good")</f>
        <v>balanced</v>
      </c>
    </row>
    <row r="264" spans="1:9" x14ac:dyDescent="0.3">
      <c r="A264" s="14">
        <v>4</v>
      </c>
      <c r="B264" t="str" cm="1">
        <f t="array" ref="B264">_xlfn.IFS(Datasets!Q264=1,"LoW",Table1[[#This Row],[JobSatisfaction]]=2,"Medium",Table1[[#This Row],[JobSatisfaction]]=3,"High",Table1[[#This Row],[JobSatisfaction]]=4,"Very High")</f>
        <v>Very High</v>
      </c>
      <c r="H264" s="5">
        <v>2</v>
      </c>
      <c r="I264" t="str" cm="1">
        <f t="array" ref="I264">_xlfn.IFS(H264=1,"low",H264=2,"medium",H264=3,"balanced",H264=4,"Good")</f>
        <v>medium</v>
      </c>
    </row>
    <row r="265" spans="1:9" x14ac:dyDescent="0.3">
      <c r="A265" s="13">
        <v>3</v>
      </c>
      <c r="B265" t="str" cm="1">
        <f t="array" ref="B265">_xlfn.IFS(Datasets!Q265=1,"LoW",Table1[[#This Row],[JobSatisfaction]]=2,"Medium",Table1[[#This Row],[JobSatisfaction]]=3,"High",Table1[[#This Row],[JobSatisfaction]]=4,"Very High")</f>
        <v>High</v>
      </c>
      <c r="H265" s="5">
        <v>2</v>
      </c>
      <c r="I265" t="str" cm="1">
        <f t="array" ref="I265">_xlfn.IFS(H265=1,"low",H265=2,"medium",H265=3,"balanced",H265=4,"Good")</f>
        <v>medium</v>
      </c>
    </row>
    <row r="266" spans="1:9" x14ac:dyDescent="0.3">
      <c r="A266" s="14">
        <v>3</v>
      </c>
      <c r="B266" t="str" cm="1">
        <f t="array" ref="B266">_xlfn.IFS(Datasets!Q266=1,"LoW",Table1[[#This Row],[JobSatisfaction]]=2,"Medium",Table1[[#This Row],[JobSatisfaction]]=3,"High",Table1[[#This Row],[JobSatisfaction]]=4,"Very High")</f>
        <v>High</v>
      </c>
      <c r="H266" s="5">
        <v>3</v>
      </c>
      <c r="I266" t="str" cm="1">
        <f t="array" ref="I266">_xlfn.IFS(H266=1,"low",H266=2,"medium",H266=3,"balanced",H266=4,"Good")</f>
        <v>balanced</v>
      </c>
    </row>
    <row r="267" spans="1:9" x14ac:dyDescent="0.3">
      <c r="A267" s="13">
        <v>3</v>
      </c>
      <c r="B267" t="str" cm="1">
        <f t="array" ref="B267">_xlfn.IFS(Datasets!Q267=1,"LoW",Table1[[#This Row],[JobSatisfaction]]=2,"Medium",Table1[[#This Row],[JobSatisfaction]]=3,"High",Table1[[#This Row],[JobSatisfaction]]=4,"Very High")</f>
        <v>High</v>
      </c>
      <c r="H267" s="5">
        <v>2</v>
      </c>
      <c r="I267" t="str" cm="1">
        <f t="array" ref="I267">_xlfn.IFS(H267=1,"low",H267=2,"medium",H267=3,"balanced",H267=4,"Good")</f>
        <v>medium</v>
      </c>
    </row>
    <row r="268" spans="1:9" x14ac:dyDescent="0.3">
      <c r="A268" s="14">
        <v>1</v>
      </c>
      <c r="B268" t="str" cm="1">
        <f t="array" ref="B268">_xlfn.IFS(Datasets!Q268=1,"LoW",Table1[[#This Row],[JobSatisfaction]]=2,"Medium",Table1[[#This Row],[JobSatisfaction]]=3,"High",Table1[[#This Row],[JobSatisfaction]]=4,"Very High")</f>
        <v>LoW</v>
      </c>
      <c r="H268" s="5">
        <v>2</v>
      </c>
      <c r="I268" t="str" cm="1">
        <f t="array" ref="I268">_xlfn.IFS(H268=1,"low",H268=2,"medium",H268=3,"balanced",H268=4,"Good")</f>
        <v>medium</v>
      </c>
    </row>
    <row r="269" spans="1:9" x14ac:dyDescent="0.3">
      <c r="A269" s="13">
        <v>2</v>
      </c>
      <c r="B269" t="str" cm="1">
        <f t="array" ref="B269">_xlfn.IFS(Datasets!Q269=1,"LoW",Table1[[#This Row],[JobSatisfaction]]=2,"Medium",Table1[[#This Row],[JobSatisfaction]]=3,"High",Table1[[#This Row],[JobSatisfaction]]=4,"Very High")</f>
        <v>Medium</v>
      </c>
      <c r="H269" s="5">
        <v>3</v>
      </c>
      <c r="I269" t="str" cm="1">
        <f t="array" ref="I269">_xlfn.IFS(H269=1,"low",H269=2,"medium",H269=3,"balanced",H269=4,"Good")</f>
        <v>balanced</v>
      </c>
    </row>
    <row r="270" spans="1:9" x14ac:dyDescent="0.3">
      <c r="A270" s="14">
        <v>3</v>
      </c>
      <c r="B270" t="str" cm="1">
        <f t="array" ref="B270">_xlfn.IFS(Datasets!Q270=1,"LoW",Table1[[#This Row],[JobSatisfaction]]=2,"Medium",Table1[[#This Row],[JobSatisfaction]]=3,"High",Table1[[#This Row],[JobSatisfaction]]=4,"Very High")</f>
        <v>High</v>
      </c>
      <c r="H270" s="5">
        <v>1</v>
      </c>
      <c r="I270" t="str" cm="1">
        <f t="array" ref="I270">_xlfn.IFS(H270=1,"low",H270=2,"medium",H270=3,"balanced",H270=4,"Good")</f>
        <v>low</v>
      </c>
    </row>
    <row r="271" spans="1:9" x14ac:dyDescent="0.3">
      <c r="A271" s="13">
        <v>3</v>
      </c>
      <c r="B271" t="str" cm="1">
        <f t="array" ref="B271">_xlfn.IFS(Datasets!Q271=1,"LoW",Table1[[#This Row],[JobSatisfaction]]=2,"Medium",Table1[[#This Row],[JobSatisfaction]]=3,"High",Table1[[#This Row],[JobSatisfaction]]=4,"Very High")</f>
        <v>High</v>
      </c>
      <c r="H271" s="5">
        <v>2</v>
      </c>
      <c r="I271" t="str" cm="1">
        <f t="array" ref="I271">_xlfn.IFS(H271=1,"low",H271=2,"medium",H271=3,"balanced",H271=4,"Good")</f>
        <v>medium</v>
      </c>
    </row>
    <row r="272" spans="1:9" x14ac:dyDescent="0.3">
      <c r="A272" s="14">
        <v>3</v>
      </c>
      <c r="B272" t="str" cm="1">
        <f t="array" ref="B272">_xlfn.IFS(Datasets!Q272=1,"LoW",Table1[[#This Row],[JobSatisfaction]]=2,"Medium",Table1[[#This Row],[JobSatisfaction]]=3,"High",Table1[[#This Row],[JobSatisfaction]]=4,"Very High")</f>
        <v>High</v>
      </c>
      <c r="H272" s="5">
        <v>3</v>
      </c>
      <c r="I272" t="str" cm="1">
        <f t="array" ref="I272">_xlfn.IFS(H272=1,"low",H272=2,"medium",H272=3,"balanced",H272=4,"Good")</f>
        <v>balanced</v>
      </c>
    </row>
    <row r="273" spans="1:9" x14ac:dyDescent="0.3">
      <c r="A273" s="13">
        <v>4</v>
      </c>
      <c r="B273" t="str" cm="1">
        <f t="array" ref="B273">_xlfn.IFS(Datasets!Q273=1,"LoW",Table1[[#This Row],[JobSatisfaction]]=2,"Medium",Table1[[#This Row],[JobSatisfaction]]=3,"High",Table1[[#This Row],[JobSatisfaction]]=4,"Very High")</f>
        <v>Very High</v>
      </c>
      <c r="H273" s="5">
        <v>2</v>
      </c>
      <c r="I273" t="str" cm="1">
        <f t="array" ref="I273">_xlfn.IFS(H273=1,"low",H273=2,"medium",H273=3,"balanced",H273=4,"Good")</f>
        <v>medium</v>
      </c>
    </row>
    <row r="274" spans="1:9" x14ac:dyDescent="0.3">
      <c r="A274" s="14">
        <v>3</v>
      </c>
      <c r="B274" t="str" cm="1">
        <f t="array" ref="B274">_xlfn.IFS(Datasets!Q274=1,"LoW",Table1[[#This Row],[JobSatisfaction]]=2,"Medium",Table1[[#This Row],[JobSatisfaction]]=3,"High",Table1[[#This Row],[JobSatisfaction]]=4,"Very High")</f>
        <v>High</v>
      </c>
      <c r="H274" s="5">
        <v>2</v>
      </c>
      <c r="I274" t="str" cm="1">
        <f t="array" ref="I274">_xlfn.IFS(H274=1,"low",H274=2,"medium",H274=3,"balanced",H274=4,"Good")</f>
        <v>medium</v>
      </c>
    </row>
    <row r="275" spans="1:9" x14ac:dyDescent="0.3">
      <c r="A275" s="13">
        <v>4</v>
      </c>
      <c r="B275" t="str" cm="1">
        <f t="array" ref="B275">_xlfn.IFS(Datasets!Q275=1,"LoW",Table1[[#This Row],[JobSatisfaction]]=2,"Medium",Table1[[#This Row],[JobSatisfaction]]=3,"High",Table1[[#This Row],[JobSatisfaction]]=4,"Very High")</f>
        <v>Very High</v>
      </c>
      <c r="H275" s="5">
        <v>4</v>
      </c>
      <c r="I275" t="str" cm="1">
        <f t="array" ref="I275">_xlfn.IFS(H275=1,"low",H275=2,"medium",H275=3,"balanced",H275=4,"Good")</f>
        <v>Good</v>
      </c>
    </row>
    <row r="276" spans="1:9" x14ac:dyDescent="0.3">
      <c r="A276" s="14">
        <v>4</v>
      </c>
      <c r="B276" t="str" cm="1">
        <f t="array" ref="B276">_xlfn.IFS(Datasets!Q276=1,"LoW",Table1[[#This Row],[JobSatisfaction]]=2,"Medium",Table1[[#This Row],[JobSatisfaction]]=3,"High",Table1[[#This Row],[JobSatisfaction]]=4,"Very High")</f>
        <v>Very High</v>
      </c>
      <c r="H276" s="5">
        <v>2</v>
      </c>
      <c r="I276" t="str" cm="1">
        <f t="array" ref="I276">_xlfn.IFS(H276=1,"low",H276=2,"medium",H276=3,"balanced",H276=4,"Good")</f>
        <v>medium</v>
      </c>
    </row>
    <row r="277" spans="1:9" x14ac:dyDescent="0.3">
      <c r="A277" s="13">
        <v>3</v>
      </c>
      <c r="B277" t="str" cm="1">
        <f t="array" ref="B277">_xlfn.IFS(Datasets!Q277=1,"LoW",Table1[[#This Row],[JobSatisfaction]]=2,"Medium",Table1[[#This Row],[JobSatisfaction]]=3,"High",Table1[[#This Row],[JobSatisfaction]]=4,"Very High")</f>
        <v>High</v>
      </c>
      <c r="H277" s="5">
        <v>3</v>
      </c>
      <c r="I277" t="str" cm="1">
        <f t="array" ref="I277">_xlfn.IFS(H277=1,"low",H277=2,"medium",H277=3,"balanced",H277=4,"Good")</f>
        <v>balanced</v>
      </c>
    </row>
    <row r="278" spans="1:9" x14ac:dyDescent="0.3">
      <c r="A278" s="14">
        <v>1</v>
      </c>
      <c r="B278" t="str" cm="1">
        <f t="array" ref="B278">_xlfn.IFS(Datasets!Q278=1,"LoW",Table1[[#This Row],[JobSatisfaction]]=2,"Medium",Table1[[#This Row],[JobSatisfaction]]=3,"High",Table1[[#This Row],[JobSatisfaction]]=4,"Very High")</f>
        <v>LoW</v>
      </c>
      <c r="H278" s="5">
        <v>3</v>
      </c>
      <c r="I278" t="str" cm="1">
        <f t="array" ref="I278">_xlfn.IFS(H278=1,"low",H278=2,"medium",H278=3,"balanced",H278=4,"Good")</f>
        <v>balanced</v>
      </c>
    </row>
    <row r="279" spans="1:9" x14ac:dyDescent="0.3">
      <c r="A279" s="13">
        <v>2</v>
      </c>
      <c r="B279" t="str" cm="1">
        <f t="array" ref="B279">_xlfn.IFS(Datasets!Q279=1,"LoW",Table1[[#This Row],[JobSatisfaction]]=2,"Medium",Table1[[#This Row],[JobSatisfaction]]=3,"High",Table1[[#This Row],[JobSatisfaction]]=4,"Very High")</f>
        <v>Medium</v>
      </c>
      <c r="H279" s="5">
        <v>3</v>
      </c>
      <c r="I279" t="str" cm="1">
        <f t="array" ref="I279">_xlfn.IFS(H279=1,"low",H279=2,"medium",H279=3,"balanced",H279=4,"Good")</f>
        <v>balanced</v>
      </c>
    </row>
    <row r="280" spans="1:9" x14ac:dyDescent="0.3">
      <c r="A280" s="14">
        <v>4</v>
      </c>
      <c r="B280" t="str" cm="1">
        <f t="array" ref="B280">_xlfn.IFS(Datasets!Q280=1,"LoW",Table1[[#This Row],[JobSatisfaction]]=2,"Medium",Table1[[#This Row],[JobSatisfaction]]=3,"High",Table1[[#This Row],[JobSatisfaction]]=4,"Very High")</f>
        <v>Very High</v>
      </c>
      <c r="H280" s="5">
        <v>3</v>
      </c>
      <c r="I280" t="str" cm="1">
        <f t="array" ref="I280">_xlfn.IFS(H280=1,"low",H280=2,"medium",H280=3,"balanced",H280=4,"Good")</f>
        <v>balanced</v>
      </c>
    </row>
    <row r="281" spans="1:9" x14ac:dyDescent="0.3">
      <c r="A281" s="13">
        <v>3</v>
      </c>
      <c r="B281" t="str" cm="1">
        <f t="array" ref="B281">_xlfn.IFS(Datasets!Q281=1,"LoW",Table1[[#This Row],[JobSatisfaction]]=2,"Medium",Table1[[#This Row],[JobSatisfaction]]=3,"High",Table1[[#This Row],[JobSatisfaction]]=4,"Very High")</f>
        <v>High</v>
      </c>
      <c r="H281" s="5">
        <v>3</v>
      </c>
      <c r="I281" t="str" cm="1">
        <f t="array" ref="I281">_xlfn.IFS(H281=1,"low",H281=2,"medium",H281=3,"balanced",H281=4,"Good")</f>
        <v>balanced</v>
      </c>
    </row>
    <row r="282" spans="1:9" x14ac:dyDescent="0.3">
      <c r="A282" s="14">
        <v>4</v>
      </c>
      <c r="B282" t="str" cm="1">
        <f t="array" ref="B282">_xlfn.IFS(Datasets!Q282=1,"LoW",Table1[[#This Row],[JobSatisfaction]]=2,"Medium",Table1[[#This Row],[JobSatisfaction]]=3,"High",Table1[[#This Row],[JobSatisfaction]]=4,"Very High")</f>
        <v>Very High</v>
      </c>
      <c r="H282" s="5">
        <v>3</v>
      </c>
      <c r="I282" t="str" cm="1">
        <f t="array" ref="I282">_xlfn.IFS(H282=1,"low",H282=2,"medium",H282=3,"balanced",H282=4,"Good")</f>
        <v>balanced</v>
      </c>
    </row>
    <row r="283" spans="1:9" x14ac:dyDescent="0.3">
      <c r="A283" s="13">
        <v>4</v>
      </c>
      <c r="B283" t="str" cm="1">
        <f t="array" ref="B283">_xlfn.IFS(Datasets!Q283=1,"LoW",Table1[[#This Row],[JobSatisfaction]]=2,"Medium",Table1[[#This Row],[JobSatisfaction]]=3,"High",Table1[[#This Row],[JobSatisfaction]]=4,"Very High")</f>
        <v>Very High</v>
      </c>
      <c r="H283" s="5">
        <v>4</v>
      </c>
      <c r="I283" t="str" cm="1">
        <f t="array" ref="I283">_xlfn.IFS(H283=1,"low",H283=2,"medium",H283=3,"balanced",H283=4,"Good")</f>
        <v>Good</v>
      </c>
    </row>
    <row r="284" spans="1:9" x14ac:dyDescent="0.3">
      <c r="A284" s="14">
        <v>1</v>
      </c>
      <c r="B284" t="str" cm="1">
        <f t="array" ref="B284">_xlfn.IFS(Datasets!Q284=1,"LoW",Table1[[#This Row],[JobSatisfaction]]=2,"Medium",Table1[[#This Row],[JobSatisfaction]]=3,"High",Table1[[#This Row],[JobSatisfaction]]=4,"Very High")</f>
        <v>LoW</v>
      </c>
      <c r="H284" s="5">
        <v>2</v>
      </c>
      <c r="I284" t="str" cm="1">
        <f t="array" ref="I284">_xlfn.IFS(H284=1,"low",H284=2,"medium",H284=3,"balanced",H284=4,"Good")</f>
        <v>medium</v>
      </c>
    </row>
    <row r="285" spans="1:9" x14ac:dyDescent="0.3">
      <c r="A285" s="13">
        <v>4</v>
      </c>
      <c r="B285" t="str" cm="1">
        <f t="array" ref="B285">_xlfn.IFS(Datasets!Q285=1,"LoW",Table1[[#This Row],[JobSatisfaction]]=2,"Medium",Table1[[#This Row],[JobSatisfaction]]=3,"High",Table1[[#This Row],[JobSatisfaction]]=4,"Very High")</f>
        <v>Very High</v>
      </c>
      <c r="H285" s="5">
        <v>3</v>
      </c>
      <c r="I285" t="str" cm="1">
        <f t="array" ref="I285">_xlfn.IFS(H285=1,"low",H285=2,"medium",H285=3,"balanced",H285=4,"Good")</f>
        <v>balanced</v>
      </c>
    </row>
    <row r="286" spans="1:9" x14ac:dyDescent="0.3">
      <c r="A286" s="14">
        <v>2</v>
      </c>
      <c r="B286" t="str" cm="1">
        <f t="array" ref="B286">_xlfn.IFS(Datasets!Q286=1,"LoW",Table1[[#This Row],[JobSatisfaction]]=2,"Medium",Table1[[#This Row],[JobSatisfaction]]=3,"High",Table1[[#This Row],[JobSatisfaction]]=4,"Very High")</f>
        <v>Medium</v>
      </c>
      <c r="H286" s="5">
        <v>3</v>
      </c>
      <c r="I286" t="str" cm="1">
        <f t="array" ref="I286">_xlfn.IFS(H286=1,"low",H286=2,"medium",H286=3,"balanced",H286=4,"Good")</f>
        <v>balanced</v>
      </c>
    </row>
    <row r="287" spans="1:9" x14ac:dyDescent="0.3">
      <c r="A287" s="13">
        <v>3</v>
      </c>
      <c r="B287" t="str" cm="1">
        <f t="array" ref="B287">_xlfn.IFS(Datasets!Q287=1,"LoW",Table1[[#This Row],[JobSatisfaction]]=2,"Medium",Table1[[#This Row],[JobSatisfaction]]=3,"High",Table1[[#This Row],[JobSatisfaction]]=4,"Very High")</f>
        <v>High</v>
      </c>
      <c r="H287" s="5">
        <v>3</v>
      </c>
      <c r="I287" t="str" cm="1">
        <f t="array" ref="I287">_xlfn.IFS(H287=1,"low",H287=2,"medium",H287=3,"balanced",H287=4,"Good")</f>
        <v>balanced</v>
      </c>
    </row>
    <row r="288" spans="1:9" x14ac:dyDescent="0.3">
      <c r="A288" s="14">
        <v>3</v>
      </c>
      <c r="B288" t="str" cm="1">
        <f t="array" ref="B288">_xlfn.IFS(Datasets!Q288=1,"LoW",Table1[[#This Row],[JobSatisfaction]]=2,"Medium",Table1[[#This Row],[JobSatisfaction]]=3,"High",Table1[[#This Row],[JobSatisfaction]]=4,"Very High")</f>
        <v>High</v>
      </c>
      <c r="H288" s="5">
        <v>2</v>
      </c>
      <c r="I288" t="str" cm="1">
        <f t="array" ref="I288">_xlfn.IFS(H288=1,"low",H288=2,"medium",H288=3,"balanced",H288=4,"Good")</f>
        <v>medium</v>
      </c>
    </row>
    <row r="289" spans="1:9" x14ac:dyDescent="0.3">
      <c r="A289" s="13">
        <v>4</v>
      </c>
      <c r="B289" t="str" cm="1">
        <f t="array" ref="B289">_xlfn.IFS(Datasets!Q289=1,"LoW",Table1[[#This Row],[JobSatisfaction]]=2,"Medium",Table1[[#This Row],[JobSatisfaction]]=3,"High",Table1[[#This Row],[JobSatisfaction]]=4,"Very High")</f>
        <v>Very High</v>
      </c>
      <c r="H289" s="5">
        <v>2</v>
      </c>
      <c r="I289" t="str" cm="1">
        <f t="array" ref="I289">_xlfn.IFS(H289=1,"low",H289=2,"medium",H289=3,"balanced",H289=4,"Good")</f>
        <v>medium</v>
      </c>
    </row>
    <row r="290" spans="1:9" x14ac:dyDescent="0.3">
      <c r="A290" s="14">
        <v>4</v>
      </c>
      <c r="B290" t="str" cm="1">
        <f t="array" ref="B290">_xlfn.IFS(Datasets!Q290=1,"LoW",Table1[[#This Row],[JobSatisfaction]]=2,"Medium",Table1[[#This Row],[JobSatisfaction]]=3,"High",Table1[[#This Row],[JobSatisfaction]]=4,"Very High")</f>
        <v>Very High</v>
      </c>
      <c r="H290" s="5">
        <v>2</v>
      </c>
      <c r="I290" t="str" cm="1">
        <f t="array" ref="I290">_xlfn.IFS(H290=1,"low",H290=2,"medium",H290=3,"balanced",H290=4,"Good")</f>
        <v>medium</v>
      </c>
    </row>
    <row r="291" spans="1:9" x14ac:dyDescent="0.3">
      <c r="A291" s="13">
        <v>4</v>
      </c>
      <c r="B291" t="str" cm="1">
        <f t="array" ref="B291">_xlfn.IFS(Datasets!Q291=1,"LoW",Table1[[#This Row],[JobSatisfaction]]=2,"Medium",Table1[[#This Row],[JobSatisfaction]]=3,"High",Table1[[#This Row],[JobSatisfaction]]=4,"Very High")</f>
        <v>Very High</v>
      </c>
      <c r="H291" s="5">
        <v>2</v>
      </c>
      <c r="I291" t="str" cm="1">
        <f t="array" ref="I291">_xlfn.IFS(H291=1,"low",H291=2,"medium",H291=3,"balanced",H291=4,"Good")</f>
        <v>medium</v>
      </c>
    </row>
    <row r="292" spans="1:9" x14ac:dyDescent="0.3">
      <c r="A292" s="14">
        <v>3</v>
      </c>
      <c r="B292" t="str" cm="1">
        <f t="array" ref="B292">_xlfn.IFS(Datasets!Q292=1,"LoW",Table1[[#This Row],[JobSatisfaction]]=2,"Medium",Table1[[#This Row],[JobSatisfaction]]=3,"High",Table1[[#This Row],[JobSatisfaction]]=4,"Very High")</f>
        <v>High</v>
      </c>
      <c r="H292" s="5">
        <v>3</v>
      </c>
      <c r="I292" t="str" cm="1">
        <f t="array" ref="I292">_xlfn.IFS(H292=1,"low",H292=2,"medium",H292=3,"balanced",H292=4,"Good")</f>
        <v>balanced</v>
      </c>
    </row>
    <row r="293" spans="1:9" x14ac:dyDescent="0.3">
      <c r="A293" s="13">
        <v>4</v>
      </c>
      <c r="B293" t="str" cm="1">
        <f t="array" ref="B293">_xlfn.IFS(Datasets!Q293=1,"LoW",Table1[[#This Row],[JobSatisfaction]]=2,"Medium",Table1[[#This Row],[JobSatisfaction]]=3,"High",Table1[[#This Row],[JobSatisfaction]]=4,"Very High")</f>
        <v>Very High</v>
      </c>
      <c r="H293" s="5">
        <v>2</v>
      </c>
      <c r="I293" t="str" cm="1">
        <f t="array" ref="I293">_xlfn.IFS(H293=1,"low",H293=2,"medium",H293=3,"balanced",H293=4,"Good")</f>
        <v>medium</v>
      </c>
    </row>
    <row r="294" spans="1:9" x14ac:dyDescent="0.3">
      <c r="A294" s="14">
        <v>2</v>
      </c>
      <c r="B294" t="str" cm="1">
        <f t="array" ref="B294">_xlfn.IFS(Datasets!Q294=1,"LoW",Table1[[#This Row],[JobSatisfaction]]=2,"Medium",Table1[[#This Row],[JobSatisfaction]]=3,"High",Table1[[#This Row],[JobSatisfaction]]=4,"Very High")</f>
        <v>Medium</v>
      </c>
      <c r="H294" s="5">
        <v>3</v>
      </c>
      <c r="I294" t="str" cm="1">
        <f t="array" ref="I294">_xlfn.IFS(H294=1,"low",H294=2,"medium",H294=3,"balanced",H294=4,"Good")</f>
        <v>balanced</v>
      </c>
    </row>
    <row r="295" spans="1:9" x14ac:dyDescent="0.3">
      <c r="A295" s="13">
        <v>4</v>
      </c>
      <c r="B295" t="str" cm="1">
        <f t="array" ref="B295">_xlfn.IFS(Datasets!Q295=1,"LoW",Table1[[#This Row],[JobSatisfaction]]=2,"Medium",Table1[[#This Row],[JobSatisfaction]]=3,"High",Table1[[#This Row],[JobSatisfaction]]=4,"Very High")</f>
        <v>Very High</v>
      </c>
      <c r="H295" s="5">
        <v>1</v>
      </c>
      <c r="I295" t="str" cm="1">
        <f t="array" ref="I295">_xlfn.IFS(H295=1,"low",H295=2,"medium",H295=3,"balanced",H295=4,"Good")</f>
        <v>low</v>
      </c>
    </row>
    <row r="296" spans="1:9" x14ac:dyDescent="0.3">
      <c r="A296" s="14">
        <v>3</v>
      </c>
      <c r="B296" t="str" cm="1">
        <f t="array" ref="B296">_xlfn.IFS(Datasets!Q296=1,"LoW",Table1[[#This Row],[JobSatisfaction]]=2,"Medium",Table1[[#This Row],[JobSatisfaction]]=3,"High",Table1[[#This Row],[JobSatisfaction]]=4,"Very High")</f>
        <v>High</v>
      </c>
      <c r="H296" s="5">
        <v>3</v>
      </c>
      <c r="I296" t="str" cm="1">
        <f t="array" ref="I296">_xlfn.IFS(H296=1,"low",H296=2,"medium",H296=3,"balanced",H296=4,"Good")</f>
        <v>balanced</v>
      </c>
    </row>
    <row r="297" spans="1:9" x14ac:dyDescent="0.3">
      <c r="A297" s="13">
        <v>3</v>
      </c>
      <c r="B297" t="str" cm="1">
        <f t="array" ref="B297">_xlfn.IFS(Datasets!Q297=1,"LoW",Table1[[#This Row],[JobSatisfaction]]=2,"Medium",Table1[[#This Row],[JobSatisfaction]]=3,"High",Table1[[#This Row],[JobSatisfaction]]=4,"Very High")</f>
        <v>High</v>
      </c>
      <c r="H297" s="5">
        <v>3</v>
      </c>
      <c r="I297" t="str" cm="1">
        <f t="array" ref="I297">_xlfn.IFS(H297=1,"low",H297=2,"medium",H297=3,"balanced",H297=4,"Good")</f>
        <v>balanced</v>
      </c>
    </row>
    <row r="298" spans="1:9" x14ac:dyDescent="0.3">
      <c r="A298" s="14">
        <v>2</v>
      </c>
      <c r="B298" t="str" cm="1">
        <f t="array" ref="B298">_xlfn.IFS(Datasets!Q298=1,"LoW",Table1[[#This Row],[JobSatisfaction]]=2,"Medium",Table1[[#This Row],[JobSatisfaction]]=3,"High",Table1[[#This Row],[JobSatisfaction]]=4,"Very High")</f>
        <v>Medium</v>
      </c>
      <c r="H298" s="5">
        <v>3</v>
      </c>
      <c r="I298" t="str" cm="1">
        <f t="array" ref="I298">_xlfn.IFS(H298=1,"low",H298=2,"medium",H298=3,"balanced",H298=4,"Good")</f>
        <v>balanced</v>
      </c>
    </row>
    <row r="299" spans="1:9" x14ac:dyDescent="0.3">
      <c r="A299" s="13">
        <v>3</v>
      </c>
      <c r="B299" t="str" cm="1">
        <f t="array" ref="B299">_xlfn.IFS(Datasets!Q299=1,"LoW",Table1[[#This Row],[JobSatisfaction]]=2,"Medium",Table1[[#This Row],[JobSatisfaction]]=3,"High",Table1[[#This Row],[JobSatisfaction]]=4,"Very High")</f>
        <v>High</v>
      </c>
      <c r="H299" s="5">
        <v>3</v>
      </c>
      <c r="I299" t="str" cm="1">
        <f t="array" ref="I299">_xlfn.IFS(H299=1,"low",H299=2,"medium",H299=3,"balanced",H299=4,"Good")</f>
        <v>balanced</v>
      </c>
    </row>
    <row r="300" spans="1:9" x14ac:dyDescent="0.3">
      <c r="A300" s="14">
        <v>3</v>
      </c>
      <c r="B300" t="str" cm="1">
        <f t="array" ref="B300">_xlfn.IFS(Datasets!Q300=1,"LoW",Table1[[#This Row],[JobSatisfaction]]=2,"Medium",Table1[[#This Row],[JobSatisfaction]]=3,"High",Table1[[#This Row],[JobSatisfaction]]=4,"Very High")</f>
        <v>High</v>
      </c>
      <c r="H300" s="5">
        <v>4</v>
      </c>
      <c r="I300" t="str" cm="1">
        <f t="array" ref="I300">_xlfn.IFS(H300=1,"low",H300=2,"medium",H300=3,"balanced",H300=4,"Good")</f>
        <v>Good</v>
      </c>
    </row>
    <row r="301" spans="1:9" x14ac:dyDescent="0.3">
      <c r="A301" s="13">
        <v>4</v>
      </c>
      <c r="B301" t="str" cm="1">
        <f t="array" ref="B301">_xlfn.IFS(Datasets!Q301=1,"LoW",Table1[[#This Row],[JobSatisfaction]]=2,"Medium",Table1[[#This Row],[JobSatisfaction]]=3,"High",Table1[[#This Row],[JobSatisfaction]]=4,"Very High")</f>
        <v>Very High</v>
      </c>
      <c r="H301" s="5">
        <v>3</v>
      </c>
      <c r="I301" t="str" cm="1">
        <f t="array" ref="I301">_xlfn.IFS(H301=1,"low",H301=2,"medium",H301=3,"balanced",H301=4,"Good")</f>
        <v>balanced</v>
      </c>
    </row>
    <row r="302" spans="1:9" x14ac:dyDescent="0.3">
      <c r="A302" s="14">
        <v>1</v>
      </c>
      <c r="B302" t="str" cm="1">
        <f t="array" ref="B302">_xlfn.IFS(Datasets!Q302=1,"LoW",Table1[[#This Row],[JobSatisfaction]]=2,"Medium",Table1[[#This Row],[JobSatisfaction]]=3,"High",Table1[[#This Row],[JobSatisfaction]]=4,"Very High")</f>
        <v>LoW</v>
      </c>
      <c r="H302" s="5">
        <v>4</v>
      </c>
      <c r="I302" t="str" cm="1">
        <f t="array" ref="I302">_xlfn.IFS(H302=1,"low",H302=2,"medium",H302=3,"balanced",H302=4,"Good")</f>
        <v>Good</v>
      </c>
    </row>
    <row r="303" spans="1:9" x14ac:dyDescent="0.3">
      <c r="A303" s="13">
        <v>4</v>
      </c>
      <c r="B303" t="str" cm="1">
        <f t="array" ref="B303">_xlfn.IFS(Datasets!Q303=1,"LoW",Table1[[#This Row],[JobSatisfaction]]=2,"Medium",Table1[[#This Row],[JobSatisfaction]]=3,"High",Table1[[#This Row],[JobSatisfaction]]=4,"Very High")</f>
        <v>Very High</v>
      </c>
      <c r="H303" s="5">
        <v>1</v>
      </c>
      <c r="I303" t="str" cm="1">
        <f t="array" ref="I303">_xlfn.IFS(H303=1,"low",H303=2,"medium",H303=3,"balanced",H303=4,"Good")</f>
        <v>low</v>
      </c>
    </row>
    <row r="304" spans="1:9" x14ac:dyDescent="0.3">
      <c r="A304" s="14">
        <v>2</v>
      </c>
      <c r="B304" t="str" cm="1">
        <f t="array" ref="B304">_xlfn.IFS(Datasets!Q304=1,"LoW",Table1[[#This Row],[JobSatisfaction]]=2,"Medium",Table1[[#This Row],[JobSatisfaction]]=3,"High",Table1[[#This Row],[JobSatisfaction]]=4,"Very High")</f>
        <v>Medium</v>
      </c>
      <c r="H304" s="5">
        <v>3</v>
      </c>
      <c r="I304" t="str" cm="1">
        <f t="array" ref="I304">_xlfn.IFS(H304=1,"low",H304=2,"medium",H304=3,"balanced",H304=4,"Good")</f>
        <v>balanced</v>
      </c>
    </row>
    <row r="305" spans="1:9" x14ac:dyDescent="0.3">
      <c r="A305" s="13">
        <v>2</v>
      </c>
      <c r="B305" t="str" cm="1">
        <f t="array" ref="B305">_xlfn.IFS(Datasets!Q305=1,"LoW",Table1[[#This Row],[JobSatisfaction]]=2,"Medium",Table1[[#This Row],[JobSatisfaction]]=3,"High",Table1[[#This Row],[JobSatisfaction]]=4,"Very High")</f>
        <v>Medium</v>
      </c>
      <c r="H305" s="5">
        <v>3</v>
      </c>
      <c r="I305" t="str" cm="1">
        <f t="array" ref="I305">_xlfn.IFS(H305=1,"low",H305=2,"medium",H305=3,"balanced",H305=4,"Good")</f>
        <v>balanced</v>
      </c>
    </row>
    <row r="306" spans="1:9" x14ac:dyDescent="0.3">
      <c r="A306" s="14">
        <v>4</v>
      </c>
      <c r="B306" t="str" cm="1">
        <f t="array" ref="B306">_xlfn.IFS(Datasets!Q306=1,"LoW",Table1[[#This Row],[JobSatisfaction]]=2,"Medium",Table1[[#This Row],[JobSatisfaction]]=3,"High",Table1[[#This Row],[JobSatisfaction]]=4,"Very High")</f>
        <v>Very High</v>
      </c>
      <c r="H306" s="5">
        <v>3</v>
      </c>
      <c r="I306" t="str" cm="1">
        <f t="array" ref="I306">_xlfn.IFS(H306=1,"low",H306=2,"medium",H306=3,"balanced",H306=4,"Good")</f>
        <v>balanced</v>
      </c>
    </row>
    <row r="307" spans="1:9" x14ac:dyDescent="0.3">
      <c r="A307" s="13">
        <v>4</v>
      </c>
      <c r="B307" t="str" cm="1">
        <f t="array" ref="B307">_xlfn.IFS(Datasets!Q307=1,"LoW",Table1[[#This Row],[JobSatisfaction]]=2,"Medium",Table1[[#This Row],[JobSatisfaction]]=3,"High",Table1[[#This Row],[JobSatisfaction]]=4,"Very High")</f>
        <v>Very High</v>
      </c>
      <c r="H307" s="5">
        <v>3</v>
      </c>
      <c r="I307" t="str" cm="1">
        <f t="array" ref="I307">_xlfn.IFS(H307=1,"low",H307=2,"medium",H307=3,"balanced",H307=4,"Good")</f>
        <v>balanced</v>
      </c>
    </row>
    <row r="308" spans="1:9" x14ac:dyDescent="0.3">
      <c r="A308" s="14">
        <v>4</v>
      </c>
      <c r="B308" t="str" cm="1">
        <f t="array" ref="B308">_xlfn.IFS(Datasets!Q308=1,"LoW",Table1[[#This Row],[JobSatisfaction]]=2,"Medium",Table1[[#This Row],[JobSatisfaction]]=3,"High",Table1[[#This Row],[JobSatisfaction]]=4,"Very High")</f>
        <v>Very High</v>
      </c>
      <c r="H308" s="5">
        <v>2</v>
      </c>
      <c r="I308" t="str" cm="1">
        <f t="array" ref="I308">_xlfn.IFS(H308=1,"low",H308=2,"medium",H308=3,"balanced",H308=4,"Good")</f>
        <v>medium</v>
      </c>
    </row>
    <row r="309" spans="1:9" x14ac:dyDescent="0.3">
      <c r="A309" s="13">
        <v>4</v>
      </c>
      <c r="B309" t="str" cm="1">
        <f t="array" ref="B309">_xlfn.IFS(Datasets!Q309=1,"LoW",Table1[[#This Row],[JobSatisfaction]]=2,"Medium",Table1[[#This Row],[JobSatisfaction]]=3,"High",Table1[[#This Row],[JobSatisfaction]]=4,"Very High")</f>
        <v>Very High</v>
      </c>
      <c r="H309" s="5">
        <v>3</v>
      </c>
      <c r="I309" t="str" cm="1">
        <f t="array" ref="I309">_xlfn.IFS(H309=1,"low",H309=2,"medium",H309=3,"balanced",H309=4,"Good")</f>
        <v>balanced</v>
      </c>
    </row>
    <row r="310" spans="1:9" x14ac:dyDescent="0.3">
      <c r="A310" s="14">
        <v>1</v>
      </c>
      <c r="B310" t="str" cm="1">
        <f t="array" ref="B310">_xlfn.IFS(Datasets!Q310=1,"LoW",Table1[[#This Row],[JobSatisfaction]]=2,"Medium",Table1[[#This Row],[JobSatisfaction]]=3,"High",Table1[[#This Row],[JobSatisfaction]]=4,"Very High")</f>
        <v>LoW</v>
      </c>
      <c r="H310" s="5">
        <v>3</v>
      </c>
      <c r="I310" t="str" cm="1">
        <f t="array" ref="I310">_xlfn.IFS(H310=1,"low",H310=2,"medium",H310=3,"balanced",H310=4,"Good")</f>
        <v>balanced</v>
      </c>
    </row>
    <row r="311" spans="1:9" x14ac:dyDescent="0.3">
      <c r="A311" s="13">
        <v>4</v>
      </c>
      <c r="B311" t="str" cm="1">
        <f t="array" ref="B311">_xlfn.IFS(Datasets!Q311=1,"LoW",Table1[[#This Row],[JobSatisfaction]]=2,"Medium",Table1[[#This Row],[JobSatisfaction]]=3,"High",Table1[[#This Row],[JobSatisfaction]]=4,"Very High")</f>
        <v>Very High</v>
      </c>
      <c r="H311" s="5">
        <v>4</v>
      </c>
      <c r="I311" t="str" cm="1">
        <f t="array" ref="I311">_xlfn.IFS(H311=1,"low",H311=2,"medium",H311=3,"balanced",H311=4,"Good")</f>
        <v>Good</v>
      </c>
    </row>
    <row r="312" spans="1:9" x14ac:dyDescent="0.3">
      <c r="A312" s="14">
        <v>3</v>
      </c>
      <c r="B312" t="str" cm="1">
        <f t="array" ref="B312">_xlfn.IFS(Datasets!Q312=1,"LoW",Table1[[#This Row],[JobSatisfaction]]=2,"Medium",Table1[[#This Row],[JobSatisfaction]]=3,"High",Table1[[#This Row],[JobSatisfaction]]=4,"Very High")</f>
        <v>High</v>
      </c>
      <c r="H312" s="5">
        <v>2</v>
      </c>
      <c r="I312" t="str" cm="1">
        <f t="array" ref="I312">_xlfn.IFS(H312=1,"low",H312=2,"medium",H312=3,"balanced",H312=4,"Good")</f>
        <v>medium</v>
      </c>
    </row>
    <row r="313" spans="1:9" x14ac:dyDescent="0.3">
      <c r="A313" s="13">
        <v>3</v>
      </c>
      <c r="B313" t="str" cm="1">
        <f t="array" ref="B313">_xlfn.IFS(Datasets!Q313=1,"LoW",Table1[[#This Row],[JobSatisfaction]]=2,"Medium",Table1[[#This Row],[JobSatisfaction]]=3,"High",Table1[[#This Row],[JobSatisfaction]]=4,"Very High")</f>
        <v>High</v>
      </c>
      <c r="H313" s="5">
        <v>3</v>
      </c>
      <c r="I313" t="str" cm="1">
        <f t="array" ref="I313">_xlfn.IFS(H313=1,"low",H313=2,"medium",H313=3,"balanced",H313=4,"Good")</f>
        <v>balanced</v>
      </c>
    </row>
    <row r="314" spans="1:9" x14ac:dyDescent="0.3">
      <c r="A314" s="14">
        <v>3</v>
      </c>
      <c r="B314" t="str" cm="1">
        <f t="array" ref="B314">_xlfn.IFS(Datasets!Q314=1,"LoW",Table1[[#This Row],[JobSatisfaction]]=2,"Medium",Table1[[#This Row],[JobSatisfaction]]=3,"High",Table1[[#This Row],[JobSatisfaction]]=4,"Very High")</f>
        <v>High</v>
      </c>
      <c r="H314" s="5">
        <v>3</v>
      </c>
      <c r="I314" t="str" cm="1">
        <f t="array" ref="I314">_xlfn.IFS(H314=1,"low",H314=2,"medium",H314=3,"balanced",H314=4,"Good")</f>
        <v>balanced</v>
      </c>
    </row>
    <row r="315" spans="1:9" x14ac:dyDescent="0.3">
      <c r="A315" s="13">
        <v>1</v>
      </c>
      <c r="B315" t="str" cm="1">
        <f t="array" ref="B315">_xlfn.IFS(Datasets!Q315=1,"LoW",Table1[[#This Row],[JobSatisfaction]]=2,"Medium",Table1[[#This Row],[JobSatisfaction]]=3,"High",Table1[[#This Row],[JobSatisfaction]]=4,"Very High")</f>
        <v>LoW</v>
      </c>
      <c r="H315" s="5">
        <v>3</v>
      </c>
      <c r="I315" t="str" cm="1">
        <f t="array" ref="I315">_xlfn.IFS(H315=1,"low",H315=2,"medium",H315=3,"balanced",H315=4,"Good")</f>
        <v>balanced</v>
      </c>
    </row>
    <row r="316" spans="1:9" x14ac:dyDescent="0.3">
      <c r="A316" s="14">
        <v>2</v>
      </c>
      <c r="B316" t="str" cm="1">
        <f t="array" ref="B316">_xlfn.IFS(Datasets!Q316=1,"LoW",Table1[[#This Row],[JobSatisfaction]]=2,"Medium",Table1[[#This Row],[JobSatisfaction]]=3,"High",Table1[[#This Row],[JobSatisfaction]]=4,"Very High")</f>
        <v>Medium</v>
      </c>
      <c r="H316" s="5">
        <v>3</v>
      </c>
      <c r="I316" t="str" cm="1">
        <f t="array" ref="I316">_xlfn.IFS(H316=1,"low",H316=2,"medium",H316=3,"balanced",H316=4,"Good")</f>
        <v>balanced</v>
      </c>
    </row>
    <row r="317" spans="1:9" x14ac:dyDescent="0.3">
      <c r="A317" s="13">
        <v>2</v>
      </c>
      <c r="B317" t="str" cm="1">
        <f t="array" ref="B317">_xlfn.IFS(Datasets!Q317=1,"LoW",Table1[[#This Row],[JobSatisfaction]]=2,"Medium",Table1[[#This Row],[JobSatisfaction]]=3,"High",Table1[[#This Row],[JobSatisfaction]]=4,"Very High")</f>
        <v>Medium</v>
      </c>
      <c r="H317" s="5">
        <v>3</v>
      </c>
      <c r="I317" t="str" cm="1">
        <f t="array" ref="I317">_xlfn.IFS(H317=1,"low",H317=2,"medium",H317=3,"balanced",H317=4,"Good")</f>
        <v>balanced</v>
      </c>
    </row>
    <row r="318" spans="1:9" x14ac:dyDescent="0.3">
      <c r="A318" s="14">
        <v>3</v>
      </c>
      <c r="B318" t="str" cm="1">
        <f t="array" ref="B318">_xlfn.IFS(Datasets!Q318=1,"LoW",Table1[[#This Row],[JobSatisfaction]]=2,"Medium",Table1[[#This Row],[JobSatisfaction]]=3,"High",Table1[[#This Row],[JobSatisfaction]]=4,"Very High")</f>
        <v>High</v>
      </c>
      <c r="H318" s="5">
        <v>3</v>
      </c>
      <c r="I318" t="str" cm="1">
        <f t="array" ref="I318">_xlfn.IFS(H318=1,"low",H318=2,"medium",H318=3,"balanced",H318=4,"Good")</f>
        <v>balanced</v>
      </c>
    </row>
    <row r="319" spans="1:9" x14ac:dyDescent="0.3">
      <c r="A319" s="13">
        <v>2</v>
      </c>
      <c r="B319" t="str" cm="1">
        <f t="array" ref="B319">_xlfn.IFS(Datasets!Q319=1,"LoW",Table1[[#This Row],[JobSatisfaction]]=2,"Medium",Table1[[#This Row],[JobSatisfaction]]=3,"High",Table1[[#This Row],[JobSatisfaction]]=4,"Very High")</f>
        <v>Medium</v>
      </c>
      <c r="H319" s="5">
        <v>3</v>
      </c>
      <c r="I319" t="str" cm="1">
        <f t="array" ref="I319">_xlfn.IFS(H319=1,"low",H319=2,"medium",H319=3,"balanced",H319=4,"Good")</f>
        <v>balanced</v>
      </c>
    </row>
    <row r="320" spans="1:9" x14ac:dyDescent="0.3">
      <c r="A320" s="14">
        <v>2</v>
      </c>
      <c r="B320" t="str" cm="1">
        <f t="array" ref="B320">_xlfn.IFS(Datasets!Q320=1,"LoW",Table1[[#This Row],[JobSatisfaction]]=2,"Medium",Table1[[#This Row],[JobSatisfaction]]=3,"High",Table1[[#This Row],[JobSatisfaction]]=4,"Very High")</f>
        <v>Medium</v>
      </c>
      <c r="H320" s="5">
        <v>2</v>
      </c>
      <c r="I320" t="str" cm="1">
        <f t="array" ref="I320">_xlfn.IFS(H320=1,"low",H320=2,"medium",H320=3,"balanced",H320=4,"Good")</f>
        <v>medium</v>
      </c>
    </row>
    <row r="321" spans="1:9" x14ac:dyDescent="0.3">
      <c r="A321" s="13">
        <v>3</v>
      </c>
      <c r="B321" t="str" cm="1">
        <f t="array" ref="B321">_xlfn.IFS(Datasets!Q321=1,"LoW",Table1[[#This Row],[JobSatisfaction]]=2,"Medium",Table1[[#This Row],[JobSatisfaction]]=3,"High",Table1[[#This Row],[JobSatisfaction]]=4,"Very High")</f>
        <v>High</v>
      </c>
      <c r="H321" s="5">
        <v>3</v>
      </c>
      <c r="I321" t="str" cm="1">
        <f t="array" ref="I321">_xlfn.IFS(H321=1,"low",H321=2,"medium",H321=3,"balanced",H321=4,"Good")</f>
        <v>balanced</v>
      </c>
    </row>
    <row r="322" spans="1:9" x14ac:dyDescent="0.3">
      <c r="A322" s="14">
        <v>3</v>
      </c>
      <c r="B322" t="str" cm="1">
        <f t="array" ref="B322">_xlfn.IFS(Datasets!Q322=1,"LoW",Table1[[#This Row],[JobSatisfaction]]=2,"Medium",Table1[[#This Row],[JobSatisfaction]]=3,"High",Table1[[#This Row],[JobSatisfaction]]=4,"Very High")</f>
        <v>High</v>
      </c>
      <c r="H322" s="5">
        <v>3</v>
      </c>
      <c r="I322" t="str" cm="1">
        <f t="array" ref="I322">_xlfn.IFS(H322=1,"low",H322=2,"medium",H322=3,"balanced",H322=4,"Good")</f>
        <v>balanced</v>
      </c>
    </row>
    <row r="323" spans="1:9" x14ac:dyDescent="0.3">
      <c r="A323" s="13">
        <v>3</v>
      </c>
      <c r="B323" t="str" cm="1">
        <f t="array" ref="B323">_xlfn.IFS(Datasets!Q323=1,"LoW",Table1[[#This Row],[JobSatisfaction]]=2,"Medium",Table1[[#This Row],[JobSatisfaction]]=3,"High",Table1[[#This Row],[JobSatisfaction]]=4,"Very High")</f>
        <v>High</v>
      </c>
      <c r="H323" s="5">
        <v>3</v>
      </c>
      <c r="I323" t="str" cm="1">
        <f t="array" ref="I323">_xlfn.IFS(H323=1,"low",H323=2,"medium",H323=3,"balanced",H323=4,"Good")</f>
        <v>balanced</v>
      </c>
    </row>
    <row r="324" spans="1:9" x14ac:dyDescent="0.3">
      <c r="A324" s="14">
        <v>4</v>
      </c>
      <c r="B324" t="str" cm="1">
        <f t="array" ref="B324">_xlfn.IFS(Datasets!Q324=1,"LoW",Table1[[#This Row],[JobSatisfaction]]=2,"Medium",Table1[[#This Row],[JobSatisfaction]]=3,"High",Table1[[#This Row],[JobSatisfaction]]=4,"Very High")</f>
        <v>Very High</v>
      </c>
      <c r="H324" s="5">
        <v>2</v>
      </c>
      <c r="I324" t="str" cm="1">
        <f t="array" ref="I324">_xlfn.IFS(H324=1,"low",H324=2,"medium",H324=3,"balanced",H324=4,"Good")</f>
        <v>medium</v>
      </c>
    </row>
    <row r="325" spans="1:9" x14ac:dyDescent="0.3">
      <c r="A325" s="13">
        <v>4</v>
      </c>
      <c r="B325" t="str" cm="1">
        <f t="array" ref="B325">_xlfn.IFS(Datasets!Q325=1,"LoW",Table1[[#This Row],[JobSatisfaction]]=2,"Medium",Table1[[#This Row],[JobSatisfaction]]=3,"High",Table1[[#This Row],[JobSatisfaction]]=4,"Very High")</f>
        <v>Very High</v>
      </c>
      <c r="H325" s="5">
        <v>3</v>
      </c>
      <c r="I325" t="str" cm="1">
        <f t="array" ref="I325">_xlfn.IFS(H325=1,"low",H325=2,"medium",H325=3,"balanced",H325=4,"Good")</f>
        <v>balanced</v>
      </c>
    </row>
    <row r="326" spans="1:9" x14ac:dyDescent="0.3">
      <c r="A326" s="14">
        <v>1</v>
      </c>
      <c r="B326" t="str" cm="1">
        <f t="array" ref="B326">_xlfn.IFS(Datasets!Q326=1,"LoW",Table1[[#This Row],[JobSatisfaction]]=2,"Medium",Table1[[#This Row],[JobSatisfaction]]=3,"High",Table1[[#This Row],[JobSatisfaction]]=4,"Very High")</f>
        <v>LoW</v>
      </c>
      <c r="H326" s="5">
        <v>2</v>
      </c>
      <c r="I326" t="str" cm="1">
        <f t="array" ref="I326">_xlfn.IFS(H326=1,"low",H326=2,"medium",H326=3,"balanced",H326=4,"Good")</f>
        <v>medium</v>
      </c>
    </row>
    <row r="327" spans="1:9" x14ac:dyDescent="0.3">
      <c r="A327" s="13">
        <v>4</v>
      </c>
      <c r="B327" t="str" cm="1">
        <f t="array" ref="B327">_xlfn.IFS(Datasets!Q327=1,"LoW",Table1[[#This Row],[JobSatisfaction]]=2,"Medium",Table1[[#This Row],[JobSatisfaction]]=3,"High",Table1[[#This Row],[JobSatisfaction]]=4,"Very High")</f>
        <v>Very High</v>
      </c>
      <c r="H327" s="5">
        <v>3</v>
      </c>
      <c r="I327" t="str" cm="1">
        <f t="array" ref="I327">_xlfn.IFS(H327=1,"low",H327=2,"medium",H327=3,"balanced",H327=4,"Good")</f>
        <v>balanced</v>
      </c>
    </row>
    <row r="328" spans="1:9" x14ac:dyDescent="0.3">
      <c r="A328" s="14">
        <v>3</v>
      </c>
      <c r="B328" t="str" cm="1">
        <f t="array" ref="B328">_xlfn.IFS(Datasets!Q328=1,"LoW",Table1[[#This Row],[JobSatisfaction]]=2,"Medium",Table1[[#This Row],[JobSatisfaction]]=3,"High",Table1[[#This Row],[JobSatisfaction]]=4,"Very High")</f>
        <v>High</v>
      </c>
      <c r="H328" s="5">
        <v>3</v>
      </c>
      <c r="I328" t="str" cm="1">
        <f t="array" ref="I328">_xlfn.IFS(H328=1,"low",H328=2,"medium",H328=3,"balanced",H328=4,"Good")</f>
        <v>balanced</v>
      </c>
    </row>
    <row r="329" spans="1:9" x14ac:dyDescent="0.3">
      <c r="A329" s="13">
        <v>4</v>
      </c>
      <c r="B329" t="str" cm="1">
        <f t="array" ref="B329">_xlfn.IFS(Datasets!Q329=1,"LoW",Table1[[#This Row],[JobSatisfaction]]=2,"Medium",Table1[[#This Row],[JobSatisfaction]]=3,"High",Table1[[#This Row],[JobSatisfaction]]=4,"Very High")</f>
        <v>Very High</v>
      </c>
      <c r="H329" s="5">
        <v>4</v>
      </c>
      <c r="I329" t="str" cm="1">
        <f t="array" ref="I329">_xlfn.IFS(H329=1,"low",H329=2,"medium",H329=3,"balanced",H329=4,"Good")</f>
        <v>Good</v>
      </c>
    </row>
    <row r="330" spans="1:9" x14ac:dyDescent="0.3">
      <c r="A330" s="14">
        <v>2</v>
      </c>
      <c r="B330" t="str" cm="1">
        <f t="array" ref="B330">_xlfn.IFS(Datasets!Q330=1,"LoW",Table1[[#This Row],[JobSatisfaction]]=2,"Medium",Table1[[#This Row],[JobSatisfaction]]=3,"High",Table1[[#This Row],[JobSatisfaction]]=4,"Very High")</f>
        <v>Medium</v>
      </c>
      <c r="H330" s="5">
        <v>2</v>
      </c>
      <c r="I330" t="str" cm="1">
        <f t="array" ref="I330">_xlfn.IFS(H330=1,"low",H330=2,"medium",H330=3,"balanced",H330=4,"Good")</f>
        <v>medium</v>
      </c>
    </row>
    <row r="331" spans="1:9" x14ac:dyDescent="0.3">
      <c r="A331" s="13">
        <v>4</v>
      </c>
      <c r="B331" t="str" cm="1">
        <f t="array" ref="B331">_xlfn.IFS(Datasets!Q331=1,"LoW",Table1[[#This Row],[JobSatisfaction]]=2,"Medium",Table1[[#This Row],[JobSatisfaction]]=3,"High",Table1[[#This Row],[JobSatisfaction]]=4,"Very High")</f>
        <v>Very High</v>
      </c>
      <c r="H331" s="5">
        <v>3</v>
      </c>
      <c r="I331" t="str" cm="1">
        <f t="array" ref="I331">_xlfn.IFS(H331=1,"low",H331=2,"medium",H331=3,"balanced",H331=4,"Good")</f>
        <v>balanced</v>
      </c>
    </row>
    <row r="332" spans="1:9" x14ac:dyDescent="0.3">
      <c r="A332" s="14">
        <v>4</v>
      </c>
      <c r="B332" t="str" cm="1">
        <f t="array" ref="B332">_xlfn.IFS(Datasets!Q332=1,"LoW",Table1[[#This Row],[JobSatisfaction]]=2,"Medium",Table1[[#This Row],[JobSatisfaction]]=3,"High",Table1[[#This Row],[JobSatisfaction]]=4,"Very High")</f>
        <v>Very High</v>
      </c>
      <c r="H332" s="5">
        <v>3</v>
      </c>
      <c r="I332" t="str" cm="1">
        <f t="array" ref="I332">_xlfn.IFS(H332=1,"low",H332=2,"medium",H332=3,"balanced",H332=4,"Good")</f>
        <v>balanced</v>
      </c>
    </row>
    <row r="333" spans="1:9" x14ac:dyDescent="0.3">
      <c r="A333" s="13">
        <v>2</v>
      </c>
      <c r="B333" t="str" cm="1">
        <f t="array" ref="B333">_xlfn.IFS(Datasets!Q333=1,"LoW",Table1[[#This Row],[JobSatisfaction]]=2,"Medium",Table1[[#This Row],[JobSatisfaction]]=3,"High",Table1[[#This Row],[JobSatisfaction]]=4,"Very High")</f>
        <v>Medium</v>
      </c>
      <c r="H333" s="5">
        <v>1</v>
      </c>
      <c r="I333" t="str" cm="1">
        <f t="array" ref="I333">_xlfn.IFS(H333=1,"low",H333=2,"medium",H333=3,"balanced",H333=4,"Good")</f>
        <v>low</v>
      </c>
    </row>
    <row r="334" spans="1:9" x14ac:dyDescent="0.3">
      <c r="A334" s="14">
        <v>4</v>
      </c>
      <c r="B334" t="str" cm="1">
        <f t="array" ref="B334">_xlfn.IFS(Datasets!Q334=1,"LoW",Table1[[#This Row],[JobSatisfaction]]=2,"Medium",Table1[[#This Row],[JobSatisfaction]]=3,"High",Table1[[#This Row],[JobSatisfaction]]=4,"Very High")</f>
        <v>Very High</v>
      </c>
      <c r="H334" s="5">
        <v>1</v>
      </c>
      <c r="I334" t="str" cm="1">
        <f t="array" ref="I334">_xlfn.IFS(H334=1,"low",H334=2,"medium",H334=3,"balanced",H334=4,"Good")</f>
        <v>low</v>
      </c>
    </row>
    <row r="335" spans="1:9" x14ac:dyDescent="0.3">
      <c r="A335" s="13">
        <v>1</v>
      </c>
      <c r="B335" t="str" cm="1">
        <f t="array" ref="B335">_xlfn.IFS(Datasets!Q335=1,"LoW",Table1[[#This Row],[JobSatisfaction]]=2,"Medium",Table1[[#This Row],[JobSatisfaction]]=3,"High",Table1[[#This Row],[JobSatisfaction]]=4,"Very High")</f>
        <v>LoW</v>
      </c>
      <c r="H335" s="5">
        <v>3</v>
      </c>
      <c r="I335" t="str" cm="1">
        <f t="array" ref="I335">_xlfn.IFS(H335=1,"low",H335=2,"medium",H335=3,"balanced",H335=4,"Good")</f>
        <v>balanced</v>
      </c>
    </row>
    <row r="336" spans="1:9" x14ac:dyDescent="0.3">
      <c r="A336" s="14">
        <v>3</v>
      </c>
      <c r="B336" t="str" cm="1">
        <f t="array" ref="B336">_xlfn.IFS(Datasets!Q336=1,"LoW",Table1[[#This Row],[JobSatisfaction]]=2,"Medium",Table1[[#This Row],[JobSatisfaction]]=3,"High",Table1[[#This Row],[JobSatisfaction]]=4,"Very High")</f>
        <v>High</v>
      </c>
      <c r="H336" s="5">
        <v>3</v>
      </c>
      <c r="I336" t="str" cm="1">
        <f t="array" ref="I336">_xlfn.IFS(H336=1,"low",H336=2,"medium",H336=3,"balanced",H336=4,"Good")</f>
        <v>balanced</v>
      </c>
    </row>
    <row r="337" spans="1:9" x14ac:dyDescent="0.3">
      <c r="A337" s="13">
        <v>2</v>
      </c>
      <c r="B337" t="str" cm="1">
        <f t="array" ref="B337">_xlfn.IFS(Datasets!Q337=1,"LoW",Table1[[#This Row],[JobSatisfaction]]=2,"Medium",Table1[[#This Row],[JobSatisfaction]]=3,"High",Table1[[#This Row],[JobSatisfaction]]=4,"Very High")</f>
        <v>Medium</v>
      </c>
      <c r="H337" s="5">
        <v>3</v>
      </c>
      <c r="I337" t="str" cm="1">
        <f t="array" ref="I337">_xlfn.IFS(H337=1,"low",H337=2,"medium",H337=3,"balanced",H337=4,"Good")</f>
        <v>balanced</v>
      </c>
    </row>
    <row r="338" spans="1:9" x14ac:dyDescent="0.3">
      <c r="A338" s="14">
        <v>3</v>
      </c>
      <c r="B338" t="str" cm="1">
        <f t="array" ref="B338">_xlfn.IFS(Datasets!Q338=1,"LoW",Table1[[#This Row],[JobSatisfaction]]=2,"Medium",Table1[[#This Row],[JobSatisfaction]]=3,"High",Table1[[#This Row],[JobSatisfaction]]=4,"Very High")</f>
        <v>High</v>
      </c>
      <c r="H338" s="5">
        <v>3</v>
      </c>
      <c r="I338" t="str" cm="1">
        <f t="array" ref="I338">_xlfn.IFS(H338=1,"low",H338=2,"medium",H338=3,"balanced",H338=4,"Good")</f>
        <v>balanced</v>
      </c>
    </row>
    <row r="339" spans="1:9" x14ac:dyDescent="0.3">
      <c r="A339" s="13">
        <v>2</v>
      </c>
      <c r="B339" t="str" cm="1">
        <f t="array" ref="B339">_xlfn.IFS(Datasets!Q339=1,"LoW",Table1[[#This Row],[JobSatisfaction]]=2,"Medium",Table1[[#This Row],[JobSatisfaction]]=3,"High",Table1[[#This Row],[JobSatisfaction]]=4,"Very High")</f>
        <v>Medium</v>
      </c>
      <c r="H339" s="5">
        <v>3</v>
      </c>
      <c r="I339" t="str" cm="1">
        <f t="array" ref="I339">_xlfn.IFS(H339=1,"low",H339=2,"medium",H339=3,"balanced",H339=4,"Good")</f>
        <v>balanced</v>
      </c>
    </row>
    <row r="340" spans="1:9" x14ac:dyDescent="0.3">
      <c r="A340" s="14">
        <v>2</v>
      </c>
      <c r="B340" t="str" cm="1">
        <f t="array" ref="B340">_xlfn.IFS(Datasets!Q340=1,"LoW",Table1[[#This Row],[JobSatisfaction]]=2,"Medium",Table1[[#This Row],[JobSatisfaction]]=3,"High",Table1[[#This Row],[JobSatisfaction]]=4,"Very High")</f>
        <v>Medium</v>
      </c>
      <c r="H340" s="5">
        <v>3</v>
      </c>
      <c r="I340" t="str" cm="1">
        <f t="array" ref="I340">_xlfn.IFS(H340=1,"low",H340=2,"medium",H340=3,"balanced",H340=4,"Good")</f>
        <v>balanced</v>
      </c>
    </row>
    <row r="341" spans="1:9" x14ac:dyDescent="0.3">
      <c r="A341" s="13">
        <v>3</v>
      </c>
      <c r="B341" t="str" cm="1">
        <f t="array" ref="B341">_xlfn.IFS(Datasets!Q341=1,"LoW",Table1[[#This Row],[JobSatisfaction]]=2,"Medium",Table1[[#This Row],[JobSatisfaction]]=3,"High",Table1[[#This Row],[JobSatisfaction]]=4,"Very High")</f>
        <v>High</v>
      </c>
      <c r="H341" s="5">
        <v>2</v>
      </c>
      <c r="I341" t="str" cm="1">
        <f t="array" ref="I341">_xlfn.IFS(H341=1,"low",H341=2,"medium",H341=3,"balanced",H341=4,"Good")</f>
        <v>medium</v>
      </c>
    </row>
    <row r="342" spans="1:9" x14ac:dyDescent="0.3">
      <c r="A342" s="14">
        <v>4</v>
      </c>
      <c r="B342" t="str" cm="1">
        <f t="array" ref="B342">_xlfn.IFS(Datasets!Q342=1,"LoW",Table1[[#This Row],[JobSatisfaction]]=2,"Medium",Table1[[#This Row],[JobSatisfaction]]=3,"High",Table1[[#This Row],[JobSatisfaction]]=4,"Very High")</f>
        <v>Very High</v>
      </c>
      <c r="H342" s="5">
        <v>2</v>
      </c>
      <c r="I342" t="str" cm="1">
        <f t="array" ref="I342">_xlfn.IFS(H342=1,"low",H342=2,"medium",H342=3,"balanced",H342=4,"Good")</f>
        <v>medium</v>
      </c>
    </row>
    <row r="343" spans="1:9" x14ac:dyDescent="0.3">
      <c r="A343" s="13">
        <v>1</v>
      </c>
      <c r="B343" t="str" cm="1">
        <f t="array" ref="B343">_xlfn.IFS(Datasets!Q343=1,"LoW",Table1[[#This Row],[JobSatisfaction]]=2,"Medium",Table1[[#This Row],[JobSatisfaction]]=3,"High",Table1[[#This Row],[JobSatisfaction]]=4,"Very High")</f>
        <v>LoW</v>
      </c>
      <c r="H343" s="5">
        <v>4</v>
      </c>
      <c r="I343" t="str" cm="1">
        <f t="array" ref="I343">_xlfn.IFS(H343=1,"low",H343=2,"medium",H343=3,"balanced",H343=4,"Good")</f>
        <v>Good</v>
      </c>
    </row>
    <row r="344" spans="1:9" x14ac:dyDescent="0.3">
      <c r="A344" s="14">
        <v>3</v>
      </c>
      <c r="B344" t="str" cm="1">
        <f t="array" ref="B344">_xlfn.IFS(Datasets!Q344=1,"LoW",Table1[[#This Row],[JobSatisfaction]]=2,"Medium",Table1[[#This Row],[JobSatisfaction]]=3,"High",Table1[[#This Row],[JobSatisfaction]]=4,"Very High")</f>
        <v>High</v>
      </c>
      <c r="H344" s="5">
        <v>3</v>
      </c>
      <c r="I344" t="str" cm="1">
        <f t="array" ref="I344">_xlfn.IFS(H344=1,"low",H344=2,"medium",H344=3,"balanced",H344=4,"Good")</f>
        <v>balanced</v>
      </c>
    </row>
    <row r="345" spans="1:9" x14ac:dyDescent="0.3">
      <c r="A345" s="13">
        <v>1</v>
      </c>
      <c r="B345" t="str" cm="1">
        <f t="array" ref="B345">_xlfn.IFS(Datasets!Q345=1,"LoW",Table1[[#This Row],[JobSatisfaction]]=2,"Medium",Table1[[#This Row],[JobSatisfaction]]=3,"High",Table1[[#This Row],[JobSatisfaction]]=4,"Very High")</f>
        <v>LoW</v>
      </c>
      <c r="H345" s="5">
        <v>3</v>
      </c>
      <c r="I345" t="str" cm="1">
        <f t="array" ref="I345">_xlfn.IFS(H345=1,"low",H345=2,"medium",H345=3,"balanced",H345=4,"Good")</f>
        <v>balanced</v>
      </c>
    </row>
    <row r="346" spans="1:9" x14ac:dyDescent="0.3">
      <c r="A346" s="14">
        <v>4</v>
      </c>
      <c r="B346" t="str" cm="1">
        <f t="array" ref="B346">_xlfn.IFS(Datasets!Q346=1,"LoW",Table1[[#This Row],[JobSatisfaction]]=2,"Medium",Table1[[#This Row],[JobSatisfaction]]=3,"High",Table1[[#This Row],[JobSatisfaction]]=4,"Very High")</f>
        <v>Very High</v>
      </c>
      <c r="H346" s="5">
        <v>3</v>
      </c>
      <c r="I346" t="str" cm="1">
        <f t="array" ref="I346">_xlfn.IFS(H346=1,"low",H346=2,"medium",H346=3,"balanced",H346=4,"Good")</f>
        <v>balanced</v>
      </c>
    </row>
    <row r="347" spans="1:9" x14ac:dyDescent="0.3">
      <c r="A347" s="13">
        <v>2</v>
      </c>
      <c r="B347" t="str" cm="1">
        <f t="array" ref="B347">_xlfn.IFS(Datasets!Q347=1,"LoW",Table1[[#This Row],[JobSatisfaction]]=2,"Medium",Table1[[#This Row],[JobSatisfaction]]=3,"High",Table1[[#This Row],[JobSatisfaction]]=4,"Very High")</f>
        <v>Medium</v>
      </c>
      <c r="H347" s="5">
        <v>4</v>
      </c>
      <c r="I347" t="str" cm="1">
        <f t="array" ref="I347">_xlfn.IFS(H347=1,"low",H347=2,"medium",H347=3,"balanced",H347=4,"Good")</f>
        <v>Good</v>
      </c>
    </row>
    <row r="348" spans="1:9" x14ac:dyDescent="0.3">
      <c r="A348" s="14">
        <v>2</v>
      </c>
      <c r="B348" t="str" cm="1">
        <f t="array" ref="B348">_xlfn.IFS(Datasets!Q348=1,"LoW",Table1[[#This Row],[JobSatisfaction]]=2,"Medium",Table1[[#This Row],[JobSatisfaction]]=3,"High",Table1[[#This Row],[JobSatisfaction]]=4,"Very High")</f>
        <v>Medium</v>
      </c>
      <c r="H348" s="5">
        <v>3</v>
      </c>
      <c r="I348" t="str" cm="1">
        <f t="array" ref="I348">_xlfn.IFS(H348=1,"low",H348=2,"medium",H348=3,"balanced",H348=4,"Good")</f>
        <v>balanced</v>
      </c>
    </row>
    <row r="349" spans="1:9" x14ac:dyDescent="0.3">
      <c r="A349" s="13">
        <v>3</v>
      </c>
      <c r="B349" t="str" cm="1">
        <f t="array" ref="B349">_xlfn.IFS(Datasets!Q349=1,"LoW",Table1[[#This Row],[JobSatisfaction]]=2,"Medium",Table1[[#This Row],[JobSatisfaction]]=3,"High",Table1[[#This Row],[JobSatisfaction]]=4,"Very High")</f>
        <v>High</v>
      </c>
      <c r="H349" s="5">
        <v>2</v>
      </c>
      <c r="I349" t="str" cm="1">
        <f t="array" ref="I349">_xlfn.IFS(H349=1,"low",H349=2,"medium",H349=3,"balanced",H349=4,"Good")</f>
        <v>medium</v>
      </c>
    </row>
    <row r="350" spans="1:9" x14ac:dyDescent="0.3">
      <c r="A350" s="14">
        <v>3</v>
      </c>
      <c r="B350" t="str" cm="1">
        <f t="array" ref="B350">_xlfn.IFS(Datasets!Q350=1,"LoW",Table1[[#This Row],[JobSatisfaction]]=2,"Medium",Table1[[#This Row],[JobSatisfaction]]=3,"High",Table1[[#This Row],[JobSatisfaction]]=4,"Very High")</f>
        <v>High</v>
      </c>
      <c r="H350" s="5">
        <v>4</v>
      </c>
      <c r="I350" t="str" cm="1">
        <f t="array" ref="I350">_xlfn.IFS(H350=1,"low",H350=2,"medium",H350=3,"balanced",H350=4,"Good")</f>
        <v>Good</v>
      </c>
    </row>
    <row r="351" spans="1:9" x14ac:dyDescent="0.3">
      <c r="A351" s="13">
        <v>3</v>
      </c>
      <c r="B351" t="str" cm="1">
        <f t="array" ref="B351">_xlfn.IFS(Datasets!Q351=1,"LoW",Table1[[#This Row],[JobSatisfaction]]=2,"Medium",Table1[[#This Row],[JobSatisfaction]]=3,"High",Table1[[#This Row],[JobSatisfaction]]=4,"Very High")</f>
        <v>High</v>
      </c>
      <c r="H351" s="5">
        <v>3</v>
      </c>
      <c r="I351" t="str" cm="1">
        <f t="array" ref="I351">_xlfn.IFS(H351=1,"low",H351=2,"medium",H351=3,"balanced",H351=4,"Good")</f>
        <v>balanced</v>
      </c>
    </row>
    <row r="352" spans="1:9" x14ac:dyDescent="0.3">
      <c r="A352" s="14">
        <v>4</v>
      </c>
      <c r="B352" t="str" cm="1">
        <f t="array" ref="B352">_xlfn.IFS(Datasets!Q352=1,"LoW",Table1[[#This Row],[JobSatisfaction]]=2,"Medium",Table1[[#This Row],[JobSatisfaction]]=3,"High",Table1[[#This Row],[JobSatisfaction]]=4,"Very High")</f>
        <v>Very High</v>
      </c>
      <c r="H352" s="5">
        <v>3</v>
      </c>
      <c r="I352" t="str" cm="1">
        <f t="array" ref="I352">_xlfn.IFS(H352=1,"low",H352=2,"medium",H352=3,"balanced",H352=4,"Good")</f>
        <v>balanced</v>
      </c>
    </row>
    <row r="353" spans="1:9" x14ac:dyDescent="0.3">
      <c r="A353" s="13">
        <v>2</v>
      </c>
      <c r="B353" t="str" cm="1">
        <f t="array" ref="B353">_xlfn.IFS(Datasets!Q353=1,"LoW",Table1[[#This Row],[JobSatisfaction]]=2,"Medium",Table1[[#This Row],[JobSatisfaction]]=3,"High",Table1[[#This Row],[JobSatisfaction]]=4,"Very High")</f>
        <v>Medium</v>
      </c>
      <c r="H353" s="5">
        <v>3</v>
      </c>
      <c r="I353" t="str" cm="1">
        <f t="array" ref="I353">_xlfn.IFS(H353=1,"low",H353=2,"medium",H353=3,"balanced",H353=4,"Good")</f>
        <v>balanced</v>
      </c>
    </row>
    <row r="354" spans="1:9" x14ac:dyDescent="0.3">
      <c r="A354" s="14">
        <v>1</v>
      </c>
      <c r="B354" t="str" cm="1">
        <f t="array" ref="B354">_xlfn.IFS(Datasets!Q354=1,"LoW",Table1[[#This Row],[JobSatisfaction]]=2,"Medium",Table1[[#This Row],[JobSatisfaction]]=3,"High",Table1[[#This Row],[JobSatisfaction]]=4,"Very High")</f>
        <v>LoW</v>
      </c>
      <c r="H354" s="5">
        <v>2</v>
      </c>
      <c r="I354" t="str" cm="1">
        <f t="array" ref="I354">_xlfn.IFS(H354=1,"low",H354=2,"medium",H354=3,"balanced",H354=4,"Good")</f>
        <v>medium</v>
      </c>
    </row>
    <row r="355" spans="1:9" x14ac:dyDescent="0.3">
      <c r="A355" s="13">
        <v>3</v>
      </c>
      <c r="B355" t="str" cm="1">
        <f t="array" ref="B355">_xlfn.IFS(Datasets!Q355=1,"LoW",Table1[[#This Row],[JobSatisfaction]]=2,"Medium",Table1[[#This Row],[JobSatisfaction]]=3,"High",Table1[[#This Row],[JobSatisfaction]]=4,"Very High")</f>
        <v>High</v>
      </c>
      <c r="H355" s="5">
        <v>3</v>
      </c>
      <c r="I355" t="str" cm="1">
        <f t="array" ref="I355">_xlfn.IFS(H355=1,"low",H355=2,"medium",H355=3,"balanced",H355=4,"Good")</f>
        <v>balanced</v>
      </c>
    </row>
    <row r="356" spans="1:9" x14ac:dyDescent="0.3">
      <c r="A356" s="14">
        <v>4</v>
      </c>
      <c r="B356" t="str" cm="1">
        <f t="array" ref="B356">_xlfn.IFS(Datasets!Q356=1,"LoW",Table1[[#This Row],[JobSatisfaction]]=2,"Medium",Table1[[#This Row],[JobSatisfaction]]=3,"High",Table1[[#This Row],[JobSatisfaction]]=4,"Very High")</f>
        <v>Very High</v>
      </c>
      <c r="H356" s="5">
        <v>2</v>
      </c>
      <c r="I356" t="str" cm="1">
        <f t="array" ref="I356">_xlfn.IFS(H356=1,"low",H356=2,"medium",H356=3,"balanced",H356=4,"Good")</f>
        <v>medium</v>
      </c>
    </row>
    <row r="357" spans="1:9" x14ac:dyDescent="0.3">
      <c r="A357" s="13">
        <v>2</v>
      </c>
      <c r="B357" t="str" cm="1">
        <f t="array" ref="B357">_xlfn.IFS(Datasets!Q357=1,"LoW",Table1[[#This Row],[JobSatisfaction]]=2,"Medium",Table1[[#This Row],[JobSatisfaction]]=3,"High",Table1[[#This Row],[JobSatisfaction]]=4,"Very High")</f>
        <v>Medium</v>
      </c>
      <c r="H357" s="5">
        <v>3</v>
      </c>
      <c r="I357" t="str" cm="1">
        <f t="array" ref="I357">_xlfn.IFS(H357=1,"low",H357=2,"medium",H357=3,"balanced",H357=4,"Good")</f>
        <v>balanced</v>
      </c>
    </row>
    <row r="358" spans="1:9" x14ac:dyDescent="0.3">
      <c r="A358" s="14">
        <v>1</v>
      </c>
      <c r="B358" t="str" cm="1">
        <f t="array" ref="B358">_xlfn.IFS(Datasets!Q358=1,"LoW",Table1[[#This Row],[JobSatisfaction]]=2,"Medium",Table1[[#This Row],[JobSatisfaction]]=3,"High",Table1[[#This Row],[JobSatisfaction]]=4,"Very High")</f>
        <v>LoW</v>
      </c>
      <c r="H358" s="5">
        <v>2</v>
      </c>
      <c r="I358" t="str" cm="1">
        <f t="array" ref="I358">_xlfn.IFS(H358=1,"low",H358=2,"medium",H358=3,"balanced",H358=4,"Good")</f>
        <v>medium</v>
      </c>
    </row>
    <row r="359" spans="1:9" x14ac:dyDescent="0.3">
      <c r="A359" s="13">
        <v>4</v>
      </c>
      <c r="B359" t="str" cm="1">
        <f t="array" ref="B359">_xlfn.IFS(Datasets!Q359=1,"LoW",Table1[[#This Row],[JobSatisfaction]]=2,"Medium",Table1[[#This Row],[JobSatisfaction]]=3,"High",Table1[[#This Row],[JobSatisfaction]]=4,"Very High")</f>
        <v>Very High</v>
      </c>
      <c r="H359" s="5">
        <v>3</v>
      </c>
      <c r="I359" t="str" cm="1">
        <f t="array" ref="I359">_xlfn.IFS(H359=1,"low",H359=2,"medium",H359=3,"balanced",H359=4,"Good")</f>
        <v>balanced</v>
      </c>
    </row>
    <row r="360" spans="1:9" x14ac:dyDescent="0.3">
      <c r="A360" s="14">
        <v>4</v>
      </c>
      <c r="B360" t="str" cm="1">
        <f t="array" ref="B360">_xlfn.IFS(Datasets!Q360=1,"LoW",Table1[[#This Row],[JobSatisfaction]]=2,"Medium",Table1[[#This Row],[JobSatisfaction]]=3,"High",Table1[[#This Row],[JobSatisfaction]]=4,"Very High")</f>
        <v>Very High</v>
      </c>
      <c r="H360" s="5">
        <v>2</v>
      </c>
      <c r="I360" t="str" cm="1">
        <f t="array" ref="I360">_xlfn.IFS(H360=1,"low",H360=2,"medium",H360=3,"balanced",H360=4,"Good")</f>
        <v>medium</v>
      </c>
    </row>
    <row r="361" spans="1:9" x14ac:dyDescent="0.3">
      <c r="A361" s="13">
        <v>4</v>
      </c>
      <c r="B361" t="str" cm="1">
        <f t="array" ref="B361">_xlfn.IFS(Datasets!Q361=1,"LoW",Table1[[#This Row],[JobSatisfaction]]=2,"Medium",Table1[[#This Row],[JobSatisfaction]]=3,"High",Table1[[#This Row],[JobSatisfaction]]=4,"Very High")</f>
        <v>Very High</v>
      </c>
      <c r="H361" s="5">
        <v>1</v>
      </c>
      <c r="I361" t="str" cm="1">
        <f t="array" ref="I361">_xlfn.IFS(H361=1,"low",H361=2,"medium",H361=3,"balanced",H361=4,"Good")</f>
        <v>low</v>
      </c>
    </row>
    <row r="362" spans="1:9" x14ac:dyDescent="0.3">
      <c r="A362" s="14">
        <v>3</v>
      </c>
      <c r="B362" t="str" cm="1">
        <f t="array" ref="B362">_xlfn.IFS(Datasets!Q362=1,"LoW",Table1[[#This Row],[JobSatisfaction]]=2,"Medium",Table1[[#This Row],[JobSatisfaction]]=3,"High",Table1[[#This Row],[JobSatisfaction]]=4,"Very High")</f>
        <v>High</v>
      </c>
      <c r="H362" s="5">
        <v>3</v>
      </c>
      <c r="I362" t="str" cm="1">
        <f t="array" ref="I362">_xlfn.IFS(H362=1,"low",H362=2,"medium",H362=3,"balanced",H362=4,"Good")</f>
        <v>balanced</v>
      </c>
    </row>
    <row r="363" spans="1:9" x14ac:dyDescent="0.3">
      <c r="A363" s="13">
        <v>4</v>
      </c>
      <c r="B363" t="str" cm="1">
        <f t="array" ref="B363">_xlfn.IFS(Datasets!Q363=1,"LoW",Table1[[#This Row],[JobSatisfaction]]=2,"Medium",Table1[[#This Row],[JobSatisfaction]]=3,"High",Table1[[#This Row],[JobSatisfaction]]=4,"Very High")</f>
        <v>Very High</v>
      </c>
      <c r="H363" s="5">
        <v>3</v>
      </c>
      <c r="I363" t="str" cm="1">
        <f t="array" ref="I363">_xlfn.IFS(H363=1,"low",H363=2,"medium",H363=3,"balanced",H363=4,"Good")</f>
        <v>balanced</v>
      </c>
    </row>
    <row r="364" spans="1:9" x14ac:dyDescent="0.3">
      <c r="A364" s="14">
        <v>3</v>
      </c>
      <c r="B364" t="str" cm="1">
        <f t="array" ref="B364">_xlfn.IFS(Datasets!Q364=1,"LoW",Table1[[#This Row],[JobSatisfaction]]=2,"Medium",Table1[[#This Row],[JobSatisfaction]]=3,"High",Table1[[#This Row],[JobSatisfaction]]=4,"Very High")</f>
        <v>High</v>
      </c>
      <c r="H364" s="5">
        <v>2</v>
      </c>
      <c r="I364" t="str" cm="1">
        <f t="array" ref="I364">_xlfn.IFS(H364=1,"low",H364=2,"medium",H364=3,"balanced",H364=4,"Good")</f>
        <v>medium</v>
      </c>
    </row>
    <row r="365" spans="1:9" x14ac:dyDescent="0.3">
      <c r="A365" s="13">
        <v>2</v>
      </c>
      <c r="B365" t="str" cm="1">
        <f t="array" ref="B365">_xlfn.IFS(Datasets!Q365=1,"LoW",Table1[[#This Row],[JobSatisfaction]]=2,"Medium",Table1[[#This Row],[JobSatisfaction]]=3,"High",Table1[[#This Row],[JobSatisfaction]]=4,"Very High")</f>
        <v>Medium</v>
      </c>
      <c r="H365" s="5">
        <v>3</v>
      </c>
      <c r="I365" t="str" cm="1">
        <f t="array" ref="I365">_xlfn.IFS(H365=1,"low",H365=2,"medium",H365=3,"balanced",H365=4,"Good")</f>
        <v>balanced</v>
      </c>
    </row>
    <row r="366" spans="1:9" x14ac:dyDescent="0.3">
      <c r="A366" s="14">
        <v>4</v>
      </c>
      <c r="B366" t="str" cm="1">
        <f t="array" ref="B366">_xlfn.IFS(Datasets!Q366=1,"LoW",Table1[[#This Row],[JobSatisfaction]]=2,"Medium",Table1[[#This Row],[JobSatisfaction]]=3,"High",Table1[[#This Row],[JobSatisfaction]]=4,"Very High")</f>
        <v>Very High</v>
      </c>
      <c r="H366" s="5">
        <v>2</v>
      </c>
      <c r="I366" t="str" cm="1">
        <f t="array" ref="I366">_xlfn.IFS(H366=1,"low",H366=2,"medium",H366=3,"balanced",H366=4,"Good")</f>
        <v>medium</v>
      </c>
    </row>
    <row r="367" spans="1:9" x14ac:dyDescent="0.3">
      <c r="A367" s="13">
        <v>3</v>
      </c>
      <c r="B367" t="str" cm="1">
        <f t="array" ref="B367">_xlfn.IFS(Datasets!Q367=1,"LoW",Table1[[#This Row],[JobSatisfaction]]=2,"Medium",Table1[[#This Row],[JobSatisfaction]]=3,"High",Table1[[#This Row],[JobSatisfaction]]=4,"Very High")</f>
        <v>High</v>
      </c>
      <c r="H367" s="5">
        <v>3</v>
      </c>
      <c r="I367" t="str" cm="1">
        <f t="array" ref="I367">_xlfn.IFS(H367=1,"low",H367=2,"medium",H367=3,"balanced",H367=4,"Good")</f>
        <v>balanced</v>
      </c>
    </row>
    <row r="368" spans="1:9" x14ac:dyDescent="0.3">
      <c r="A368" s="14">
        <v>3</v>
      </c>
      <c r="B368" t="str" cm="1">
        <f t="array" ref="B368">_xlfn.IFS(Datasets!Q368=1,"LoW",Table1[[#This Row],[JobSatisfaction]]=2,"Medium",Table1[[#This Row],[JobSatisfaction]]=3,"High",Table1[[#This Row],[JobSatisfaction]]=4,"Very High")</f>
        <v>High</v>
      </c>
      <c r="H368" s="5">
        <v>4</v>
      </c>
      <c r="I368" t="str" cm="1">
        <f t="array" ref="I368">_xlfn.IFS(H368=1,"low",H368=2,"medium",H368=3,"balanced",H368=4,"Good")</f>
        <v>Good</v>
      </c>
    </row>
    <row r="369" spans="1:9" x14ac:dyDescent="0.3">
      <c r="A369" s="13">
        <v>3</v>
      </c>
      <c r="B369" t="str" cm="1">
        <f t="array" ref="B369">_xlfn.IFS(Datasets!Q369=1,"LoW",Table1[[#This Row],[JobSatisfaction]]=2,"Medium",Table1[[#This Row],[JobSatisfaction]]=3,"High",Table1[[#This Row],[JobSatisfaction]]=4,"Very High")</f>
        <v>High</v>
      </c>
      <c r="H369" s="5">
        <v>2</v>
      </c>
      <c r="I369" t="str" cm="1">
        <f t="array" ref="I369">_xlfn.IFS(H369=1,"low",H369=2,"medium",H369=3,"balanced",H369=4,"Good")</f>
        <v>medium</v>
      </c>
    </row>
    <row r="370" spans="1:9" x14ac:dyDescent="0.3">
      <c r="A370" s="14">
        <v>4</v>
      </c>
      <c r="B370" t="str" cm="1">
        <f t="array" ref="B370">_xlfn.IFS(Datasets!Q370=1,"LoW",Table1[[#This Row],[JobSatisfaction]]=2,"Medium",Table1[[#This Row],[JobSatisfaction]]=3,"High",Table1[[#This Row],[JobSatisfaction]]=4,"Very High")</f>
        <v>Very High</v>
      </c>
      <c r="H370" s="5">
        <v>2</v>
      </c>
      <c r="I370" t="str" cm="1">
        <f t="array" ref="I370">_xlfn.IFS(H370=1,"low",H370=2,"medium",H370=3,"balanced",H370=4,"Good")</f>
        <v>medium</v>
      </c>
    </row>
    <row r="371" spans="1:9" x14ac:dyDescent="0.3">
      <c r="A371" s="13">
        <v>4</v>
      </c>
      <c r="B371" t="str" cm="1">
        <f t="array" ref="B371">_xlfn.IFS(Datasets!Q371=1,"LoW",Table1[[#This Row],[JobSatisfaction]]=2,"Medium",Table1[[#This Row],[JobSatisfaction]]=3,"High",Table1[[#This Row],[JobSatisfaction]]=4,"Very High")</f>
        <v>Very High</v>
      </c>
      <c r="H371" s="5">
        <v>3</v>
      </c>
      <c r="I371" t="str" cm="1">
        <f t="array" ref="I371">_xlfn.IFS(H371=1,"low",H371=2,"medium",H371=3,"balanced",H371=4,"Good")</f>
        <v>balanced</v>
      </c>
    </row>
    <row r="372" spans="1:9" x14ac:dyDescent="0.3">
      <c r="A372" s="14">
        <v>4</v>
      </c>
      <c r="B372" t="str" cm="1">
        <f t="array" ref="B372">_xlfn.IFS(Datasets!Q372=1,"LoW",Table1[[#This Row],[JobSatisfaction]]=2,"Medium",Table1[[#This Row],[JobSatisfaction]]=3,"High",Table1[[#This Row],[JobSatisfaction]]=4,"Very High")</f>
        <v>Very High</v>
      </c>
      <c r="H372" s="5">
        <v>3</v>
      </c>
      <c r="I372" t="str" cm="1">
        <f t="array" ref="I372">_xlfn.IFS(H372=1,"low",H372=2,"medium",H372=3,"balanced",H372=4,"Good")</f>
        <v>balanced</v>
      </c>
    </row>
    <row r="373" spans="1:9" x14ac:dyDescent="0.3">
      <c r="A373" s="13">
        <v>4</v>
      </c>
      <c r="B373" t="str" cm="1">
        <f t="array" ref="B373">_xlfn.IFS(Datasets!Q373=1,"LoW",Table1[[#This Row],[JobSatisfaction]]=2,"Medium",Table1[[#This Row],[JobSatisfaction]]=3,"High",Table1[[#This Row],[JobSatisfaction]]=4,"Very High")</f>
        <v>Very High</v>
      </c>
      <c r="H373" s="5">
        <v>3</v>
      </c>
      <c r="I373" t="str" cm="1">
        <f t="array" ref="I373">_xlfn.IFS(H373=1,"low",H373=2,"medium",H373=3,"balanced",H373=4,"Good")</f>
        <v>balanced</v>
      </c>
    </row>
    <row r="374" spans="1:9" x14ac:dyDescent="0.3">
      <c r="A374" s="14">
        <v>3</v>
      </c>
      <c r="B374" t="str" cm="1">
        <f t="array" ref="B374">_xlfn.IFS(Datasets!Q374=1,"LoW",Table1[[#This Row],[JobSatisfaction]]=2,"Medium",Table1[[#This Row],[JobSatisfaction]]=3,"High",Table1[[#This Row],[JobSatisfaction]]=4,"Very High")</f>
        <v>High</v>
      </c>
      <c r="H374" s="5">
        <v>2</v>
      </c>
      <c r="I374" t="str" cm="1">
        <f t="array" ref="I374">_xlfn.IFS(H374=1,"low",H374=2,"medium",H374=3,"balanced",H374=4,"Good")</f>
        <v>medium</v>
      </c>
    </row>
    <row r="375" spans="1:9" x14ac:dyDescent="0.3">
      <c r="A375" s="13">
        <v>4</v>
      </c>
      <c r="B375" t="str" cm="1">
        <f t="array" ref="B375">_xlfn.IFS(Datasets!Q375=1,"LoW",Table1[[#This Row],[JobSatisfaction]]=2,"Medium",Table1[[#This Row],[JobSatisfaction]]=3,"High",Table1[[#This Row],[JobSatisfaction]]=4,"Very High")</f>
        <v>Very High</v>
      </c>
      <c r="H375" s="5">
        <v>2</v>
      </c>
      <c r="I375" t="str" cm="1">
        <f t="array" ref="I375">_xlfn.IFS(H375=1,"low",H375=2,"medium",H375=3,"balanced",H375=4,"Good")</f>
        <v>medium</v>
      </c>
    </row>
    <row r="376" spans="1:9" x14ac:dyDescent="0.3">
      <c r="A376" s="14">
        <v>3</v>
      </c>
      <c r="B376" t="str" cm="1">
        <f t="array" ref="B376">_xlfn.IFS(Datasets!Q376=1,"LoW",Table1[[#This Row],[JobSatisfaction]]=2,"Medium",Table1[[#This Row],[JobSatisfaction]]=3,"High",Table1[[#This Row],[JobSatisfaction]]=4,"Very High")</f>
        <v>High</v>
      </c>
      <c r="H376" s="5">
        <v>3</v>
      </c>
      <c r="I376" t="str" cm="1">
        <f t="array" ref="I376">_xlfn.IFS(H376=1,"low",H376=2,"medium",H376=3,"balanced",H376=4,"Good")</f>
        <v>balanced</v>
      </c>
    </row>
    <row r="377" spans="1:9" x14ac:dyDescent="0.3">
      <c r="A377" s="13">
        <v>3</v>
      </c>
      <c r="B377" t="str" cm="1">
        <f t="array" ref="B377">_xlfn.IFS(Datasets!Q377=1,"LoW",Table1[[#This Row],[JobSatisfaction]]=2,"Medium",Table1[[#This Row],[JobSatisfaction]]=3,"High",Table1[[#This Row],[JobSatisfaction]]=4,"Very High")</f>
        <v>High</v>
      </c>
      <c r="H377" s="5">
        <v>2</v>
      </c>
      <c r="I377" t="str" cm="1">
        <f t="array" ref="I377">_xlfn.IFS(H377=1,"low",H377=2,"medium",H377=3,"balanced",H377=4,"Good")</f>
        <v>medium</v>
      </c>
    </row>
    <row r="378" spans="1:9" x14ac:dyDescent="0.3">
      <c r="A378" s="14">
        <v>3</v>
      </c>
      <c r="B378" t="str" cm="1">
        <f t="array" ref="B378">_xlfn.IFS(Datasets!Q378=1,"LoW",Table1[[#This Row],[JobSatisfaction]]=2,"Medium",Table1[[#This Row],[JobSatisfaction]]=3,"High",Table1[[#This Row],[JobSatisfaction]]=4,"Very High")</f>
        <v>High</v>
      </c>
      <c r="H378" s="5">
        <v>3</v>
      </c>
      <c r="I378" t="str" cm="1">
        <f t="array" ref="I378">_xlfn.IFS(H378=1,"low",H378=2,"medium",H378=3,"balanced",H378=4,"Good")</f>
        <v>balanced</v>
      </c>
    </row>
    <row r="379" spans="1:9" x14ac:dyDescent="0.3">
      <c r="A379" s="13">
        <v>3</v>
      </c>
      <c r="B379" t="str" cm="1">
        <f t="array" ref="B379">_xlfn.IFS(Datasets!Q379=1,"LoW",Table1[[#This Row],[JobSatisfaction]]=2,"Medium",Table1[[#This Row],[JobSatisfaction]]=3,"High",Table1[[#This Row],[JobSatisfaction]]=4,"Very High")</f>
        <v>High</v>
      </c>
      <c r="H379" s="5">
        <v>3</v>
      </c>
      <c r="I379" t="str" cm="1">
        <f t="array" ref="I379">_xlfn.IFS(H379=1,"low",H379=2,"medium",H379=3,"balanced",H379=4,"Good")</f>
        <v>balanced</v>
      </c>
    </row>
    <row r="380" spans="1:9" x14ac:dyDescent="0.3">
      <c r="A380" s="14">
        <v>1</v>
      </c>
      <c r="B380" t="str" cm="1">
        <f t="array" ref="B380">_xlfn.IFS(Datasets!Q380=1,"LoW",Table1[[#This Row],[JobSatisfaction]]=2,"Medium",Table1[[#This Row],[JobSatisfaction]]=3,"High",Table1[[#This Row],[JobSatisfaction]]=4,"Very High")</f>
        <v>LoW</v>
      </c>
      <c r="H380" s="5">
        <v>1</v>
      </c>
      <c r="I380" t="str" cm="1">
        <f t="array" ref="I380">_xlfn.IFS(H380=1,"low",H380=2,"medium",H380=3,"balanced",H380=4,"Good")</f>
        <v>low</v>
      </c>
    </row>
    <row r="381" spans="1:9" x14ac:dyDescent="0.3">
      <c r="A381" s="13">
        <v>1</v>
      </c>
      <c r="B381" t="str" cm="1">
        <f t="array" ref="B381">_xlfn.IFS(Datasets!Q381=1,"LoW",Table1[[#This Row],[JobSatisfaction]]=2,"Medium",Table1[[#This Row],[JobSatisfaction]]=3,"High",Table1[[#This Row],[JobSatisfaction]]=4,"Very High")</f>
        <v>LoW</v>
      </c>
      <c r="H381" s="5">
        <v>3</v>
      </c>
      <c r="I381" t="str" cm="1">
        <f t="array" ref="I381">_xlfn.IFS(H381=1,"low",H381=2,"medium",H381=3,"balanced",H381=4,"Good")</f>
        <v>balanced</v>
      </c>
    </row>
    <row r="382" spans="1:9" x14ac:dyDescent="0.3">
      <c r="A382" s="14">
        <v>1</v>
      </c>
      <c r="B382" t="str" cm="1">
        <f t="array" ref="B382">_xlfn.IFS(Datasets!Q382=1,"LoW",Table1[[#This Row],[JobSatisfaction]]=2,"Medium",Table1[[#This Row],[JobSatisfaction]]=3,"High",Table1[[#This Row],[JobSatisfaction]]=4,"Very High")</f>
        <v>LoW</v>
      </c>
      <c r="H382" s="5">
        <v>3</v>
      </c>
      <c r="I382" t="str" cm="1">
        <f t="array" ref="I382">_xlfn.IFS(H382=1,"low",H382=2,"medium",H382=3,"balanced",H382=4,"Good")</f>
        <v>balanced</v>
      </c>
    </row>
    <row r="383" spans="1:9" x14ac:dyDescent="0.3">
      <c r="A383" s="13">
        <v>1</v>
      </c>
      <c r="B383" t="str" cm="1">
        <f t="array" ref="B383">_xlfn.IFS(Datasets!Q383=1,"LoW",Table1[[#This Row],[JobSatisfaction]]=2,"Medium",Table1[[#This Row],[JobSatisfaction]]=3,"High",Table1[[#This Row],[JobSatisfaction]]=4,"Very High")</f>
        <v>LoW</v>
      </c>
      <c r="H383" s="5">
        <v>3</v>
      </c>
      <c r="I383" t="str" cm="1">
        <f t="array" ref="I383">_xlfn.IFS(H383=1,"low",H383=2,"medium",H383=3,"balanced",H383=4,"Good")</f>
        <v>balanced</v>
      </c>
    </row>
    <row r="384" spans="1:9" x14ac:dyDescent="0.3">
      <c r="A384" s="14">
        <v>3</v>
      </c>
      <c r="B384" t="str" cm="1">
        <f t="array" ref="B384">_xlfn.IFS(Datasets!Q384=1,"LoW",Table1[[#This Row],[JobSatisfaction]]=2,"Medium",Table1[[#This Row],[JobSatisfaction]]=3,"High",Table1[[#This Row],[JobSatisfaction]]=4,"Very High")</f>
        <v>High</v>
      </c>
      <c r="H384" s="5">
        <v>3</v>
      </c>
      <c r="I384" t="str" cm="1">
        <f t="array" ref="I384">_xlfn.IFS(H384=1,"low",H384=2,"medium",H384=3,"balanced",H384=4,"Good")</f>
        <v>balanced</v>
      </c>
    </row>
    <row r="385" spans="1:9" x14ac:dyDescent="0.3">
      <c r="A385" s="13">
        <v>4</v>
      </c>
      <c r="B385" t="str" cm="1">
        <f t="array" ref="B385">_xlfn.IFS(Datasets!Q385=1,"LoW",Table1[[#This Row],[JobSatisfaction]]=2,"Medium",Table1[[#This Row],[JobSatisfaction]]=3,"High",Table1[[#This Row],[JobSatisfaction]]=4,"Very High")</f>
        <v>Very High</v>
      </c>
      <c r="H385" s="5">
        <v>1</v>
      </c>
      <c r="I385" t="str" cm="1">
        <f t="array" ref="I385">_xlfn.IFS(H385=1,"low",H385=2,"medium",H385=3,"balanced",H385=4,"Good")</f>
        <v>low</v>
      </c>
    </row>
    <row r="386" spans="1:9" x14ac:dyDescent="0.3">
      <c r="A386" s="14">
        <v>4</v>
      </c>
      <c r="B386" t="str" cm="1">
        <f t="array" ref="B386">_xlfn.IFS(Datasets!Q386=1,"LoW",Table1[[#This Row],[JobSatisfaction]]=2,"Medium",Table1[[#This Row],[JobSatisfaction]]=3,"High",Table1[[#This Row],[JobSatisfaction]]=4,"Very High")</f>
        <v>Very High</v>
      </c>
      <c r="H386" s="5">
        <v>3</v>
      </c>
      <c r="I386" t="str" cm="1">
        <f t="array" ref="I386">_xlfn.IFS(H386=1,"low",H386=2,"medium",H386=3,"balanced",H386=4,"Good")</f>
        <v>balanced</v>
      </c>
    </row>
    <row r="387" spans="1:9" x14ac:dyDescent="0.3">
      <c r="A387" s="13">
        <v>1</v>
      </c>
      <c r="B387" t="str" cm="1">
        <f t="array" ref="B387">_xlfn.IFS(Datasets!Q387=1,"LoW",Table1[[#This Row],[JobSatisfaction]]=2,"Medium",Table1[[#This Row],[JobSatisfaction]]=3,"High",Table1[[#This Row],[JobSatisfaction]]=4,"Very High")</f>
        <v>LoW</v>
      </c>
      <c r="H387" s="5">
        <v>3</v>
      </c>
      <c r="I387" t="str" cm="1">
        <f t="array" ref="I387">_xlfn.IFS(H387=1,"low",H387=2,"medium",H387=3,"balanced",H387=4,"Good")</f>
        <v>balanced</v>
      </c>
    </row>
    <row r="388" spans="1:9" x14ac:dyDescent="0.3">
      <c r="A388" s="14">
        <v>3</v>
      </c>
      <c r="B388" t="str" cm="1">
        <f t="array" ref="B388">_xlfn.IFS(Datasets!Q388=1,"LoW",Table1[[#This Row],[JobSatisfaction]]=2,"Medium",Table1[[#This Row],[JobSatisfaction]]=3,"High",Table1[[#This Row],[JobSatisfaction]]=4,"Very High")</f>
        <v>High</v>
      </c>
      <c r="H388" s="5">
        <v>3</v>
      </c>
      <c r="I388" t="str" cm="1">
        <f t="array" ref="I388">_xlfn.IFS(H388=1,"low",H388=2,"medium",H388=3,"balanced",H388=4,"Good")</f>
        <v>balanced</v>
      </c>
    </row>
    <row r="389" spans="1:9" x14ac:dyDescent="0.3">
      <c r="A389" s="13">
        <v>3</v>
      </c>
      <c r="B389" t="str" cm="1">
        <f t="array" ref="B389">_xlfn.IFS(Datasets!Q389=1,"LoW",Table1[[#This Row],[JobSatisfaction]]=2,"Medium",Table1[[#This Row],[JobSatisfaction]]=3,"High",Table1[[#This Row],[JobSatisfaction]]=4,"Very High")</f>
        <v>High</v>
      </c>
      <c r="H389" s="5">
        <v>3</v>
      </c>
      <c r="I389" t="str" cm="1">
        <f t="array" ref="I389">_xlfn.IFS(H389=1,"low",H389=2,"medium",H389=3,"balanced",H389=4,"Good")</f>
        <v>balanced</v>
      </c>
    </row>
    <row r="390" spans="1:9" x14ac:dyDescent="0.3">
      <c r="A390" s="14">
        <v>4</v>
      </c>
      <c r="B390" t="str" cm="1">
        <f t="array" ref="B390">_xlfn.IFS(Datasets!Q390=1,"LoW",Table1[[#This Row],[JobSatisfaction]]=2,"Medium",Table1[[#This Row],[JobSatisfaction]]=3,"High",Table1[[#This Row],[JobSatisfaction]]=4,"Very High")</f>
        <v>Very High</v>
      </c>
      <c r="H390" s="5">
        <v>3</v>
      </c>
      <c r="I390" t="str" cm="1">
        <f t="array" ref="I390">_xlfn.IFS(H390=1,"low",H390=2,"medium",H390=3,"balanced",H390=4,"Good")</f>
        <v>balanced</v>
      </c>
    </row>
    <row r="391" spans="1:9" x14ac:dyDescent="0.3">
      <c r="A391" s="13">
        <v>4</v>
      </c>
      <c r="B391" t="str" cm="1">
        <f t="array" ref="B391">_xlfn.IFS(Datasets!Q391=1,"LoW",Table1[[#This Row],[JobSatisfaction]]=2,"Medium",Table1[[#This Row],[JobSatisfaction]]=3,"High",Table1[[#This Row],[JobSatisfaction]]=4,"Very High")</f>
        <v>Very High</v>
      </c>
      <c r="H391" s="5">
        <v>3</v>
      </c>
      <c r="I391" t="str" cm="1">
        <f t="array" ref="I391">_xlfn.IFS(H391=1,"low",H391=2,"medium",H391=3,"balanced",H391=4,"Good")</f>
        <v>balanced</v>
      </c>
    </row>
    <row r="392" spans="1:9" x14ac:dyDescent="0.3">
      <c r="A392" s="14">
        <v>2</v>
      </c>
      <c r="B392" t="str" cm="1">
        <f t="array" ref="B392">_xlfn.IFS(Datasets!Q392=1,"LoW",Table1[[#This Row],[JobSatisfaction]]=2,"Medium",Table1[[#This Row],[JobSatisfaction]]=3,"High",Table1[[#This Row],[JobSatisfaction]]=4,"Very High")</f>
        <v>Medium</v>
      </c>
      <c r="H392" s="5">
        <v>3</v>
      </c>
      <c r="I392" t="str" cm="1">
        <f t="array" ref="I392">_xlfn.IFS(H392=1,"low",H392=2,"medium",H392=3,"balanced",H392=4,"Good")</f>
        <v>balanced</v>
      </c>
    </row>
    <row r="393" spans="1:9" x14ac:dyDescent="0.3">
      <c r="A393" s="13">
        <v>2</v>
      </c>
      <c r="B393" t="str" cm="1">
        <f t="array" ref="B393">_xlfn.IFS(Datasets!Q393=1,"LoW",Table1[[#This Row],[JobSatisfaction]]=2,"Medium",Table1[[#This Row],[JobSatisfaction]]=3,"High",Table1[[#This Row],[JobSatisfaction]]=4,"Very High")</f>
        <v>Medium</v>
      </c>
      <c r="H393" s="5">
        <v>3</v>
      </c>
      <c r="I393" t="str" cm="1">
        <f t="array" ref="I393">_xlfn.IFS(H393=1,"low",H393=2,"medium",H393=3,"balanced",H393=4,"Good")</f>
        <v>balanced</v>
      </c>
    </row>
    <row r="394" spans="1:9" x14ac:dyDescent="0.3">
      <c r="A394" s="14">
        <v>4</v>
      </c>
      <c r="B394" t="str" cm="1">
        <f t="array" ref="B394">_xlfn.IFS(Datasets!Q394=1,"LoW",Table1[[#This Row],[JobSatisfaction]]=2,"Medium",Table1[[#This Row],[JobSatisfaction]]=3,"High",Table1[[#This Row],[JobSatisfaction]]=4,"Very High")</f>
        <v>Very High</v>
      </c>
      <c r="H394" s="5">
        <v>3</v>
      </c>
      <c r="I394" t="str" cm="1">
        <f t="array" ref="I394">_xlfn.IFS(H394=1,"low",H394=2,"medium",H394=3,"balanced",H394=4,"Good")</f>
        <v>balanced</v>
      </c>
    </row>
    <row r="395" spans="1:9" x14ac:dyDescent="0.3">
      <c r="A395" s="13">
        <v>3</v>
      </c>
      <c r="B395" t="str" cm="1">
        <f t="array" ref="B395">_xlfn.IFS(Datasets!Q395=1,"LoW",Table1[[#This Row],[JobSatisfaction]]=2,"Medium",Table1[[#This Row],[JobSatisfaction]]=3,"High",Table1[[#This Row],[JobSatisfaction]]=4,"Very High")</f>
        <v>High</v>
      </c>
      <c r="H395" s="5">
        <v>3</v>
      </c>
      <c r="I395" t="str" cm="1">
        <f t="array" ref="I395">_xlfn.IFS(H395=1,"low",H395=2,"medium",H395=3,"balanced",H395=4,"Good")</f>
        <v>balanced</v>
      </c>
    </row>
    <row r="396" spans="1:9" x14ac:dyDescent="0.3">
      <c r="A396" s="14">
        <v>1</v>
      </c>
      <c r="B396" t="str" cm="1">
        <f t="array" ref="B396">_xlfn.IFS(Datasets!Q396=1,"LoW",Table1[[#This Row],[JobSatisfaction]]=2,"Medium",Table1[[#This Row],[JobSatisfaction]]=3,"High",Table1[[#This Row],[JobSatisfaction]]=4,"Very High")</f>
        <v>LoW</v>
      </c>
      <c r="H396" s="5">
        <v>3</v>
      </c>
      <c r="I396" t="str" cm="1">
        <f t="array" ref="I396">_xlfn.IFS(H396=1,"low",H396=2,"medium",H396=3,"balanced",H396=4,"Good")</f>
        <v>balanced</v>
      </c>
    </row>
    <row r="397" spans="1:9" x14ac:dyDescent="0.3">
      <c r="A397" s="13">
        <v>2</v>
      </c>
      <c r="B397" t="str" cm="1">
        <f t="array" ref="B397">_xlfn.IFS(Datasets!Q397=1,"LoW",Table1[[#This Row],[JobSatisfaction]]=2,"Medium",Table1[[#This Row],[JobSatisfaction]]=3,"High",Table1[[#This Row],[JobSatisfaction]]=4,"Very High")</f>
        <v>Medium</v>
      </c>
      <c r="H397" s="5">
        <v>3</v>
      </c>
      <c r="I397" t="str" cm="1">
        <f t="array" ref="I397">_xlfn.IFS(H397=1,"low",H397=2,"medium",H397=3,"balanced",H397=4,"Good")</f>
        <v>balanced</v>
      </c>
    </row>
    <row r="398" spans="1:9" x14ac:dyDescent="0.3">
      <c r="A398" s="14">
        <v>3</v>
      </c>
      <c r="B398" t="str" cm="1">
        <f t="array" ref="B398">_xlfn.IFS(Datasets!Q398=1,"LoW",Table1[[#This Row],[JobSatisfaction]]=2,"Medium",Table1[[#This Row],[JobSatisfaction]]=3,"High",Table1[[#This Row],[JobSatisfaction]]=4,"Very High")</f>
        <v>High</v>
      </c>
      <c r="H398" s="5">
        <v>2</v>
      </c>
      <c r="I398" t="str" cm="1">
        <f t="array" ref="I398">_xlfn.IFS(H398=1,"low",H398=2,"medium",H398=3,"balanced",H398=4,"Good")</f>
        <v>medium</v>
      </c>
    </row>
    <row r="399" spans="1:9" x14ac:dyDescent="0.3">
      <c r="A399" s="13">
        <v>1</v>
      </c>
      <c r="B399" t="str" cm="1">
        <f t="array" ref="B399">_xlfn.IFS(Datasets!Q399=1,"LoW",Table1[[#This Row],[JobSatisfaction]]=2,"Medium",Table1[[#This Row],[JobSatisfaction]]=3,"High",Table1[[#This Row],[JobSatisfaction]]=4,"Very High")</f>
        <v>LoW</v>
      </c>
      <c r="H399" s="5">
        <v>2</v>
      </c>
      <c r="I399" t="str" cm="1">
        <f t="array" ref="I399">_xlfn.IFS(H399=1,"low",H399=2,"medium",H399=3,"balanced",H399=4,"Good")</f>
        <v>medium</v>
      </c>
    </row>
    <row r="400" spans="1:9" x14ac:dyDescent="0.3">
      <c r="A400" s="14">
        <v>4</v>
      </c>
      <c r="B400" t="str" cm="1">
        <f t="array" ref="B400">_xlfn.IFS(Datasets!Q400=1,"LoW",Table1[[#This Row],[JobSatisfaction]]=2,"Medium",Table1[[#This Row],[JobSatisfaction]]=3,"High",Table1[[#This Row],[JobSatisfaction]]=4,"Very High")</f>
        <v>Very High</v>
      </c>
      <c r="H400" s="5">
        <v>3</v>
      </c>
      <c r="I400" t="str" cm="1">
        <f t="array" ref="I400">_xlfn.IFS(H400=1,"low",H400=2,"medium",H400=3,"balanced",H400=4,"Good")</f>
        <v>balanced</v>
      </c>
    </row>
    <row r="401" spans="1:9" x14ac:dyDescent="0.3">
      <c r="A401" s="13">
        <v>3</v>
      </c>
      <c r="B401" t="str" cm="1">
        <f t="array" ref="B401">_xlfn.IFS(Datasets!Q401=1,"LoW",Table1[[#This Row],[JobSatisfaction]]=2,"Medium",Table1[[#This Row],[JobSatisfaction]]=3,"High",Table1[[#This Row],[JobSatisfaction]]=4,"Very High")</f>
        <v>High</v>
      </c>
      <c r="H401" s="5">
        <v>3</v>
      </c>
      <c r="I401" t="str" cm="1">
        <f t="array" ref="I401">_xlfn.IFS(H401=1,"low",H401=2,"medium",H401=3,"balanced",H401=4,"Good")</f>
        <v>balanced</v>
      </c>
    </row>
    <row r="402" spans="1:9" x14ac:dyDescent="0.3">
      <c r="A402" s="14">
        <v>1</v>
      </c>
      <c r="B402" t="str" cm="1">
        <f t="array" ref="B402">_xlfn.IFS(Datasets!Q402=1,"LoW",Table1[[#This Row],[JobSatisfaction]]=2,"Medium",Table1[[#This Row],[JobSatisfaction]]=3,"High",Table1[[#This Row],[JobSatisfaction]]=4,"Very High")</f>
        <v>LoW</v>
      </c>
      <c r="H402" s="5">
        <v>3</v>
      </c>
      <c r="I402" t="str" cm="1">
        <f t="array" ref="I402">_xlfn.IFS(H402=1,"low",H402=2,"medium",H402=3,"balanced",H402=4,"Good")</f>
        <v>balanced</v>
      </c>
    </row>
    <row r="403" spans="1:9" x14ac:dyDescent="0.3">
      <c r="A403" s="13">
        <v>2</v>
      </c>
      <c r="B403" t="str" cm="1">
        <f t="array" ref="B403">_xlfn.IFS(Datasets!Q403=1,"LoW",Table1[[#This Row],[JobSatisfaction]]=2,"Medium",Table1[[#This Row],[JobSatisfaction]]=3,"High",Table1[[#This Row],[JobSatisfaction]]=4,"Very High")</f>
        <v>Medium</v>
      </c>
      <c r="H403" s="5">
        <v>2</v>
      </c>
      <c r="I403" t="str" cm="1">
        <f t="array" ref="I403">_xlfn.IFS(H403=1,"low",H403=2,"medium",H403=3,"balanced",H403=4,"Good")</f>
        <v>medium</v>
      </c>
    </row>
    <row r="404" spans="1:9" x14ac:dyDescent="0.3">
      <c r="A404" s="14">
        <v>3</v>
      </c>
      <c r="B404" t="str" cm="1">
        <f t="array" ref="B404">_xlfn.IFS(Datasets!Q404=1,"LoW",Table1[[#This Row],[JobSatisfaction]]=2,"Medium",Table1[[#This Row],[JobSatisfaction]]=3,"High",Table1[[#This Row],[JobSatisfaction]]=4,"Very High")</f>
        <v>High</v>
      </c>
      <c r="H404" s="5">
        <v>1</v>
      </c>
      <c r="I404" t="str" cm="1">
        <f t="array" ref="I404">_xlfn.IFS(H404=1,"low",H404=2,"medium",H404=3,"balanced",H404=4,"Good")</f>
        <v>low</v>
      </c>
    </row>
    <row r="405" spans="1:9" x14ac:dyDescent="0.3">
      <c r="A405" s="13">
        <v>2</v>
      </c>
      <c r="B405" t="str" cm="1">
        <f t="array" ref="B405">_xlfn.IFS(Datasets!Q405=1,"LoW",Table1[[#This Row],[JobSatisfaction]]=2,"Medium",Table1[[#This Row],[JobSatisfaction]]=3,"High",Table1[[#This Row],[JobSatisfaction]]=4,"Very High")</f>
        <v>Medium</v>
      </c>
      <c r="H405" s="5">
        <v>2</v>
      </c>
      <c r="I405" t="str" cm="1">
        <f t="array" ref="I405">_xlfn.IFS(H405=1,"low",H405=2,"medium",H405=3,"balanced",H405=4,"Good")</f>
        <v>medium</v>
      </c>
    </row>
    <row r="406" spans="1:9" x14ac:dyDescent="0.3">
      <c r="A406" s="14">
        <v>1</v>
      </c>
      <c r="B406" t="str" cm="1">
        <f t="array" ref="B406">_xlfn.IFS(Datasets!Q406=1,"LoW",Table1[[#This Row],[JobSatisfaction]]=2,"Medium",Table1[[#This Row],[JobSatisfaction]]=3,"High",Table1[[#This Row],[JobSatisfaction]]=4,"Very High")</f>
        <v>LoW</v>
      </c>
      <c r="H406" s="5">
        <v>4</v>
      </c>
      <c r="I406" t="str" cm="1">
        <f t="array" ref="I406">_xlfn.IFS(H406=1,"low",H406=2,"medium",H406=3,"balanced",H406=4,"Good")</f>
        <v>Good</v>
      </c>
    </row>
    <row r="407" spans="1:9" x14ac:dyDescent="0.3">
      <c r="A407" s="13">
        <v>3</v>
      </c>
      <c r="B407" t="str" cm="1">
        <f t="array" ref="B407">_xlfn.IFS(Datasets!Q407=1,"LoW",Table1[[#This Row],[JobSatisfaction]]=2,"Medium",Table1[[#This Row],[JobSatisfaction]]=3,"High",Table1[[#This Row],[JobSatisfaction]]=4,"Very High")</f>
        <v>High</v>
      </c>
      <c r="H407" s="5">
        <v>3</v>
      </c>
      <c r="I407" t="str" cm="1">
        <f t="array" ref="I407">_xlfn.IFS(H407=1,"low",H407=2,"medium",H407=3,"balanced",H407=4,"Good")</f>
        <v>balanced</v>
      </c>
    </row>
    <row r="408" spans="1:9" x14ac:dyDescent="0.3">
      <c r="A408" s="14">
        <v>4</v>
      </c>
      <c r="B408" t="str" cm="1">
        <f t="array" ref="B408">_xlfn.IFS(Datasets!Q408=1,"LoW",Table1[[#This Row],[JobSatisfaction]]=2,"Medium",Table1[[#This Row],[JobSatisfaction]]=3,"High",Table1[[#This Row],[JobSatisfaction]]=4,"Very High")</f>
        <v>Very High</v>
      </c>
      <c r="H408" s="5">
        <v>2</v>
      </c>
      <c r="I408" t="str" cm="1">
        <f t="array" ref="I408">_xlfn.IFS(H408=1,"low",H408=2,"medium",H408=3,"balanced",H408=4,"Good")</f>
        <v>medium</v>
      </c>
    </row>
    <row r="409" spans="1:9" x14ac:dyDescent="0.3">
      <c r="A409" s="13">
        <v>3</v>
      </c>
      <c r="B409" t="str" cm="1">
        <f t="array" ref="B409">_xlfn.IFS(Datasets!Q409=1,"LoW",Table1[[#This Row],[JobSatisfaction]]=2,"Medium",Table1[[#This Row],[JobSatisfaction]]=3,"High",Table1[[#This Row],[JobSatisfaction]]=4,"Very High")</f>
        <v>High</v>
      </c>
      <c r="H409" s="5">
        <v>3</v>
      </c>
      <c r="I409" t="str" cm="1">
        <f t="array" ref="I409">_xlfn.IFS(H409=1,"low",H409=2,"medium",H409=3,"balanced",H409=4,"Good")</f>
        <v>balanced</v>
      </c>
    </row>
    <row r="410" spans="1:9" x14ac:dyDescent="0.3">
      <c r="A410" s="14">
        <v>1</v>
      </c>
      <c r="B410" t="str" cm="1">
        <f t="array" ref="B410">_xlfn.IFS(Datasets!Q410=1,"LoW",Table1[[#This Row],[JobSatisfaction]]=2,"Medium",Table1[[#This Row],[JobSatisfaction]]=3,"High",Table1[[#This Row],[JobSatisfaction]]=4,"Very High")</f>
        <v>LoW</v>
      </c>
      <c r="H410" s="5">
        <v>3</v>
      </c>
      <c r="I410" t="str" cm="1">
        <f t="array" ref="I410">_xlfn.IFS(H410=1,"low",H410=2,"medium",H410=3,"balanced",H410=4,"Good")</f>
        <v>balanced</v>
      </c>
    </row>
    <row r="411" spans="1:9" x14ac:dyDescent="0.3">
      <c r="A411" s="13">
        <v>1</v>
      </c>
      <c r="B411" t="str" cm="1">
        <f t="array" ref="B411">_xlfn.IFS(Datasets!Q411=1,"LoW",Table1[[#This Row],[JobSatisfaction]]=2,"Medium",Table1[[#This Row],[JobSatisfaction]]=3,"High",Table1[[#This Row],[JobSatisfaction]]=4,"Very High")</f>
        <v>LoW</v>
      </c>
      <c r="H411" s="5">
        <v>2</v>
      </c>
      <c r="I411" t="str" cm="1">
        <f t="array" ref="I411">_xlfn.IFS(H411=1,"low",H411=2,"medium",H411=3,"balanced",H411=4,"Good")</f>
        <v>medium</v>
      </c>
    </row>
    <row r="412" spans="1:9" x14ac:dyDescent="0.3">
      <c r="A412" s="14">
        <v>1</v>
      </c>
      <c r="B412" t="str" cm="1">
        <f t="array" ref="B412">_xlfn.IFS(Datasets!Q412=1,"LoW",Table1[[#This Row],[JobSatisfaction]]=2,"Medium",Table1[[#This Row],[JobSatisfaction]]=3,"High",Table1[[#This Row],[JobSatisfaction]]=4,"Very High")</f>
        <v>LoW</v>
      </c>
      <c r="H412" s="5">
        <v>3</v>
      </c>
      <c r="I412" t="str" cm="1">
        <f t="array" ref="I412">_xlfn.IFS(H412=1,"low",H412=2,"medium",H412=3,"balanced",H412=4,"Good")</f>
        <v>balanced</v>
      </c>
    </row>
    <row r="413" spans="1:9" x14ac:dyDescent="0.3">
      <c r="A413" s="13">
        <v>4</v>
      </c>
      <c r="B413" t="str" cm="1">
        <f t="array" ref="B413">_xlfn.IFS(Datasets!Q413=1,"LoW",Table1[[#This Row],[JobSatisfaction]]=2,"Medium",Table1[[#This Row],[JobSatisfaction]]=3,"High",Table1[[#This Row],[JobSatisfaction]]=4,"Very High")</f>
        <v>Very High</v>
      </c>
      <c r="H413" s="5">
        <v>3</v>
      </c>
      <c r="I413" t="str" cm="1">
        <f t="array" ref="I413">_xlfn.IFS(H413=1,"low",H413=2,"medium",H413=3,"balanced",H413=4,"Good")</f>
        <v>balanced</v>
      </c>
    </row>
    <row r="414" spans="1:9" x14ac:dyDescent="0.3">
      <c r="A414" s="14">
        <v>4</v>
      </c>
      <c r="B414" t="str" cm="1">
        <f t="array" ref="B414">_xlfn.IFS(Datasets!Q414=1,"LoW",Table1[[#This Row],[JobSatisfaction]]=2,"Medium",Table1[[#This Row],[JobSatisfaction]]=3,"High",Table1[[#This Row],[JobSatisfaction]]=4,"Very High")</f>
        <v>Very High</v>
      </c>
      <c r="H414" s="5">
        <v>3</v>
      </c>
      <c r="I414" t="str" cm="1">
        <f t="array" ref="I414">_xlfn.IFS(H414=1,"low",H414=2,"medium",H414=3,"balanced",H414=4,"Good")</f>
        <v>balanced</v>
      </c>
    </row>
    <row r="415" spans="1:9" x14ac:dyDescent="0.3">
      <c r="A415" s="13">
        <v>2</v>
      </c>
      <c r="B415" t="str" cm="1">
        <f t="array" ref="B415">_xlfn.IFS(Datasets!Q415=1,"LoW",Table1[[#This Row],[JobSatisfaction]]=2,"Medium",Table1[[#This Row],[JobSatisfaction]]=3,"High",Table1[[#This Row],[JobSatisfaction]]=4,"Very High")</f>
        <v>Medium</v>
      </c>
      <c r="H415" s="5">
        <v>2</v>
      </c>
      <c r="I415" t="str" cm="1">
        <f t="array" ref="I415">_xlfn.IFS(H415=1,"low",H415=2,"medium",H415=3,"balanced",H415=4,"Good")</f>
        <v>medium</v>
      </c>
    </row>
    <row r="416" spans="1:9" x14ac:dyDescent="0.3">
      <c r="A416" s="14">
        <v>1</v>
      </c>
      <c r="B416" t="str" cm="1">
        <f t="array" ref="B416">_xlfn.IFS(Datasets!Q416=1,"LoW",Table1[[#This Row],[JobSatisfaction]]=2,"Medium",Table1[[#This Row],[JobSatisfaction]]=3,"High",Table1[[#This Row],[JobSatisfaction]]=4,"Very High")</f>
        <v>LoW</v>
      </c>
      <c r="H416" s="5">
        <v>3</v>
      </c>
      <c r="I416" t="str" cm="1">
        <f t="array" ref="I416">_xlfn.IFS(H416=1,"low",H416=2,"medium",H416=3,"balanced",H416=4,"Good")</f>
        <v>balanced</v>
      </c>
    </row>
    <row r="417" spans="1:9" x14ac:dyDescent="0.3">
      <c r="A417" s="13">
        <v>3</v>
      </c>
      <c r="B417" t="str" cm="1">
        <f t="array" ref="B417">_xlfn.IFS(Datasets!Q417=1,"LoW",Table1[[#This Row],[JobSatisfaction]]=2,"Medium",Table1[[#This Row],[JobSatisfaction]]=3,"High",Table1[[#This Row],[JobSatisfaction]]=4,"Very High")</f>
        <v>High</v>
      </c>
      <c r="H417" s="5">
        <v>3</v>
      </c>
      <c r="I417" t="str" cm="1">
        <f t="array" ref="I417">_xlfn.IFS(H417=1,"low",H417=2,"medium",H417=3,"balanced",H417=4,"Good")</f>
        <v>balanced</v>
      </c>
    </row>
    <row r="418" spans="1:9" x14ac:dyDescent="0.3">
      <c r="A418" s="14">
        <v>3</v>
      </c>
      <c r="B418" t="str" cm="1">
        <f t="array" ref="B418">_xlfn.IFS(Datasets!Q418=1,"LoW",Table1[[#This Row],[JobSatisfaction]]=2,"Medium",Table1[[#This Row],[JobSatisfaction]]=3,"High",Table1[[#This Row],[JobSatisfaction]]=4,"Very High")</f>
        <v>High</v>
      </c>
      <c r="H418" s="5">
        <v>1</v>
      </c>
      <c r="I418" t="str" cm="1">
        <f t="array" ref="I418">_xlfn.IFS(H418=1,"low",H418=2,"medium",H418=3,"balanced",H418=4,"Good")</f>
        <v>low</v>
      </c>
    </row>
    <row r="419" spans="1:9" x14ac:dyDescent="0.3">
      <c r="A419" s="13">
        <v>4</v>
      </c>
      <c r="B419" t="str" cm="1">
        <f t="array" ref="B419">_xlfn.IFS(Datasets!Q419=1,"LoW",Table1[[#This Row],[JobSatisfaction]]=2,"Medium",Table1[[#This Row],[JobSatisfaction]]=3,"High",Table1[[#This Row],[JobSatisfaction]]=4,"Very High")</f>
        <v>Very High</v>
      </c>
      <c r="H419" s="5">
        <v>2</v>
      </c>
      <c r="I419" t="str" cm="1">
        <f t="array" ref="I419">_xlfn.IFS(H419=1,"low",H419=2,"medium",H419=3,"balanced",H419=4,"Good")</f>
        <v>medium</v>
      </c>
    </row>
    <row r="420" spans="1:9" x14ac:dyDescent="0.3">
      <c r="A420" s="14">
        <v>3</v>
      </c>
      <c r="B420" t="str" cm="1">
        <f t="array" ref="B420">_xlfn.IFS(Datasets!Q420=1,"LoW",Table1[[#This Row],[JobSatisfaction]]=2,"Medium",Table1[[#This Row],[JobSatisfaction]]=3,"High",Table1[[#This Row],[JobSatisfaction]]=4,"Very High")</f>
        <v>High</v>
      </c>
      <c r="H420" s="5">
        <v>3</v>
      </c>
      <c r="I420" t="str" cm="1">
        <f t="array" ref="I420">_xlfn.IFS(H420=1,"low",H420=2,"medium",H420=3,"balanced",H420=4,"Good")</f>
        <v>balanced</v>
      </c>
    </row>
    <row r="421" spans="1:9" x14ac:dyDescent="0.3">
      <c r="A421" s="13">
        <v>1</v>
      </c>
      <c r="B421" t="str" cm="1">
        <f t="array" ref="B421">_xlfn.IFS(Datasets!Q421=1,"LoW",Table1[[#This Row],[JobSatisfaction]]=2,"Medium",Table1[[#This Row],[JobSatisfaction]]=3,"High",Table1[[#This Row],[JobSatisfaction]]=4,"Very High")</f>
        <v>LoW</v>
      </c>
      <c r="H421" s="5">
        <v>2</v>
      </c>
      <c r="I421" t="str" cm="1">
        <f t="array" ref="I421">_xlfn.IFS(H421=1,"low",H421=2,"medium",H421=3,"balanced",H421=4,"Good")</f>
        <v>medium</v>
      </c>
    </row>
    <row r="422" spans="1:9" x14ac:dyDescent="0.3">
      <c r="A422" s="14">
        <v>2</v>
      </c>
      <c r="B422" t="str" cm="1">
        <f t="array" ref="B422">_xlfn.IFS(Datasets!Q422=1,"LoW",Table1[[#This Row],[JobSatisfaction]]=2,"Medium",Table1[[#This Row],[JobSatisfaction]]=3,"High",Table1[[#This Row],[JobSatisfaction]]=4,"Very High")</f>
        <v>Medium</v>
      </c>
      <c r="H422" s="5">
        <v>3</v>
      </c>
      <c r="I422" t="str" cm="1">
        <f t="array" ref="I422">_xlfn.IFS(H422=1,"low",H422=2,"medium",H422=3,"balanced",H422=4,"Good")</f>
        <v>balanced</v>
      </c>
    </row>
    <row r="423" spans="1:9" x14ac:dyDescent="0.3">
      <c r="A423" s="13">
        <v>4</v>
      </c>
      <c r="B423" t="str" cm="1">
        <f t="array" ref="B423">_xlfn.IFS(Datasets!Q423=1,"LoW",Table1[[#This Row],[JobSatisfaction]]=2,"Medium",Table1[[#This Row],[JobSatisfaction]]=3,"High",Table1[[#This Row],[JobSatisfaction]]=4,"Very High")</f>
        <v>Very High</v>
      </c>
      <c r="H423" s="5">
        <v>3</v>
      </c>
      <c r="I423" t="str" cm="1">
        <f t="array" ref="I423">_xlfn.IFS(H423=1,"low",H423=2,"medium",H423=3,"balanced",H423=4,"Good")</f>
        <v>balanced</v>
      </c>
    </row>
    <row r="424" spans="1:9" x14ac:dyDescent="0.3">
      <c r="A424" s="14">
        <v>1</v>
      </c>
      <c r="B424" t="str" cm="1">
        <f t="array" ref="B424">_xlfn.IFS(Datasets!Q424=1,"LoW",Table1[[#This Row],[JobSatisfaction]]=2,"Medium",Table1[[#This Row],[JobSatisfaction]]=3,"High",Table1[[#This Row],[JobSatisfaction]]=4,"Very High")</f>
        <v>LoW</v>
      </c>
      <c r="H424" s="5">
        <v>3</v>
      </c>
      <c r="I424" t="str" cm="1">
        <f t="array" ref="I424">_xlfn.IFS(H424=1,"low",H424=2,"medium",H424=3,"balanced",H424=4,"Good")</f>
        <v>balanced</v>
      </c>
    </row>
    <row r="425" spans="1:9" x14ac:dyDescent="0.3">
      <c r="A425" s="13">
        <v>2</v>
      </c>
      <c r="B425" t="str" cm="1">
        <f t="array" ref="B425">_xlfn.IFS(Datasets!Q425=1,"LoW",Table1[[#This Row],[JobSatisfaction]]=2,"Medium",Table1[[#This Row],[JobSatisfaction]]=3,"High",Table1[[#This Row],[JobSatisfaction]]=4,"Very High")</f>
        <v>Medium</v>
      </c>
      <c r="H425" s="5">
        <v>1</v>
      </c>
      <c r="I425" t="str" cm="1">
        <f t="array" ref="I425">_xlfn.IFS(H425=1,"low",H425=2,"medium",H425=3,"balanced",H425=4,"Good")</f>
        <v>low</v>
      </c>
    </row>
    <row r="426" spans="1:9" x14ac:dyDescent="0.3">
      <c r="A426" s="14">
        <v>2</v>
      </c>
      <c r="B426" t="str" cm="1">
        <f t="array" ref="B426">_xlfn.IFS(Datasets!Q426=1,"LoW",Table1[[#This Row],[JobSatisfaction]]=2,"Medium",Table1[[#This Row],[JobSatisfaction]]=3,"High",Table1[[#This Row],[JobSatisfaction]]=4,"Very High")</f>
        <v>Medium</v>
      </c>
      <c r="H426" s="5">
        <v>3</v>
      </c>
      <c r="I426" t="str" cm="1">
        <f t="array" ref="I426">_xlfn.IFS(H426=1,"low",H426=2,"medium",H426=3,"balanced",H426=4,"Good")</f>
        <v>balanced</v>
      </c>
    </row>
    <row r="427" spans="1:9" x14ac:dyDescent="0.3">
      <c r="A427" s="13">
        <v>1</v>
      </c>
      <c r="B427" t="str" cm="1">
        <f t="array" ref="B427">_xlfn.IFS(Datasets!Q427=1,"LoW",Table1[[#This Row],[JobSatisfaction]]=2,"Medium",Table1[[#This Row],[JobSatisfaction]]=3,"High",Table1[[#This Row],[JobSatisfaction]]=4,"Very High")</f>
        <v>LoW</v>
      </c>
      <c r="H427" s="5">
        <v>3</v>
      </c>
      <c r="I427" t="str" cm="1">
        <f t="array" ref="I427">_xlfn.IFS(H427=1,"low",H427=2,"medium",H427=3,"balanced",H427=4,"Good")</f>
        <v>balanced</v>
      </c>
    </row>
    <row r="428" spans="1:9" x14ac:dyDescent="0.3">
      <c r="A428" s="14">
        <v>4</v>
      </c>
      <c r="B428" t="str" cm="1">
        <f t="array" ref="B428">_xlfn.IFS(Datasets!Q428=1,"LoW",Table1[[#This Row],[JobSatisfaction]]=2,"Medium",Table1[[#This Row],[JobSatisfaction]]=3,"High",Table1[[#This Row],[JobSatisfaction]]=4,"Very High")</f>
        <v>Very High</v>
      </c>
      <c r="H428" s="5">
        <v>3</v>
      </c>
      <c r="I428" t="str" cm="1">
        <f t="array" ref="I428">_xlfn.IFS(H428=1,"low",H428=2,"medium",H428=3,"balanced",H428=4,"Good")</f>
        <v>balanced</v>
      </c>
    </row>
    <row r="429" spans="1:9" x14ac:dyDescent="0.3">
      <c r="A429" s="13">
        <v>1</v>
      </c>
      <c r="B429" t="str" cm="1">
        <f t="array" ref="B429">_xlfn.IFS(Datasets!Q429=1,"LoW",Table1[[#This Row],[JobSatisfaction]]=2,"Medium",Table1[[#This Row],[JobSatisfaction]]=3,"High",Table1[[#This Row],[JobSatisfaction]]=4,"Very High")</f>
        <v>LoW</v>
      </c>
      <c r="H429" s="5">
        <v>2</v>
      </c>
      <c r="I429" t="str" cm="1">
        <f t="array" ref="I429">_xlfn.IFS(H429=1,"low",H429=2,"medium",H429=3,"balanced",H429=4,"Good")</f>
        <v>medium</v>
      </c>
    </row>
    <row r="430" spans="1:9" x14ac:dyDescent="0.3">
      <c r="A430" s="14">
        <v>4</v>
      </c>
      <c r="B430" t="str" cm="1">
        <f t="array" ref="B430">_xlfn.IFS(Datasets!Q430=1,"LoW",Table1[[#This Row],[JobSatisfaction]]=2,"Medium",Table1[[#This Row],[JobSatisfaction]]=3,"High",Table1[[#This Row],[JobSatisfaction]]=4,"Very High")</f>
        <v>Very High</v>
      </c>
      <c r="H430" s="5">
        <v>2</v>
      </c>
      <c r="I430" t="str" cm="1">
        <f t="array" ref="I430">_xlfn.IFS(H430=1,"low",H430=2,"medium",H430=3,"balanced",H430=4,"Good")</f>
        <v>medium</v>
      </c>
    </row>
    <row r="431" spans="1:9" x14ac:dyDescent="0.3">
      <c r="A431" s="13">
        <v>3</v>
      </c>
      <c r="B431" t="str" cm="1">
        <f t="array" ref="B431">_xlfn.IFS(Datasets!Q431=1,"LoW",Table1[[#This Row],[JobSatisfaction]]=2,"Medium",Table1[[#This Row],[JobSatisfaction]]=3,"High",Table1[[#This Row],[JobSatisfaction]]=4,"Very High")</f>
        <v>High</v>
      </c>
      <c r="H431" s="5">
        <v>3</v>
      </c>
      <c r="I431" t="str" cm="1">
        <f t="array" ref="I431">_xlfn.IFS(H431=1,"low",H431=2,"medium",H431=3,"balanced",H431=4,"Good")</f>
        <v>balanced</v>
      </c>
    </row>
    <row r="432" spans="1:9" x14ac:dyDescent="0.3">
      <c r="A432" s="14">
        <v>4</v>
      </c>
      <c r="B432" t="str" cm="1">
        <f t="array" ref="B432">_xlfn.IFS(Datasets!Q432=1,"LoW",Table1[[#This Row],[JobSatisfaction]]=2,"Medium",Table1[[#This Row],[JobSatisfaction]]=3,"High",Table1[[#This Row],[JobSatisfaction]]=4,"Very High")</f>
        <v>Very High</v>
      </c>
      <c r="H432" s="5">
        <v>2</v>
      </c>
      <c r="I432" t="str" cm="1">
        <f t="array" ref="I432">_xlfn.IFS(H432=1,"low",H432=2,"medium",H432=3,"balanced",H432=4,"Good")</f>
        <v>medium</v>
      </c>
    </row>
    <row r="433" spans="1:9" x14ac:dyDescent="0.3">
      <c r="A433" s="13">
        <v>3</v>
      </c>
      <c r="B433" t="str" cm="1">
        <f t="array" ref="B433">_xlfn.IFS(Datasets!Q433=1,"LoW",Table1[[#This Row],[JobSatisfaction]]=2,"Medium",Table1[[#This Row],[JobSatisfaction]]=3,"High",Table1[[#This Row],[JobSatisfaction]]=4,"Very High")</f>
        <v>High</v>
      </c>
      <c r="H433" s="5">
        <v>4</v>
      </c>
      <c r="I433" t="str" cm="1">
        <f t="array" ref="I433">_xlfn.IFS(H433=1,"low",H433=2,"medium",H433=3,"balanced",H433=4,"Good")</f>
        <v>Good</v>
      </c>
    </row>
    <row r="434" spans="1:9" x14ac:dyDescent="0.3">
      <c r="A434" s="14">
        <v>4</v>
      </c>
      <c r="B434" t="str" cm="1">
        <f t="array" ref="B434">_xlfn.IFS(Datasets!Q434=1,"LoW",Table1[[#This Row],[JobSatisfaction]]=2,"Medium",Table1[[#This Row],[JobSatisfaction]]=3,"High",Table1[[#This Row],[JobSatisfaction]]=4,"Very High")</f>
        <v>Very High</v>
      </c>
      <c r="H434" s="5">
        <v>3</v>
      </c>
      <c r="I434" t="str" cm="1">
        <f t="array" ref="I434">_xlfn.IFS(H434=1,"low",H434=2,"medium",H434=3,"balanced",H434=4,"Good")</f>
        <v>balanced</v>
      </c>
    </row>
    <row r="435" spans="1:9" x14ac:dyDescent="0.3">
      <c r="A435" s="13">
        <v>2</v>
      </c>
      <c r="B435" t="str" cm="1">
        <f t="array" ref="B435">_xlfn.IFS(Datasets!Q435=1,"LoW",Table1[[#This Row],[JobSatisfaction]]=2,"Medium",Table1[[#This Row],[JobSatisfaction]]=3,"High",Table1[[#This Row],[JobSatisfaction]]=4,"Very High")</f>
        <v>Medium</v>
      </c>
      <c r="H435" s="5">
        <v>2</v>
      </c>
      <c r="I435" t="str" cm="1">
        <f t="array" ref="I435">_xlfn.IFS(H435=1,"low",H435=2,"medium",H435=3,"balanced",H435=4,"Good")</f>
        <v>medium</v>
      </c>
    </row>
    <row r="436" spans="1:9" x14ac:dyDescent="0.3">
      <c r="A436" s="14">
        <v>4</v>
      </c>
      <c r="B436" t="str" cm="1">
        <f t="array" ref="B436">_xlfn.IFS(Datasets!Q436=1,"LoW",Table1[[#This Row],[JobSatisfaction]]=2,"Medium",Table1[[#This Row],[JobSatisfaction]]=3,"High",Table1[[#This Row],[JobSatisfaction]]=4,"Very High")</f>
        <v>Very High</v>
      </c>
      <c r="H436" s="5">
        <v>2</v>
      </c>
      <c r="I436" t="str" cm="1">
        <f t="array" ref="I436">_xlfn.IFS(H436=1,"low",H436=2,"medium",H436=3,"balanced",H436=4,"Good")</f>
        <v>medium</v>
      </c>
    </row>
    <row r="437" spans="1:9" x14ac:dyDescent="0.3">
      <c r="A437" s="13">
        <v>2</v>
      </c>
      <c r="B437" t="str" cm="1">
        <f t="array" ref="B437">_xlfn.IFS(Datasets!Q437=1,"LoW",Table1[[#This Row],[JobSatisfaction]]=2,"Medium",Table1[[#This Row],[JobSatisfaction]]=3,"High",Table1[[#This Row],[JobSatisfaction]]=4,"Very High")</f>
        <v>Medium</v>
      </c>
      <c r="H437" s="5">
        <v>2</v>
      </c>
      <c r="I437" t="str" cm="1">
        <f t="array" ref="I437">_xlfn.IFS(H437=1,"low",H437=2,"medium",H437=3,"balanced",H437=4,"Good")</f>
        <v>medium</v>
      </c>
    </row>
    <row r="438" spans="1:9" x14ac:dyDescent="0.3">
      <c r="A438" s="14">
        <v>2</v>
      </c>
      <c r="B438" t="str" cm="1">
        <f t="array" ref="B438">_xlfn.IFS(Datasets!Q438=1,"LoW",Table1[[#This Row],[JobSatisfaction]]=2,"Medium",Table1[[#This Row],[JobSatisfaction]]=3,"High",Table1[[#This Row],[JobSatisfaction]]=4,"Very High")</f>
        <v>Medium</v>
      </c>
      <c r="H438" s="5">
        <v>1</v>
      </c>
      <c r="I438" t="str" cm="1">
        <f t="array" ref="I438">_xlfn.IFS(H438=1,"low",H438=2,"medium",H438=3,"balanced",H438=4,"Good")</f>
        <v>low</v>
      </c>
    </row>
    <row r="439" spans="1:9" x14ac:dyDescent="0.3">
      <c r="A439" s="13">
        <v>2</v>
      </c>
      <c r="B439" t="str" cm="1">
        <f t="array" ref="B439">_xlfn.IFS(Datasets!Q439=1,"LoW",Table1[[#This Row],[JobSatisfaction]]=2,"Medium",Table1[[#This Row],[JobSatisfaction]]=3,"High",Table1[[#This Row],[JobSatisfaction]]=4,"Very High")</f>
        <v>Medium</v>
      </c>
      <c r="H439" s="5">
        <v>2</v>
      </c>
      <c r="I439" t="str" cm="1">
        <f t="array" ref="I439">_xlfn.IFS(H439=1,"low",H439=2,"medium",H439=3,"balanced",H439=4,"Good")</f>
        <v>medium</v>
      </c>
    </row>
    <row r="440" spans="1:9" x14ac:dyDescent="0.3">
      <c r="A440" s="14">
        <v>3</v>
      </c>
      <c r="B440" t="str" cm="1">
        <f t="array" ref="B440">_xlfn.IFS(Datasets!Q440=1,"LoW",Table1[[#This Row],[JobSatisfaction]]=2,"Medium",Table1[[#This Row],[JobSatisfaction]]=3,"High",Table1[[#This Row],[JobSatisfaction]]=4,"Very High")</f>
        <v>High</v>
      </c>
      <c r="H440" s="5">
        <v>2</v>
      </c>
      <c r="I440" t="str" cm="1">
        <f t="array" ref="I440">_xlfn.IFS(H440=1,"low",H440=2,"medium",H440=3,"balanced",H440=4,"Good")</f>
        <v>medium</v>
      </c>
    </row>
    <row r="441" spans="1:9" x14ac:dyDescent="0.3">
      <c r="A441" s="13">
        <v>4</v>
      </c>
      <c r="B441" t="str" cm="1">
        <f t="array" ref="B441">_xlfn.IFS(Datasets!Q441=1,"LoW",Table1[[#This Row],[JobSatisfaction]]=2,"Medium",Table1[[#This Row],[JobSatisfaction]]=3,"High",Table1[[#This Row],[JobSatisfaction]]=4,"Very High")</f>
        <v>Very High</v>
      </c>
      <c r="H441" s="5">
        <v>3</v>
      </c>
      <c r="I441" t="str" cm="1">
        <f t="array" ref="I441">_xlfn.IFS(H441=1,"low",H441=2,"medium",H441=3,"balanced",H441=4,"Good")</f>
        <v>balanced</v>
      </c>
    </row>
    <row r="442" spans="1:9" x14ac:dyDescent="0.3">
      <c r="A442" s="14">
        <v>4</v>
      </c>
      <c r="B442" t="str" cm="1">
        <f t="array" ref="B442">_xlfn.IFS(Datasets!Q442=1,"LoW",Table1[[#This Row],[JobSatisfaction]]=2,"Medium",Table1[[#This Row],[JobSatisfaction]]=3,"High",Table1[[#This Row],[JobSatisfaction]]=4,"Very High")</f>
        <v>Very High</v>
      </c>
      <c r="H442" s="5">
        <v>3</v>
      </c>
      <c r="I442" t="str" cm="1">
        <f t="array" ref="I442">_xlfn.IFS(H442=1,"low",H442=2,"medium",H442=3,"balanced",H442=4,"Good")</f>
        <v>balanced</v>
      </c>
    </row>
    <row r="443" spans="1:9" x14ac:dyDescent="0.3">
      <c r="A443" s="13">
        <v>4</v>
      </c>
      <c r="B443" t="str" cm="1">
        <f t="array" ref="B443">_xlfn.IFS(Datasets!Q443=1,"LoW",Table1[[#This Row],[JobSatisfaction]]=2,"Medium",Table1[[#This Row],[JobSatisfaction]]=3,"High",Table1[[#This Row],[JobSatisfaction]]=4,"Very High")</f>
        <v>Very High</v>
      </c>
      <c r="H443" s="5">
        <v>3</v>
      </c>
      <c r="I443" t="str" cm="1">
        <f t="array" ref="I443">_xlfn.IFS(H443=1,"low",H443=2,"medium",H443=3,"balanced",H443=4,"Good")</f>
        <v>balanced</v>
      </c>
    </row>
    <row r="444" spans="1:9" x14ac:dyDescent="0.3">
      <c r="A444" s="14">
        <v>3</v>
      </c>
      <c r="B444" t="str" cm="1">
        <f t="array" ref="B444">_xlfn.IFS(Datasets!Q444=1,"LoW",Table1[[#This Row],[JobSatisfaction]]=2,"Medium",Table1[[#This Row],[JobSatisfaction]]=3,"High",Table1[[#This Row],[JobSatisfaction]]=4,"Very High")</f>
        <v>High</v>
      </c>
      <c r="H444" s="5">
        <v>3</v>
      </c>
      <c r="I444" t="str" cm="1">
        <f t="array" ref="I444">_xlfn.IFS(H444=1,"low",H444=2,"medium",H444=3,"balanced",H444=4,"Good")</f>
        <v>balanced</v>
      </c>
    </row>
    <row r="445" spans="1:9" x14ac:dyDescent="0.3">
      <c r="A445" s="13">
        <v>2</v>
      </c>
      <c r="B445" t="str" cm="1">
        <f t="array" ref="B445">_xlfn.IFS(Datasets!Q445=1,"LoW",Table1[[#This Row],[JobSatisfaction]]=2,"Medium",Table1[[#This Row],[JobSatisfaction]]=3,"High",Table1[[#This Row],[JobSatisfaction]]=4,"Very High")</f>
        <v>Medium</v>
      </c>
      <c r="H445" s="5">
        <v>2</v>
      </c>
      <c r="I445" t="str" cm="1">
        <f t="array" ref="I445">_xlfn.IFS(H445=1,"low",H445=2,"medium",H445=3,"balanced",H445=4,"Good")</f>
        <v>medium</v>
      </c>
    </row>
    <row r="446" spans="1:9" x14ac:dyDescent="0.3">
      <c r="A446" s="14">
        <v>1</v>
      </c>
      <c r="B446" t="str" cm="1">
        <f t="array" ref="B446">_xlfn.IFS(Datasets!Q446=1,"LoW",Table1[[#This Row],[JobSatisfaction]]=2,"Medium",Table1[[#This Row],[JobSatisfaction]]=3,"High",Table1[[#This Row],[JobSatisfaction]]=4,"Very High")</f>
        <v>LoW</v>
      </c>
      <c r="H446" s="5">
        <v>3</v>
      </c>
      <c r="I446" t="str" cm="1">
        <f t="array" ref="I446">_xlfn.IFS(H446=1,"low",H446=2,"medium",H446=3,"balanced",H446=4,"Good")</f>
        <v>balanced</v>
      </c>
    </row>
    <row r="447" spans="1:9" x14ac:dyDescent="0.3">
      <c r="A447" s="13">
        <v>3</v>
      </c>
      <c r="B447" t="str" cm="1">
        <f t="array" ref="B447">_xlfn.IFS(Datasets!Q447=1,"LoW",Table1[[#This Row],[JobSatisfaction]]=2,"Medium",Table1[[#This Row],[JobSatisfaction]]=3,"High",Table1[[#This Row],[JobSatisfaction]]=4,"Very High")</f>
        <v>High</v>
      </c>
      <c r="H447" s="5">
        <v>4</v>
      </c>
      <c r="I447" t="str" cm="1">
        <f t="array" ref="I447">_xlfn.IFS(H447=1,"low",H447=2,"medium",H447=3,"balanced",H447=4,"Good")</f>
        <v>Good</v>
      </c>
    </row>
    <row r="448" spans="1:9" x14ac:dyDescent="0.3">
      <c r="A448" s="14">
        <v>3</v>
      </c>
      <c r="B448" t="str" cm="1">
        <f t="array" ref="B448">_xlfn.IFS(Datasets!Q448=1,"LoW",Table1[[#This Row],[JobSatisfaction]]=2,"Medium",Table1[[#This Row],[JobSatisfaction]]=3,"High",Table1[[#This Row],[JobSatisfaction]]=4,"Very High")</f>
        <v>High</v>
      </c>
      <c r="H448" s="5">
        <v>3</v>
      </c>
      <c r="I448" t="str" cm="1">
        <f t="array" ref="I448">_xlfn.IFS(H448=1,"low",H448=2,"medium",H448=3,"balanced",H448=4,"Good")</f>
        <v>balanced</v>
      </c>
    </row>
    <row r="449" spans="1:9" x14ac:dyDescent="0.3">
      <c r="A449" s="13">
        <v>1</v>
      </c>
      <c r="B449" t="str" cm="1">
        <f t="array" ref="B449">_xlfn.IFS(Datasets!Q449=1,"LoW",Table1[[#This Row],[JobSatisfaction]]=2,"Medium",Table1[[#This Row],[JobSatisfaction]]=3,"High",Table1[[#This Row],[JobSatisfaction]]=4,"Very High")</f>
        <v>LoW</v>
      </c>
      <c r="H449" s="5">
        <v>2</v>
      </c>
      <c r="I449" t="str" cm="1">
        <f t="array" ref="I449">_xlfn.IFS(H449=1,"low",H449=2,"medium",H449=3,"balanced",H449=4,"Good")</f>
        <v>medium</v>
      </c>
    </row>
    <row r="450" spans="1:9" x14ac:dyDescent="0.3">
      <c r="A450" s="14">
        <v>3</v>
      </c>
      <c r="B450" t="str" cm="1">
        <f t="array" ref="B450">_xlfn.IFS(Datasets!Q450=1,"LoW",Table1[[#This Row],[JobSatisfaction]]=2,"Medium",Table1[[#This Row],[JobSatisfaction]]=3,"High",Table1[[#This Row],[JobSatisfaction]]=4,"Very High")</f>
        <v>High</v>
      </c>
      <c r="H450" s="5">
        <v>2</v>
      </c>
      <c r="I450" t="str" cm="1">
        <f t="array" ref="I450">_xlfn.IFS(H450=1,"low",H450=2,"medium",H450=3,"balanced",H450=4,"Good")</f>
        <v>medium</v>
      </c>
    </row>
    <row r="451" spans="1:9" x14ac:dyDescent="0.3">
      <c r="A451" s="13">
        <v>1</v>
      </c>
      <c r="B451" t="str" cm="1">
        <f t="array" ref="B451">_xlfn.IFS(Datasets!Q451=1,"LoW",Table1[[#This Row],[JobSatisfaction]]=2,"Medium",Table1[[#This Row],[JobSatisfaction]]=3,"High",Table1[[#This Row],[JobSatisfaction]]=4,"Very High")</f>
        <v>LoW</v>
      </c>
      <c r="H451" s="5">
        <v>3</v>
      </c>
      <c r="I451" t="str" cm="1">
        <f t="array" ref="I451">_xlfn.IFS(H451=1,"low",H451=2,"medium",H451=3,"balanced",H451=4,"Good")</f>
        <v>balanced</v>
      </c>
    </row>
    <row r="452" spans="1:9" x14ac:dyDescent="0.3">
      <c r="A452" s="14">
        <v>3</v>
      </c>
      <c r="B452" t="str" cm="1">
        <f t="array" ref="B452">_xlfn.IFS(Datasets!Q452=1,"LoW",Table1[[#This Row],[JobSatisfaction]]=2,"Medium",Table1[[#This Row],[JobSatisfaction]]=3,"High",Table1[[#This Row],[JobSatisfaction]]=4,"Very High")</f>
        <v>High</v>
      </c>
      <c r="H452" s="5">
        <v>2</v>
      </c>
      <c r="I452" t="str" cm="1">
        <f t="array" ref="I452">_xlfn.IFS(H452=1,"low",H452=2,"medium",H452=3,"balanced",H452=4,"Good")</f>
        <v>medium</v>
      </c>
    </row>
    <row r="453" spans="1:9" x14ac:dyDescent="0.3">
      <c r="A453" s="13">
        <v>4</v>
      </c>
      <c r="B453" t="str" cm="1">
        <f t="array" ref="B453">_xlfn.IFS(Datasets!Q453=1,"LoW",Table1[[#This Row],[JobSatisfaction]]=2,"Medium",Table1[[#This Row],[JobSatisfaction]]=3,"High",Table1[[#This Row],[JobSatisfaction]]=4,"Very High")</f>
        <v>Very High</v>
      </c>
      <c r="H453" s="5">
        <v>3</v>
      </c>
      <c r="I453" t="str" cm="1">
        <f t="array" ref="I453">_xlfn.IFS(H453=1,"low",H453=2,"medium",H453=3,"balanced",H453=4,"Good")</f>
        <v>balanced</v>
      </c>
    </row>
    <row r="454" spans="1:9" x14ac:dyDescent="0.3">
      <c r="A454" s="14">
        <v>1</v>
      </c>
      <c r="B454" t="str" cm="1">
        <f t="array" ref="B454">_xlfn.IFS(Datasets!Q454=1,"LoW",Table1[[#This Row],[JobSatisfaction]]=2,"Medium",Table1[[#This Row],[JobSatisfaction]]=3,"High",Table1[[#This Row],[JobSatisfaction]]=4,"Very High")</f>
        <v>LoW</v>
      </c>
      <c r="H454" s="5">
        <v>4</v>
      </c>
      <c r="I454" t="str" cm="1">
        <f t="array" ref="I454">_xlfn.IFS(H454=1,"low",H454=2,"medium",H454=3,"balanced",H454=4,"Good")</f>
        <v>Good</v>
      </c>
    </row>
    <row r="455" spans="1:9" x14ac:dyDescent="0.3">
      <c r="A455" s="13">
        <v>4</v>
      </c>
      <c r="B455" t="str" cm="1">
        <f t="array" ref="B455">_xlfn.IFS(Datasets!Q455=1,"LoW",Table1[[#This Row],[JobSatisfaction]]=2,"Medium",Table1[[#This Row],[JobSatisfaction]]=3,"High",Table1[[#This Row],[JobSatisfaction]]=4,"Very High")</f>
        <v>Very High</v>
      </c>
      <c r="H455" s="5">
        <v>2</v>
      </c>
      <c r="I455" t="str" cm="1">
        <f t="array" ref="I455">_xlfn.IFS(H455=1,"low",H455=2,"medium",H455=3,"balanced",H455=4,"Good")</f>
        <v>medium</v>
      </c>
    </row>
    <row r="456" spans="1:9" x14ac:dyDescent="0.3">
      <c r="A456" s="14">
        <v>2</v>
      </c>
      <c r="B456" t="str" cm="1">
        <f t="array" ref="B456">_xlfn.IFS(Datasets!Q456=1,"LoW",Table1[[#This Row],[JobSatisfaction]]=2,"Medium",Table1[[#This Row],[JobSatisfaction]]=3,"High",Table1[[#This Row],[JobSatisfaction]]=4,"Very High")</f>
        <v>Medium</v>
      </c>
      <c r="H456" s="5">
        <v>2</v>
      </c>
      <c r="I456" t="str" cm="1">
        <f t="array" ref="I456">_xlfn.IFS(H456=1,"low",H456=2,"medium",H456=3,"balanced",H456=4,"Good")</f>
        <v>medium</v>
      </c>
    </row>
    <row r="457" spans="1:9" x14ac:dyDescent="0.3">
      <c r="A457" s="13">
        <v>1</v>
      </c>
      <c r="B457" t="str" cm="1">
        <f t="array" ref="B457">_xlfn.IFS(Datasets!Q457=1,"LoW",Table1[[#This Row],[JobSatisfaction]]=2,"Medium",Table1[[#This Row],[JobSatisfaction]]=3,"High",Table1[[#This Row],[JobSatisfaction]]=4,"Very High")</f>
        <v>LoW</v>
      </c>
      <c r="H457" s="5">
        <v>4</v>
      </c>
      <c r="I457" t="str" cm="1">
        <f t="array" ref="I457">_xlfn.IFS(H457=1,"low",H457=2,"medium",H457=3,"balanced",H457=4,"Good")</f>
        <v>Good</v>
      </c>
    </row>
    <row r="458" spans="1:9" x14ac:dyDescent="0.3">
      <c r="A458" s="14">
        <v>1</v>
      </c>
      <c r="B458" t="str" cm="1">
        <f t="array" ref="B458">_xlfn.IFS(Datasets!Q458=1,"LoW",Table1[[#This Row],[JobSatisfaction]]=2,"Medium",Table1[[#This Row],[JobSatisfaction]]=3,"High",Table1[[#This Row],[JobSatisfaction]]=4,"Very High")</f>
        <v>LoW</v>
      </c>
      <c r="H458" s="5">
        <v>2</v>
      </c>
      <c r="I458" t="str" cm="1">
        <f t="array" ref="I458">_xlfn.IFS(H458=1,"low",H458=2,"medium",H458=3,"balanced",H458=4,"Good")</f>
        <v>medium</v>
      </c>
    </row>
    <row r="459" spans="1:9" x14ac:dyDescent="0.3">
      <c r="A459" s="13">
        <v>3</v>
      </c>
      <c r="B459" t="str" cm="1">
        <f t="array" ref="B459">_xlfn.IFS(Datasets!Q459=1,"LoW",Table1[[#This Row],[JobSatisfaction]]=2,"Medium",Table1[[#This Row],[JobSatisfaction]]=3,"High",Table1[[#This Row],[JobSatisfaction]]=4,"Very High")</f>
        <v>High</v>
      </c>
      <c r="H459" s="5">
        <v>2</v>
      </c>
      <c r="I459" t="str" cm="1">
        <f t="array" ref="I459">_xlfn.IFS(H459=1,"low",H459=2,"medium",H459=3,"balanced",H459=4,"Good")</f>
        <v>medium</v>
      </c>
    </row>
    <row r="460" spans="1:9" x14ac:dyDescent="0.3">
      <c r="A460" s="14">
        <v>3</v>
      </c>
      <c r="B460" t="str" cm="1">
        <f t="array" ref="B460">_xlfn.IFS(Datasets!Q460=1,"LoW",Table1[[#This Row],[JobSatisfaction]]=2,"Medium",Table1[[#This Row],[JobSatisfaction]]=3,"High",Table1[[#This Row],[JobSatisfaction]]=4,"Very High")</f>
        <v>High</v>
      </c>
      <c r="H460" s="5">
        <v>2</v>
      </c>
      <c r="I460" t="str" cm="1">
        <f t="array" ref="I460">_xlfn.IFS(H460=1,"low",H460=2,"medium",H460=3,"balanced",H460=4,"Good")</f>
        <v>medium</v>
      </c>
    </row>
    <row r="461" spans="1:9" x14ac:dyDescent="0.3">
      <c r="A461" s="13">
        <v>4</v>
      </c>
      <c r="B461" t="str" cm="1">
        <f t="array" ref="B461">_xlfn.IFS(Datasets!Q461=1,"LoW",Table1[[#This Row],[JobSatisfaction]]=2,"Medium",Table1[[#This Row],[JobSatisfaction]]=3,"High",Table1[[#This Row],[JobSatisfaction]]=4,"Very High")</f>
        <v>Very High</v>
      </c>
      <c r="H461" s="5">
        <v>2</v>
      </c>
      <c r="I461" t="str" cm="1">
        <f t="array" ref="I461">_xlfn.IFS(H461=1,"low",H461=2,"medium",H461=3,"balanced",H461=4,"Good")</f>
        <v>medium</v>
      </c>
    </row>
    <row r="462" spans="1:9" x14ac:dyDescent="0.3">
      <c r="A462" s="14">
        <v>3</v>
      </c>
      <c r="B462" t="str" cm="1">
        <f t="array" ref="B462">_xlfn.IFS(Datasets!Q462=1,"LoW",Table1[[#This Row],[JobSatisfaction]]=2,"Medium",Table1[[#This Row],[JobSatisfaction]]=3,"High",Table1[[#This Row],[JobSatisfaction]]=4,"Very High")</f>
        <v>High</v>
      </c>
      <c r="H462" s="5">
        <v>3</v>
      </c>
      <c r="I462" t="str" cm="1">
        <f t="array" ref="I462">_xlfn.IFS(H462=1,"low",H462=2,"medium",H462=3,"balanced",H462=4,"Good")</f>
        <v>balanced</v>
      </c>
    </row>
    <row r="463" spans="1:9" x14ac:dyDescent="0.3">
      <c r="A463" s="13">
        <v>3</v>
      </c>
      <c r="B463" t="str" cm="1">
        <f t="array" ref="B463">_xlfn.IFS(Datasets!Q463=1,"LoW",Table1[[#This Row],[JobSatisfaction]]=2,"Medium",Table1[[#This Row],[JobSatisfaction]]=3,"High",Table1[[#This Row],[JobSatisfaction]]=4,"Very High")</f>
        <v>High</v>
      </c>
      <c r="H463" s="5">
        <v>3</v>
      </c>
      <c r="I463" t="str" cm="1">
        <f t="array" ref="I463">_xlfn.IFS(H463=1,"low",H463=2,"medium",H463=3,"balanced",H463=4,"Good")</f>
        <v>balanced</v>
      </c>
    </row>
    <row r="464" spans="1:9" x14ac:dyDescent="0.3">
      <c r="A464" s="14">
        <v>4</v>
      </c>
      <c r="B464" t="str" cm="1">
        <f t="array" ref="B464">_xlfn.IFS(Datasets!Q464=1,"LoW",Table1[[#This Row],[JobSatisfaction]]=2,"Medium",Table1[[#This Row],[JobSatisfaction]]=3,"High",Table1[[#This Row],[JobSatisfaction]]=4,"Very High")</f>
        <v>Very High</v>
      </c>
      <c r="H464" s="5">
        <v>2</v>
      </c>
      <c r="I464" t="str" cm="1">
        <f t="array" ref="I464">_xlfn.IFS(H464=1,"low",H464=2,"medium",H464=3,"balanced",H464=4,"Good")</f>
        <v>medium</v>
      </c>
    </row>
    <row r="465" spans="1:9" x14ac:dyDescent="0.3">
      <c r="A465" s="13">
        <v>1</v>
      </c>
      <c r="B465" t="str" cm="1">
        <f t="array" ref="B465">_xlfn.IFS(Datasets!Q465=1,"LoW",Table1[[#This Row],[JobSatisfaction]]=2,"Medium",Table1[[#This Row],[JobSatisfaction]]=3,"High",Table1[[#This Row],[JobSatisfaction]]=4,"Very High")</f>
        <v>LoW</v>
      </c>
      <c r="H465" s="5">
        <v>3</v>
      </c>
      <c r="I465" t="str" cm="1">
        <f t="array" ref="I465">_xlfn.IFS(H465=1,"low",H465=2,"medium",H465=3,"balanced",H465=4,"Good")</f>
        <v>balanced</v>
      </c>
    </row>
    <row r="466" spans="1:9" x14ac:dyDescent="0.3">
      <c r="A466" s="14">
        <v>4</v>
      </c>
      <c r="B466" t="str" cm="1">
        <f t="array" ref="B466">_xlfn.IFS(Datasets!Q466=1,"LoW",Table1[[#This Row],[JobSatisfaction]]=2,"Medium",Table1[[#This Row],[JobSatisfaction]]=3,"High",Table1[[#This Row],[JobSatisfaction]]=4,"Very High")</f>
        <v>Very High</v>
      </c>
      <c r="H466" s="5">
        <v>3</v>
      </c>
      <c r="I466" t="str" cm="1">
        <f t="array" ref="I466">_xlfn.IFS(H466=1,"low",H466=2,"medium",H466=3,"balanced",H466=4,"Good")</f>
        <v>balanced</v>
      </c>
    </row>
    <row r="467" spans="1:9" x14ac:dyDescent="0.3">
      <c r="A467" s="13">
        <v>4</v>
      </c>
      <c r="B467" t="str" cm="1">
        <f t="array" ref="B467">_xlfn.IFS(Datasets!Q467=1,"LoW",Table1[[#This Row],[JobSatisfaction]]=2,"Medium",Table1[[#This Row],[JobSatisfaction]]=3,"High",Table1[[#This Row],[JobSatisfaction]]=4,"Very High")</f>
        <v>Very High</v>
      </c>
      <c r="H467" s="5">
        <v>2</v>
      </c>
      <c r="I467" t="str" cm="1">
        <f t="array" ref="I467">_xlfn.IFS(H467=1,"low",H467=2,"medium",H467=3,"balanced",H467=4,"Good")</f>
        <v>medium</v>
      </c>
    </row>
    <row r="468" spans="1:9" x14ac:dyDescent="0.3">
      <c r="A468" s="14">
        <v>2</v>
      </c>
      <c r="B468" t="str" cm="1">
        <f t="array" ref="B468">_xlfn.IFS(Datasets!Q468=1,"LoW",Table1[[#This Row],[JobSatisfaction]]=2,"Medium",Table1[[#This Row],[JobSatisfaction]]=3,"High",Table1[[#This Row],[JobSatisfaction]]=4,"Very High")</f>
        <v>Medium</v>
      </c>
      <c r="H468" s="5">
        <v>3</v>
      </c>
      <c r="I468" t="str" cm="1">
        <f t="array" ref="I468">_xlfn.IFS(H468=1,"low",H468=2,"medium",H468=3,"balanced",H468=4,"Good")</f>
        <v>balanced</v>
      </c>
    </row>
    <row r="469" spans="1:9" x14ac:dyDescent="0.3">
      <c r="A469" s="13">
        <v>3</v>
      </c>
      <c r="B469" t="str" cm="1">
        <f t="array" ref="B469">_xlfn.IFS(Datasets!Q469=1,"LoW",Table1[[#This Row],[JobSatisfaction]]=2,"Medium",Table1[[#This Row],[JobSatisfaction]]=3,"High",Table1[[#This Row],[JobSatisfaction]]=4,"Very High")</f>
        <v>High</v>
      </c>
      <c r="H469" s="5">
        <v>4</v>
      </c>
      <c r="I469" t="str" cm="1">
        <f t="array" ref="I469">_xlfn.IFS(H469=1,"low",H469=2,"medium",H469=3,"balanced",H469=4,"Good")</f>
        <v>Good</v>
      </c>
    </row>
    <row r="470" spans="1:9" x14ac:dyDescent="0.3">
      <c r="A470" s="14">
        <v>2</v>
      </c>
      <c r="B470" t="str" cm="1">
        <f t="array" ref="B470">_xlfn.IFS(Datasets!Q470=1,"LoW",Table1[[#This Row],[JobSatisfaction]]=2,"Medium",Table1[[#This Row],[JobSatisfaction]]=3,"High",Table1[[#This Row],[JobSatisfaction]]=4,"Very High")</f>
        <v>Medium</v>
      </c>
      <c r="H470" s="5">
        <v>4</v>
      </c>
      <c r="I470" t="str" cm="1">
        <f t="array" ref="I470">_xlfn.IFS(H470=1,"low",H470=2,"medium",H470=3,"balanced",H470=4,"Good")</f>
        <v>Good</v>
      </c>
    </row>
    <row r="471" spans="1:9" x14ac:dyDescent="0.3">
      <c r="A471" s="13">
        <v>4</v>
      </c>
      <c r="B471" t="str" cm="1">
        <f t="array" ref="B471">_xlfn.IFS(Datasets!Q471=1,"LoW",Table1[[#This Row],[JobSatisfaction]]=2,"Medium",Table1[[#This Row],[JobSatisfaction]]=3,"High",Table1[[#This Row],[JobSatisfaction]]=4,"Very High")</f>
        <v>Very High</v>
      </c>
      <c r="H471" s="5">
        <v>2</v>
      </c>
      <c r="I471" t="str" cm="1">
        <f t="array" ref="I471">_xlfn.IFS(H471=1,"low",H471=2,"medium",H471=3,"balanced",H471=4,"Good")</f>
        <v>medium</v>
      </c>
    </row>
    <row r="472" spans="1:9" x14ac:dyDescent="0.3">
      <c r="A472" s="14">
        <v>3</v>
      </c>
      <c r="B472" t="str" cm="1">
        <f t="array" ref="B472">_xlfn.IFS(Datasets!Q472=1,"LoW",Table1[[#This Row],[JobSatisfaction]]=2,"Medium",Table1[[#This Row],[JobSatisfaction]]=3,"High",Table1[[#This Row],[JobSatisfaction]]=4,"Very High")</f>
        <v>High</v>
      </c>
      <c r="H472" s="5">
        <v>1</v>
      </c>
      <c r="I472" t="str" cm="1">
        <f t="array" ref="I472">_xlfn.IFS(H472=1,"low",H472=2,"medium",H472=3,"balanced",H472=4,"Good")</f>
        <v>low</v>
      </c>
    </row>
    <row r="473" spans="1:9" x14ac:dyDescent="0.3">
      <c r="A473" s="13">
        <v>3</v>
      </c>
      <c r="B473" t="str" cm="1">
        <f t="array" ref="B473">_xlfn.IFS(Datasets!Q473=1,"LoW",Table1[[#This Row],[JobSatisfaction]]=2,"Medium",Table1[[#This Row],[JobSatisfaction]]=3,"High",Table1[[#This Row],[JobSatisfaction]]=4,"Very High")</f>
        <v>High</v>
      </c>
      <c r="H473" s="5">
        <v>2</v>
      </c>
      <c r="I473" t="str" cm="1">
        <f t="array" ref="I473">_xlfn.IFS(H473=1,"low",H473=2,"medium",H473=3,"balanced",H473=4,"Good")</f>
        <v>medium</v>
      </c>
    </row>
    <row r="474" spans="1:9" x14ac:dyDescent="0.3">
      <c r="A474" s="14">
        <v>3</v>
      </c>
      <c r="B474" t="str" cm="1">
        <f t="array" ref="B474">_xlfn.IFS(Datasets!Q474=1,"LoW",Table1[[#This Row],[JobSatisfaction]]=2,"Medium",Table1[[#This Row],[JobSatisfaction]]=3,"High",Table1[[#This Row],[JobSatisfaction]]=4,"Very High")</f>
        <v>High</v>
      </c>
      <c r="H474" s="5">
        <v>1</v>
      </c>
      <c r="I474" t="str" cm="1">
        <f t="array" ref="I474">_xlfn.IFS(H474=1,"low",H474=2,"medium",H474=3,"balanced",H474=4,"Good")</f>
        <v>low</v>
      </c>
    </row>
    <row r="475" spans="1:9" x14ac:dyDescent="0.3">
      <c r="A475" s="13">
        <v>3</v>
      </c>
      <c r="B475" t="str" cm="1">
        <f t="array" ref="B475">_xlfn.IFS(Datasets!Q475=1,"LoW",Table1[[#This Row],[JobSatisfaction]]=2,"Medium",Table1[[#This Row],[JobSatisfaction]]=3,"High",Table1[[#This Row],[JobSatisfaction]]=4,"Very High")</f>
        <v>High</v>
      </c>
      <c r="H475" s="5">
        <v>3</v>
      </c>
      <c r="I475" t="str" cm="1">
        <f t="array" ref="I475">_xlfn.IFS(H475=1,"low",H475=2,"medium",H475=3,"balanced",H475=4,"Good")</f>
        <v>balanced</v>
      </c>
    </row>
    <row r="476" spans="1:9" x14ac:dyDescent="0.3">
      <c r="A476" s="14">
        <v>3</v>
      </c>
      <c r="B476" t="str" cm="1">
        <f t="array" ref="B476">_xlfn.IFS(Datasets!Q476=1,"LoW",Table1[[#This Row],[JobSatisfaction]]=2,"Medium",Table1[[#This Row],[JobSatisfaction]]=3,"High",Table1[[#This Row],[JobSatisfaction]]=4,"Very High")</f>
        <v>High</v>
      </c>
      <c r="H476" s="5">
        <v>3</v>
      </c>
      <c r="I476" t="str" cm="1">
        <f t="array" ref="I476">_xlfn.IFS(H476=1,"low",H476=2,"medium",H476=3,"balanced",H476=4,"Good")</f>
        <v>balanced</v>
      </c>
    </row>
    <row r="477" spans="1:9" x14ac:dyDescent="0.3">
      <c r="A477" s="13">
        <v>3</v>
      </c>
      <c r="B477" t="str" cm="1">
        <f t="array" ref="B477">_xlfn.IFS(Datasets!Q477=1,"LoW",Table1[[#This Row],[JobSatisfaction]]=2,"Medium",Table1[[#This Row],[JobSatisfaction]]=3,"High",Table1[[#This Row],[JobSatisfaction]]=4,"Very High")</f>
        <v>High</v>
      </c>
      <c r="H477" s="5">
        <v>3</v>
      </c>
      <c r="I477" t="str" cm="1">
        <f t="array" ref="I477">_xlfn.IFS(H477=1,"low",H477=2,"medium",H477=3,"balanced",H477=4,"Good")</f>
        <v>balanced</v>
      </c>
    </row>
    <row r="478" spans="1:9" x14ac:dyDescent="0.3">
      <c r="A478" s="14">
        <v>2</v>
      </c>
      <c r="B478" t="str" cm="1">
        <f t="array" ref="B478">_xlfn.IFS(Datasets!Q478=1,"LoW",Table1[[#This Row],[JobSatisfaction]]=2,"Medium",Table1[[#This Row],[JobSatisfaction]]=3,"High",Table1[[#This Row],[JobSatisfaction]]=4,"Very High")</f>
        <v>Medium</v>
      </c>
      <c r="H478" s="5">
        <v>3</v>
      </c>
      <c r="I478" t="str" cm="1">
        <f t="array" ref="I478">_xlfn.IFS(H478=1,"low",H478=2,"medium",H478=3,"balanced",H478=4,"Good")</f>
        <v>balanced</v>
      </c>
    </row>
    <row r="479" spans="1:9" x14ac:dyDescent="0.3">
      <c r="A479" s="13">
        <v>4</v>
      </c>
      <c r="B479" t="str" cm="1">
        <f t="array" ref="B479">_xlfn.IFS(Datasets!Q479=1,"LoW",Table1[[#This Row],[JobSatisfaction]]=2,"Medium",Table1[[#This Row],[JobSatisfaction]]=3,"High",Table1[[#This Row],[JobSatisfaction]]=4,"Very High")</f>
        <v>Very High</v>
      </c>
      <c r="H479" s="5">
        <v>3</v>
      </c>
      <c r="I479" t="str" cm="1">
        <f t="array" ref="I479">_xlfn.IFS(H479=1,"low",H479=2,"medium",H479=3,"balanced",H479=4,"Good")</f>
        <v>balanced</v>
      </c>
    </row>
    <row r="480" spans="1:9" x14ac:dyDescent="0.3">
      <c r="A480" s="14">
        <v>3</v>
      </c>
      <c r="B480" t="str" cm="1">
        <f t="array" ref="B480">_xlfn.IFS(Datasets!Q480=1,"LoW",Table1[[#This Row],[JobSatisfaction]]=2,"Medium",Table1[[#This Row],[JobSatisfaction]]=3,"High",Table1[[#This Row],[JobSatisfaction]]=4,"Very High")</f>
        <v>High</v>
      </c>
      <c r="H480" s="5">
        <v>3</v>
      </c>
      <c r="I480" t="str" cm="1">
        <f t="array" ref="I480">_xlfn.IFS(H480=1,"low",H480=2,"medium",H480=3,"balanced",H480=4,"Good")</f>
        <v>balanced</v>
      </c>
    </row>
    <row r="481" spans="1:9" x14ac:dyDescent="0.3">
      <c r="A481" s="13">
        <v>3</v>
      </c>
      <c r="B481" t="str" cm="1">
        <f t="array" ref="B481">_xlfn.IFS(Datasets!Q481=1,"LoW",Table1[[#This Row],[JobSatisfaction]]=2,"Medium",Table1[[#This Row],[JobSatisfaction]]=3,"High",Table1[[#This Row],[JobSatisfaction]]=4,"Very High")</f>
        <v>High</v>
      </c>
      <c r="H481" s="5">
        <v>3</v>
      </c>
      <c r="I481" t="str" cm="1">
        <f t="array" ref="I481">_xlfn.IFS(H481=1,"low",H481=2,"medium",H481=3,"balanced",H481=4,"Good")</f>
        <v>balanced</v>
      </c>
    </row>
    <row r="482" spans="1:9" x14ac:dyDescent="0.3">
      <c r="A482" s="14">
        <v>1</v>
      </c>
      <c r="B482" t="str" cm="1">
        <f t="array" ref="B482">_xlfn.IFS(Datasets!Q482=1,"LoW",Table1[[#This Row],[JobSatisfaction]]=2,"Medium",Table1[[#This Row],[JobSatisfaction]]=3,"High",Table1[[#This Row],[JobSatisfaction]]=4,"Very High")</f>
        <v>LoW</v>
      </c>
      <c r="H482" s="5">
        <v>2</v>
      </c>
      <c r="I482" t="str" cm="1">
        <f t="array" ref="I482">_xlfn.IFS(H482=1,"low",H482=2,"medium",H482=3,"balanced",H482=4,"Good")</f>
        <v>medium</v>
      </c>
    </row>
    <row r="483" spans="1:9" x14ac:dyDescent="0.3">
      <c r="A483" s="13">
        <v>1</v>
      </c>
      <c r="B483" t="str" cm="1">
        <f t="array" ref="B483">_xlfn.IFS(Datasets!Q483=1,"LoW",Table1[[#This Row],[JobSatisfaction]]=2,"Medium",Table1[[#This Row],[JobSatisfaction]]=3,"High",Table1[[#This Row],[JobSatisfaction]]=4,"Very High")</f>
        <v>LoW</v>
      </c>
      <c r="H483" s="5">
        <v>3</v>
      </c>
      <c r="I483" t="str" cm="1">
        <f t="array" ref="I483">_xlfn.IFS(H483=1,"low",H483=2,"medium",H483=3,"balanced",H483=4,"Good")</f>
        <v>balanced</v>
      </c>
    </row>
    <row r="484" spans="1:9" x14ac:dyDescent="0.3">
      <c r="A484" s="14">
        <v>2</v>
      </c>
      <c r="B484" t="str" cm="1">
        <f t="array" ref="B484">_xlfn.IFS(Datasets!Q484=1,"LoW",Table1[[#This Row],[JobSatisfaction]]=2,"Medium",Table1[[#This Row],[JobSatisfaction]]=3,"High",Table1[[#This Row],[JobSatisfaction]]=4,"Very High")</f>
        <v>Medium</v>
      </c>
      <c r="H484" s="5">
        <v>3</v>
      </c>
      <c r="I484" t="str" cm="1">
        <f t="array" ref="I484">_xlfn.IFS(H484=1,"low",H484=2,"medium",H484=3,"balanced",H484=4,"Good")</f>
        <v>balanced</v>
      </c>
    </row>
    <row r="485" spans="1:9" x14ac:dyDescent="0.3">
      <c r="A485" s="13">
        <v>1</v>
      </c>
      <c r="B485" t="str" cm="1">
        <f t="array" ref="B485">_xlfn.IFS(Datasets!Q485=1,"LoW",Table1[[#This Row],[JobSatisfaction]]=2,"Medium",Table1[[#This Row],[JobSatisfaction]]=3,"High",Table1[[#This Row],[JobSatisfaction]]=4,"Very High")</f>
        <v>LoW</v>
      </c>
      <c r="H485" s="5">
        <v>3</v>
      </c>
      <c r="I485" t="str" cm="1">
        <f t="array" ref="I485">_xlfn.IFS(H485=1,"low",H485=2,"medium",H485=3,"balanced",H485=4,"Good")</f>
        <v>balanced</v>
      </c>
    </row>
    <row r="486" spans="1:9" x14ac:dyDescent="0.3">
      <c r="A486" s="14">
        <v>1</v>
      </c>
      <c r="B486" t="str" cm="1">
        <f t="array" ref="B486">_xlfn.IFS(Datasets!Q486=1,"LoW",Table1[[#This Row],[JobSatisfaction]]=2,"Medium",Table1[[#This Row],[JobSatisfaction]]=3,"High",Table1[[#This Row],[JobSatisfaction]]=4,"Very High")</f>
        <v>LoW</v>
      </c>
      <c r="H486" s="5">
        <v>3</v>
      </c>
      <c r="I486" t="str" cm="1">
        <f t="array" ref="I486">_xlfn.IFS(H486=1,"low",H486=2,"medium",H486=3,"balanced",H486=4,"Good")</f>
        <v>balanced</v>
      </c>
    </row>
    <row r="487" spans="1:9" x14ac:dyDescent="0.3">
      <c r="A487" s="13">
        <v>2</v>
      </c>
      <c r="B487" t="str" cm="1">
        <f t="array" ref="B487">_xlfn.IFS(Datasets!Q487=1,"LoW",Table1[[#This Row],[JobSatisfaction]]=2,"Medium",Table1[[#This Row],[JobSatisfaction]]=3,"High",Table1[[#This Row],[JobSatisfaction]]=4,"Very High")</f>
        <v>Medium</v>
      </c>
      <c r="H487" s="5">
        <v>3</v>
      </c>
      <c r="I487" t="str" cm="1">
        <f t="array" ref="I487">_xlfn.IFS(H487=1,"low",H487=2,"medium",H487=3,"balanced",H487=4,"Good")</f>
        <v>balanced</v>
      </c>
    </row>
    <row r="488" spans="1:9" x14ac:dyDescent="0.3">
      <c r="A488" s="14">
        <v>3</v>
      </c>
      <c r="B488" t="str" cm="1">
        <f t="array" ref="B488">_xlfn.IFS(Datasets!Q488=1,"LoW",Table1[[#This Row],[JobSatisfaction]]=2,"Medium",Table1[[#This Row],[JobSatisfaction]]=3,"High",Table1[[#This Row],[JobSatisfaction]]=4,"Very High")</f>
        <v>High</v>
      </c>
      <c r="H488" s="5">
        <v>3</v>
      </c>
      <c r="I488" t="str" cm="1">
        <f t="array" ref="I488">_xlfn.IFS(H488=1,"low",H488=2,"medium",H488=3,"balanced",H488=4,"Good")</f>
        <v>balanced</v>
      </c>
    </row>
    <row r="489" spans="1:9" x14ac:dyDescent="0.3">
      <c r="A489" s="13">
        <v>2</v>
      </c>
      <c r="B489" t="str" cm="1">
        <f t="array" ref="B489">_xlfn.IFS(Datasets!Q489=1,"LoW",Table1[[#This Row],[JobSatisfaction]]=2,"Medium",Table1[[#This Row],[JobSatisfaction]]=3,"High",Table1[[#This Row],[JobSatisfaction]]=4,"Very High")</f>
        <v>Medium</v>
      </c>
      <c r="H489" s="5">
        <v>3</v>
      </c>
      <c r="I489" t="str" cm="1">
        <f t="array" ref="I489">_xlfn.IFS(H489=1,"low",H489=2,"medium",H489=3,"balanced",H489=4,"Good")</f>
        <v>balanced</v>
      </c>
    </row>
    <row r="490" spans="1:9" x14ac:dyDescent="0.3">
      <c r="A490" s="14">
        <v>4</v>
      </c>
      <c r="B490" t="str" cm="1">
        <f t="array" ref="B490">_xlfn.IFS(Datasets!Q490=1,"LoW",Table1[[#This Row],[JobSatisfaction]]=2,"Medium",Table1[[#This Row],[JobSatisfaction]]=3,"High",Table1[[#This Row],[JobSatisfaction]]=4,"Very High")</f>
        <v>Very High</v>
      </c>
      <c r="H490" s="5">
        <v>3</v>
      </c>
      <c r="I490" t="str" cm="1">
        <f t="array" ref="I490">_xlfn.IFS(H490=1,"low",H490=2,"medium",H490=3,"balanced",H490=4,"Good")</f>
        <v>balanced</v>
      </c>
    </row>
    <row r="491" spans="1:9" x14ac:dyDescent="0.3">
      <c r="A491" s="13">
        <v>3</v>
      </c>
      <c r="B491" t="str" cm="1">
        <f t="array" ref="B491">_xlfn.IFS(Datasets!Q491=1,"LoW",Table1[[#This Row],[JobSatisfaction]]=2,"Medium",Table1[[#This Row],[JobSatisfaction]]=3,"High",Table1[[#This Row],[JobSatisfaction]]=4,"Very High")</f>
        <v>High</v>
      </c>
      <c r="H491" s="5">
        <v>3</v>
      </c>
      <c r="I491" t="str" cm="1">
        <f t="array" ref="I491">_xlfn.IFS(H491=1,"low",H491=2,"medium",H491=3,"balanced",H491=4,"Good")</f>
        <v>balanced</v>
      </c>
    </row>
    <row r="492" spans="1:9" x14ac:dyDescent="0.3">
      <c r="A492" s="14">
        <v>1</v>
      </c>
      <c r="B492" t="str" cm="1">
        <f t="array" ref="B492">_xlfn.IFS(Datasets!Q492=1,"LoW",Table1[[#This Row],[JobSatisfaction]]=2,"Medium",Table1[[#This Row],[JobSatisfaction]]=3,"High",Table1[[#This Row],[JobSatisfaction]]=4,"Very High")</f>
        <v>LoW</v>
      </c>
      <c r="H492" s="5">
        <v>3</v>
      </c>
      <c r="I492" t="str" cm="1">
        <f t="array" ref="I492">_xlfn.IFS(H492=1,"low",H492=2,"medium",H492=3,"balanced",H492=4,"Good")</f>
        <v>balanced</v>
      </c>
    </row>
    <row r="493" spans="1:9" x14ac:dyDescent="0.3">
      <c r="A493" s="13">
        <v>1</v>
      </c>
      <c r="B493" t="str" cm="1">
        <f t="array" ref="B493">_xlfn.IFS(Datasets!Q493=1,"LoW",Table1[[#This Row],[JobSatisfaction]]=2,"Medium",Table1[[#This Row],[JobSatisfaction]]=3,"High",Table1[[#This Row],[JobSatisfaction]]=4,"Very High")</f>
        <v>LoW</v>
      </c>
      <c r="H493" s="5">
        <v>4</v>
      </c>
      <c r="I493" t="str" cm="1">
        <f t="array" ref="I493">_xlfn.IFS(H493=1,"low",H493=2,"medium",H493=3,"balanced",H493=4,"Good")</f>
        <v>Good</v>
      </c>
    </row>
    <row r="494" spans="1:9" x14ac:dyDescent="0.3">
      <c r="A494" s="14">
        <v>3</v>
      </c>
      <c r="B494" t="str" cm="1">
        <f t="array" ref="B494">_xlfn.IFS(Datasets!Q494=1,"LoW",Table1[[#This Row],[JobSatisfaction]]=2,"Medium",Table1[[#This Row],[JobSatisfaction]]=3,"High",Table1[[#This Row],[JobSatisfaction]]=4,"Very High")</f>
        <v>High</v>
      </c>
      <c r="H494" s="5">
        <v>4</v>
      </c>
      <c r="I494" t="str" cm="1">
        <f t="array" ref="I494">_xlfn.IFS(H494=1,"low",H494=2,"medium",H494=3,"balanced",H494=4,"Good")</f>
        <v>Good</v>
      </c>
    </row>
    <row r="495" spans="1:9" x14ac:dyDescent="0.3">
      <c r="A495" s="13">
        <v>4</v>
      </c>
      <c r="B495" t="str" cm="1">
        <f t="array" ref="B495">_xlfn.IFS(Datasets!Q495=1,"LoW",Table1[[#This Row],[JobSatisfaction]]=2,"Medium",Table1[[#This Row],[JobSatisfaction]]=3,"High",Table1[[#This Row],[JobSatisfaction]]=4,"Very High")</f>
        <v>Very High</v>
      </c>
      <c r="H495" s="5">
        <v>2</v>
      </c>
      <c r="I495" t="str" cm="1">
        <f t="array" ref="I495">_xlfn.IFS(H495=1,"low",H495=2,"medium",H495=3,"balanced",H495=4,"Good")</f>
        <v>medium</v>
      </c>
    </row>
    <row r="496" spans="1:9" x14ac:dyDescent="0.3">
      <c r="A496" s="14">
        <v>4</v>
      </c>
      <c r="B496" t="str" cm="1">
        <f t="array" ref="B496">_xlfn.IFS(Datasets!Q496=1,"LoW",Table1[[#This Row],[JobSatisfaction]]=2,"Medium",Table1[[#This Row],[JobSatisfaction]]=3,"High",Table1[[#This Row],[JobSatisfaction]]=4,"Very High")</f>
        <v>Very High</v>
      </c>
      <c r="H496" s="5">
        <v>3</v>
      </c>
      <c r="I496" t="str" cm="1">
        <f t="array" ref="I496">_xlfn.IFS(H496=1,"low",H496=2,"medium",H496=3,"balanced",H496=4,"Good")</f>
        <v>balanced</v>
      </c>
    </row>
    <row r="497" spans="1:9" x14ac:dyDescent="0.3">
      <c r="A497" s="13">
        <v>4</v>
      </c>
      <c r="B497" t="str" cm="1">
        <f t="array" ref="B497">_xlfn.IFS(Datasets!Q497=1,"LoW",Table1[[#This Row],[JobSatisfaction]]=2,"Medium",Table1[[#This Row],[JobSatisfaction]]=3,"High",Table1[[#This Row],[JobSatisfaction]]=4,"Very High")</f>
        <v>Very High</v>
      </c>
      <c r="H497" s="5">
        <v>3</v>
      </c>
      <c r="I497" t="str" cm="1">
        <f t="array" ref="I497">_xlfn.IFS(H497=1,"low",H497=2,"medium",H497=3,"balanced",H497=4,"Good")</f>
        <v>balanced</v>
      </c>
    </row>
    <row r="498" spans="1:9" x14ac:dyDescent="0.3">
      <c r="A498" s="14">
        <v>4</v>
      </c>
      <c r="B498" t="str" cm="1">
        <f t="array" ref="B498">_xlfn.IFS(Datasets!Q498=1,"LoW",Table1[[#This Row],[JobSatisfaction]]=2,"Medium",Table1[[#This Row],[JobSatisfaction]]=3,"High",Table1[[#This Row],[JobSatisfaction]]=4,"Very High")</f>
        <v>Very High</v>
      </c>
      <c r="H498" s="5">
        <v>3</v>
      </c>
      <c r="I498" t="str" cm="1">
        <f t="array" ref="I498">_xlfn.IFS(H498=1,"low",H498=2,"medium",H498=3,"balanced",H498=4,"Good")</f>
        <v>balanced</v>
      </c>
    </row>
    <row r="499" spans="1:9" x14ac:dyDescent="0.3">
      <c r="A499" s="13">
        <v>3</v>
      </c>
      <c r="B499" t="str" cm="1">
        <f t="array" ref="B499">_xlfn.IFS(Datasets!Q499=1,"LoW",Table1[[#This Row],[JobSatisfaction]]=2,"Medium",Table1[[#This Row],[JobSatisfaction]]=3,"High",Table1[[#This Row],[JobSatisfaction]]=4,"Very High")</f>
        <v>High</v>
      </c>
      <c r="H499" s="5">
        <v>2</v>
      </c>
      <c r="I499" t="str" cm="1">
        <f t="array" ref="I499">_xlfn.IFS(H499=1,"low",H499=2,"medium",H499=3,"balanced",H499=4,"Good")</f>
        <v>medium</v>
      </c>
    </row>
    <row r="500" spans="1:9" x14ac:dyDescent="0.3">
      <c r="A500" s="14">
        <v>4</v>
      </c>
      <c r="B500" t="str" cm="1">
        <f t="array" ref="B500">_xlfn.IFS(Datasets!Q500=1,"LoW",Table1[[#This Row],[JobSatisfaction]]=2,"Medium",Table1[[#This Row],[JobSatisfaction]]=3,"High",Table1[[#This Row],[JobSatisfaction]]=4,"Very High")</f>
        <v>Very High</v>
      </c>
      <c r="H500" s="5">
        <v>4</v>
      </c>
      <c r="I500" t="str" cm="1">
        <f t="array" ref="I500">_xlfn.IFS(H500=1,"low",H500=2,"medium",H500=3,"balanced",H500=4,"Good")</f>
        <v>Good</v>
      </c>
    </row>
    <row r="501" spans="1:9" x14ac:dyDescent="0.3">
      <c r="A501" s="13">
        <v>2</v>
      </c>
      <c r="B501" t="str" cm="1">
        <f t="array" ref="B501">_xlfn.IFS(Datasets!Q501=1,"LoW",Table1[[#This Row],[JobSatisfaction]]=2,"Medium",Table1[[#This Row],[JobSatisfaction]]=3,"High",Table1[[#This Row],[JobSatisfaction]]=4,"Very High")</f>
        <v>Medium</v>
      </c>
      <c r="H501" s="5">
        <v>2</v>
      </c>
      <c r="I501" t="str" cm="1">
        <f t="array" ref="I501">_xlfn.IFS(H501=1,"low",H501=2,"medium",H501=3,"balanced",H501=4,"Good")</f>
        <v>medium</v>
      </c>
    </row>
    <row r="502" spans="1:9" x14ac:dyDescent="0.3">
      <c r="A502" s="14">
        <v>4</v>
      </c>
      <c r="B502" t="str" cm="1">
        <f t="array" ref="B502">_xlfn.IFS(Datasets!Q502=1,"LoW",Table1[[#This Row],[JobSatisfaction]]=2,"Medium",Table1[[#This Row],[JobSatisfaction]]=3,"High",Table1[[#This Row],[JobSatisfaction]]=4,"Very High")</f>
        <v>Very High</v>
      </c>
      <c r="H502" s="5">
        <v>3</v>
      </c>
      <c r="I502" t="str" cm="1">
        <f t="array" ref="I502">_xlfn.IFS(H502=1,"low",H502=2,"medium",H502=3,"balanced",H502=4,"Good")</f>
        <v>balanced</v>
      </c>
    </row>
    <row r="503" spans="1:9" x14ac:dyDescent="0.3">
      <c r="A503" s="13">
        <v>3</v>
      </c>
      <c r="B503" t="str" cm="1">
        <f t="array" ref="B503">_xlfn.IFS(Datasets!Q503=1,"LoW",Table1[[#This Row],[JobSatisfaction]]=2,"Medium",Table1[[#This Row],[JobSatisfaction]]=3,"High",Table1[[#This Row],[JobSatisfaction]]=4,"Very High")</f>
        <v>High</v>
      </c>
      <c r="H503" s="5">
        <v>3</v>
      </c>
      <c r="I503" t="str" cm="1">
        <f t="array" ref="I503">_xlfn.IFS(H503=1,"low",H503=2,"medium",H503=3,"balanced",H503=4,"Good")</f>
        <v>balanced</v>
      </c>
    </row>
    <row r="504" spans="1:9" x14ac:dyDescent="0.3">
      <c r="A504" s="14">
        <v>3</v>
      </c>
      <c r="B504" t="str" cm="1">
        <f t="array" ref="B504">_xlfn.IFS(Datasets!Q504=1,"LoW",Table1[[#This Row],[JobSatisfaction]]=2,"Medium",Table1[[#This Row],[JobSatisfaction]]=3,"High",Table1[[#This Row],[JobSatisfaction]]=4,"Very High")</f>
        <v>High</v>
      </c>
      <c r="H504" s="5">
        <v>3</v>
      </c>
      <c r="I504" t="str" cm="1">
        <f t="array" ref="I504">_xlfn.IFS(H504=1,"low",H504=2,"medium",H504=3,"balanced",H504=4,"Good")</f>
        <v>balanced</v>
      </c>
    </row>
    <row r="505" spans="1:9" x14ac:dyDescent="0.3">
      <c r="A505" s="13">
        <v>4</v>
      </c>
      <c r="B505" t="str" cm="1">
        <f t="array" ref="B505">_xlfn.IFS(Datasets!Q505=1,"LoW",Table1[[#This Row],[JobSatisfaction]]=2,"Medium",Table1[[#This Row],[JobSatisfaction]]=3,"High",Table1[[#This Row],[JobSatisfaction]]=4,"Very High")</f>
        <v>Very High</v>
      </c>
      <c r="H505" s="5">
        <v>1</v>
      </c>
      <c r="I505" t="str" cm="1">
        <f t="array" ref="I505">_xlfn.IFS(H505=1,"low",H505=2,"medium",H505=3,"balanced",H505=4,"Good")</f>
        <v>low</v>
      </c>
    </row>
    <row r="506" spans="1:9" x14ac:dyDescent="0.3">
      <c r="A506" s="14">
        <v>3</v>
      </c>
      <c r="B506" t="str" cm="1">
        <f t="array" ref="B506">_xlfn.IFS(Datasets!Q506=1,"LoW",Table1[[#This Row],[JobSatisfaction]]=2,"Medium",Table1[[#This Row],[JobSatisfaction]]=3,"High",Table1[[#This Row],[JobSatisfaction]]=4,"Very High")</f>
        <v>High</v>
      </c>
      <c r="H506" s="5">
        <v>1</v>
      </c>
      <c r="I506" t="str" cm="1">
        <f t="array" ref="I506">_xlfn.IFS(H506=1,"low",H506=2,"medium",H506=3,"balanced",H506=4,"Good")</f>
        <v>low</v>
      </c>
    </row>
    <row r="507" spans="1:9" x14ac:dyDescent="0.3">
      <c r="A507" s="13">
        <v>4</v>
      </c>
      <c r="B507" t="str" cm="1">
        <f t="array" ref="B507">_xlfn.IFS(Datasets!Q507=1,"LoW",Table1[[#This Row],[JobSatisfaction]]=2,"Medium",Table1[[#This Row],[JobSatisfaction]]=3,"High",Table1[[#This Row],[JobSatisfaction]]=4,"Very High")</f>
        <v>Very High</v>
      </c>
      <c r="H507" s="5">
        <v>1</v>
      </c>
      <c r="I507" t="str" cm="1">
        <f t="array" ref="I507">_xlfn.IFS(H507=1,"low",H507=2,"medium",H507=3,"balanced",H507=4,"Good")</f>
        <v>low</v>
      </c>
    </row>
    <row r="508" spans="1:9" x14ac:dyDescent="0.3">
      <c r="A508" s="14">
        <v>2</v>
      </c>
      <c r="B508" t="str" cm="1">
        <f t="array" ref="B508">_xlfn.IFS(Datasets!Q508=1,"LoW",Table1[[#This Row],[JobSatisfaction]]=2,"Medium",Table1[[#This Row],[JobSatisfaction]]=3,"High",Table1[[#This Row],[JobSatisfaction]]=4,"Very High")</f>
        <v>Medium</v>
      </c>
      <c r="H508" s="5">
        <v>1</v>
      </c>
      <c r="I508" t="str" cm="1">
        <f t="array" ref="I508">_xlfn.IFS(H508=1,"low",H508=2,"medium",H508=3,"balanced",H508=4,"Good")</f>
        <v>low</v>
      </c>
    </row>
    <row r="509" spans="1:9" x14ac:dyDescent="0.3">
      <c r="A509" s="13">
        <v>2</v>
      </c>
      <c r="B509" t="str" cm="1">
        <f t="array" ref="B509">_xlfn.IFS(Datasets!Q509=1,"LoW",Table1[[#This Row],[JobSatisfaction]]=2,"Medium",Table1[[#This Row],[JobSatisfaction]]=3,"High",Table1[[#This Row],[JobSatisfaction]]=4,"Very High")</f>
        <v>Medium</v>
      </c>
      <c r="H509" s="5">
        <v>2</v>
      </c>
      <c r="I509" t="str" cm="1">
        <f t="array" ref="I509">_xlfn.IFS(H509=1,"low",H509=2,"medium",H509=3,"balanced",H509=4,"Good")</f>
        <v>medium</v>
      </c>
    </row>
    <row r="510" spans="1:9" x14ac:dyDescent="0.3">
      <c r="A510" s="14">
        <v>3</v>
      </c>
      <c r="B510" t="str" cm="1">
        <f t="array" ref="B510">_xlfn.IFS(Datasets!Q510=1,"LoW",Table1[[#This Row],[JobSatisfaction]]=2,"Medium",Table1[[#This Row],[JobSatisfaction]]=3,"High",Table1[[#This Row],[JobSatisfaction]]=4,"Very High")</f>
        <v>High</v>
      </c>
      <c r="H510" s="5">
        <v>3</v>
      </c>
      <c r="I510" t="str" cm="1">
        <f t="array" ref="I510">_xlfn.IFS(H510=1,"low",H510=2,"medium",H510=3,"balanced",H510=4,"Good")</f>
        <v>balanced</v>
      </c>
    </row>
    <row r="511" spans="1:9" x14ac:dyDescent="0.3">
      <c r="A511" s="13">
        <v>4</v>
      </c>
      <c r="B511" t="str" cm="1">
        <f t="array" ref="B511">_xlfn.IFS(Datasets!Q511=1,"LoW",Table1[[#This Row],[JobSatisfaction]]=2,"Medium",Table1[[#This Row],[JobSatisfaction]]=3,"High",Table1[[#This Row],[JobSatisfaction]]=4,"Very High")</f>
        <v>Very High</v>
      </c>
      <c r="H511" s="5">
        <v>3</v>
      </c>
      <c r="I511" t="str" cm="1">
        <f t="array" ref="I511">_xlfn.IFS(H511=1,"low",H511=2,"medium",H511=3,"balanced",H511=4,"Good")</f>
        <v>balanced</v>
      </c>
    </row>
    <row r="512" spans="1:9" x14ac:dyDescent="0.3">
      <c r="A512" s="14">
        <v>4</v>
      </c>
      <c r="B512" t="str" cm="1">
        <f t="array" ref="B512">_xlfn.IFS(Datasets!Q512=1,"LoW",Table1[[#This Row],[JobSatisfaction]]=2,"Medium",Table1[[#This Row],[JobSatisfaction]]=3,"High",Table1[[#This Row],[JobSatisfaction]]=4,"Very High")</f>
        <v>Very High</v>
      </c>
      <c r="H512" s="5">
        <v>3</v>
      </c>
      <c r="I512" t="str" cm="1">
        <f t="array" ref="I512">_xlfn.IFS(H512=1,"low",H512=2,"medium",H512=3,"balanced",H512=4,"Good")</f>
        <v>balanced</v>
      </c>
    </row>
    <row r="513" spans="1:9" x14ac:dyDescent="0.3">
      <c r="A513" s="13">
        <v>4</v>
      </c>
      <c r="B513" t="str" cm="1">
        <f t="array" ref="B513">_xlfn.IFS(Datasets!Q513=1,"LoW",Table1[[#This Row],[JobSatisfaction]]=2,"Medium",Table1[[#This Row],[JobSatisfaction]]=3,"High",Table1[[#This Row],[JobSatisfaction]]=4,"Very High")</f>
        <v>Very High</v>
      </c>
      <c r="H513" s="5">
        <v>2</v>
      </c>
      <c r="I513" t="str" cm="1">
        <f t="array" ref="I513">_xlfn.IFS(H513=1,"low",H513=2,"medium",H513=3,"balanced",H513=4,"Good")</f>
        <v>medium</v>
      </c>
    </row>
    <row r="514" spans="1:9" x14ac:dyDescent="0.3">
      <c r="A514" s="14">
        <v>3</v>
      </c>
      <c r="B514" t="str" cm="1">
        <f t="array" ref="B514">_xlfn.IFS(Datasets!Q514=1,"LoW",Table1[[#This Row],[JobSatisfaction]]=2,"Medium",Table1[[#This Row],[JobSatisfaction]]=3,"High",Table1[[#This Row],[JobSatisfaction]]=4,"Very High")</f>
        <v>High</v>
      </c>
      <c r="H514" s="5">
        <v>3</v>
      </c>
      <c r="I514" t="str" cm="1">
        <f t="array" ref="I514">_xlfn.IFS(H514=1,"low",H514=2,"medium",H514=3,"balanced",H514=4,"Good")</f>
        <v>balanced</v>
      </c>
    </row>
    <row r="515" spans="1:9" x14ac:dyDescent="0.3">
      <c r="A515" s="13">
        <v>1</v>
      </c>
      <c r="B515" t="str" cm="1">
        <f t="array" ref="B515">_xlfn.IFS(Datasets!Q515=1,"LoW",Table1[[#This Row],[JobSatisfaction]]=2,"Medium",Table1[[#This Row],[JobSatisfaction]]=3,"High",Table1[[#This Row],[JobSatisfaction]]=4,"Very High")</f>
        <v>LoW</v>
      </c>
      <c r="H515" s="5">
        <v>1</v>
      </c>
      <c r="I515" t="str" cm="1">
        <f t="array" ref="I515">_xlfn.IFS(H515=1,"low",H515=2,"medium",H515=3,"balanced",H515=4,"Good")</f>
        <v>low</v>
      </c>
    </row>
    <row r="516" spans="1:9" x14ac:dyDescent="0.3">
      <c r="A516" s="14">
        <v>4</v>
      </c>
      <c r="B516" t="str" cm="1">
        <f t="array" ref="B516">_xlfn.IFS(Datasets!Q516=1,"LoW",Table1[[#This Row],[JobSatisfaction]]=2,"Medium",Table1[[#This Row],[JobSatisfaction]]=3,"High",Table1[[#This Row],[JobSatisfaction]]=4,"Very High")</f>
        <v>Very High</v>
      </c>
      <c r="H516" s="5">
        <v>4</v>
      </c>
      <c r="I516" t="str" cm="1">
        <f t="array" ref="I516">_xlfn.IFS(H516=1,"low",H516=2,"medium",H516=3,"balanced",H516=4,"Good")</f>
        <v>Good</v>
      </c>
    </row>
    <row r="517" spans="1:9" x14ac:dyDescent="0.3">
      <c r="A517" s="13">
        <v>3</v>
      </c>
      <c r="B517" t="str" cm="1">
        <f t="array" ref="B517">_xlfn.IFS(Datasets!Q517=1,"LoW",Table1[[#This Row],[JobSatisfaction]]=2,"Medium",Table1[[#This Row],[JobSatisfaction]]=3,"High",Table1[[#This Row],[JobSatisfaction]]=4,"Very High")</f>
        <v>High</v>
      </c>
      <c r="H517" s="5">
        <v>4</v>
      </c>
      <c r="I517" t="str" cm="1">
        <f t="array" ref="I517">_xlfn.IFS(H517=1,"low",H517=2,"medium",H517=3,"balanced",H517=4,"Good")</f>
        <v>Good</v>
      </c>
    </row>
    <row r="518" spans="1:9" x14ac:dyDescent="0.3">
      <c r="A518" s="14">
        <v>2</v>
      </c>
      <c r="B518" t="str" cm="1">
        <f t="array" ref="B518">_xlfn.IFS(Datasets!Q518=1,"LoW",Table1[[#This Row],[JobSatisfaction]]=2,"Medium",Table1[[#This Row],[JobSatisfaction]]=3,"High",Table1[[#This Row],[JobSatisfaction]]=4,"Very High")</f>
        <v>Medium</v>
      </c>
      <c r="H518" s="5">
        <v>3</v>
      </c>
      <c r="I518" t="str" cm="1">
        <f t="array" ref="I518">_xlfn.IFS(H518=1,"low",H518=2,"medium",H518=3,"balanced",H518=4,"Good")</f>
        <v>balanced</v>
      </c>
    </row>
    <row r="519" spans="1:9" x14ac:dyDescent="0.3">
      <c r="A519" s="13">
        <v>3</v>
      </c>
      <c r="B519" t="str" cm="1">
        <f t="array" ref="B519">_xlfn.IFS(Datasets!Q519=1,"LoW",Table1[[#This Row],[JobSatisfaction]]=2,"Medium",Table1[[#This Row],[JobSatisfaction]]=3,"High",Table1[[#This Row],[JobSatisfaction]]=4,"Very High")</f>
        <v>High</v>
      </c>
      <c r="H519" s="5">
        <v>3</v>
      </c>
      <c r="I519" t="str" cm="1">
        <f t="array" ref="I519">_xlfn.IFS(H519=1,"low",H519=2,"medium",H519=3,"balanced",H519=4,"Good")</f>
        <v>balanced</v>
      </c>
    </row>
    <row r="520" spans="1:9" x14ac:dyDescent="0.3">
      <c r="A520" s="14">
        <v>2</v>
      </c>
      <c r="B520" t="str" cm="1">
        <f t="array" ref="B520">_xlfn.IFS(Datasets!Q520=1,"LoW",Table1[[#This Row],[JobSatisfaction]]=2,"Medium",Table1[[#This Row],[JobSatisfaction]]=3,"High",Table1[[#This Row],[JobSatisfaction]]=4,"Very High")</f>
        <v>Medium</v>
      </c>
      <c r="H520" s="5">
        <v>3</v>
      </c>
      <c r="I520" t="str" cm="1">
        <f t="array" ref="I520">_xlfn.IFS(H520=1,"low",H520=2,"medium",H520=3,"balanced",H520=4,"Good")</f>
        <v>balanced</v>
      </c>
    </row>
    <row r="521" spans="1:9" x14ac:dyDescent="0.3">
      <c r="A521" s="13">
        <v>4</v>
      </c>
      <c r="B521" t="str" cm="1">
        <f t="array" ref="B521">_xlfn.IFS(Datasets!Q521=1,"LoW",Table1[[#This Row],[JobSatisfaction]]=2,"Medium",Table1[[#This Row],[JobSatisfaction]]=3,"High",Table1[[#This Row],[JobSatisfaction]]=4,"Very High")</f>
        <v>Very High</v>
      </c>
      <c r="H521" s="5">
        <v>3</v>
      </c>
      <c r="I521" t="str" cm="1">
        <f t="array" ref="I521">_xlfn.IFS(H521=1,"low",H521=2,"medium",H521=3,"balanced",H521=4,"Good")</f>
        <v>balanced</v>
      </c>
    </row>
    <row r="522" spans="1:9" x14ac:dyDescent="0.3">
      <c r="A522" s="14">
        <v>2</v>
      </c>
      <c r="B522" t="str" cm="1">
        <f t="array" ref="B522">_xlfn.IFS(Datasets!Q522=1,"LoW",Table1[[#This Row],[JobSatisfaction]]=2,"Medium",Table1[[#This Row],[JobSatisfaction]]=3,"High",Table1[[#This Row],[JobSatisfaction]]=4,"Very High")</f>
        <v>Medium</v>
      </c>
      <c r="H522" s="5">
        <v>3</v>
      </c>
      <c r="I522" t="str" cm="1">
        <f t="array" ref="I522">_xlfn.IFS(H522=1,"low",H522=2,"medium",H522=3,"balanced",H522=4,"Good")</f>
        <v>balanced</v>
      </c>
    </row>
    <row r="523" spans="1:9" x14ac:dyDescent="0.3">
      <c r="A523" s="13">
        <v>4</v>
      </c>
      <c r="B523" t="str" cm="1">
        <f t="array" ref="B523">_xlfn.IFS(Datasets!Q523=1,"LoW",Table1[[#This Row],[JobSatisfaction]]=2,"Medium",Table1[[#This Row],[JobSatisfaction]]=3,"High",Table1[[#This Row],[JobSatisfaction]]=4,"Very High")</f>
        <v>Very High</v>
      </c>
      <c r="H523" s="5">
        <v>2</v>
      </c>
      <c r="I523" t="str" cm="1">
        <f t="array" ref="I523">_xlfn.IFS(H523=1,"low",H523=2,"medium",H523=3,"balanced",H523=4,"Good")</f>
        <v>medium</v>
      </c>
    </row>
    <row r="524" spans="1:9" x14ac:dyDescent="0.3">
      <c r="A524" s="14">
        <v>3</v>
      </c>
      <c r="B524" t="str" cm="1">
        <f t="array" ref="B524">_xlfn.IFS(Datasets!Q524=1,"LoW",Table1[[#This Row],[JobSatisfaction]]=2,"Medium",Table1[[#This Row],[JobSatisfaction]]=3,"High",Table1[[#This Row],[JobSatisfaction]]=4,"Very High")</f>
        <v>High</v>
      </c>
      <c r="H524" s="5">
        <v>3</v>
      </c>
      <c r="I524" t="str" cm="1">
        <f t="array" ref="I524">_xlfn.IFS(H524=1,"low",H524=2,"medium",H524=3,"balanced",H524=4,"Good")</f>
        <v>balanced</v>
      </c>
    </row>
    <row r="525" spans="1:9" x14ac:dyDescent="0.3">
      <c r="A525" s="13">
        <v>4</v>
      </c>
      <c r="B525" t="str" cm="1">
        <f t="array" ref="B525">_xlfn.IFS(Datasets!Q525=1,"LoW",Table1[[#This Row],[JobSatisfaction]]=2,"Medium",Table1[[#This Row],[JobSatisfaction]]=3,"High",Table1[[#This Row],[JobSatisfaction]]=4,"Very High")</f>
        <v>Very High</v>
      </c>
      <c r="H525" s="5">
        <v>3</v>
      </c>
      <c r="I525" t="str" cm="1">
        <f t="array" ref="I525">_xlfn.IFS(H525=1,"low",H525=2,"medium",H525=3,"balanced",H525=4,"Good")</f>
        <v>balanced</v>
      </c>
    </row>
    <row r="526" spans="1:9" x14ac:dyDescent="0.3">
      <c r="A526" s="14">
        <v>1</v>
      </c>
      <c r="B526" t="str" cm="1">
        <f t="array" ref="B526">_xlfn.IFS(Datasets!Q526=1,"LoW",Table1[[#This Row],[JobSatisfaction]]=2,"Medium",Table1[[#This Row],[JobSatisfaction]]=3,"High",Table1[[#This Row],[JobSatisfaction]]=4,"Very High")</f>
        <v>LoW</v>
      </c>
      <c r="H526" s="5">
        <v>3</v>
      </c>
      <c r="I526" t="str" cm="1">
        <f t="array" ref="I526">_xlfn.IFS(H526=1,"low",H526=2,"medium",H526=3,"balanced",H526=4,"Good")</f>
        <v>balanced</v>
      </c>
    </row>
    <row r="527" spans="1:9" x14ac:dyDescent="0.3">
      <c r="A527" s="13">
        <v>4</v>
      </c>
      <c r="B527" t="str" cm="1">
        <f t="array" ref="B527">_xlfn.IFS(Datasets!Q527=1,"LoW",Table1[[#This Row],[JobSatisfaction]]=2,"Medium",Table1[[#This Row],[JobSatisfaction]]=3,"High",Table1[[#This Row],[JobSatisfaction]]=4,"Very High")</f>
        <v>Very High</v>
      </c>
      <c r="H527" s="5">
        <v>3</v>
      </c>
      <c r="I527" t="str" cm="1">
        <f t="array" ref="I527">_xlfn.IFS(H527=1,"low",H527=2,"medium",H527=3,"balanced",H527=4,"Good")</f>
        <v>balanced</v>
      </c>
    </row>
    <row r="528" spans="1:9" x14ac:dyDescent="0.3">
      <c r="A528" s="14">
        <v>1</v>
      </c>
      <c r="B528" t="str" cm="1">
        <f t="array" ref="B528">_xlfn.IFS(Datasets!Q528=1,"LoW",Table1[[#This Row],[JobSatisfaction]]=2,"Medium",Table1[[#This Row],[JobSatisfaction]]=3,"High",Table1[[#This Row],[JobSatisfaction]]=4,"Very High")</f>
        <v>LoW</v>
      </c>
      <c r="H528" s="5">
        <v>4</v>
      </c>
      <c r="I528" t="str" cm="1">
        <f t="array" ref="I528">_xlfn.IFS(H528=1,"low",H528=2,"medium",H528=3,"balanced",H528=4,"Good")</f>
        <v>Good</v>
      </c>
    </row>
    <row r="529" spans="1:9" x14ac:dyDescent="0.3">
      <c r="A529" s="13">
        <v>4</v>
      </c>
      <c r="B529" t="str" cm="1">
        <f t="array" ref="B529">_xlfn.IFS(Datasets!Q529=1,"LoW",Table1[[#This Row],[JobSatisfaction]]=2,"Medium",Table1[[#This Row],[JobSatisfaction]]=3,"High",Table1[[#This Row],[JobSatisfaction]]=4,"Very High")</f>
        <v>Very High</v>
      </c>
      <c r="H529" s="5">
        <v>2</v>
      </c>
      <c r="I529" t="str" cm="1">
        <f t="array" ref="I529">_xlfn.IFS(H529=1,"low",H529=2,"medium",H529=3,"balanced",H529=4,"Good")</f>
        <v>medium</v>
      </c>
    </row>
    <row r="530" spans="1:9" x14ac:dyDescent="0.3">
      <c r="A530" s="14">
        <v>1</v>
      </c>
      <c r="B530" t="str" cm="1">
        <f t="array" ref="B530">_xlfn.IFS(Datasets!Q530=1,"LoW",Table1[[#This Row],[JobSatisfaction]]=2,"Medium",Table1[[#This Row],[JobSatisfaction]]=3,"High",Table1[[#This Row],[JobSatisfaction]]=4,"Very High")</f>
        <v>LoW</v>
      </c>
      <c r="H530" s="5">
        <v>3</v>
      </c>
      <c r="I530" t="str" cm="1">
        <f t="array" ref="I530">_xlfn.IFS(H530=1,"low",H530=2,"medium",H530=3,"balanced",H530=4,"Good")</f>
        <v>balanced</v>
      </c>
    </row>
    <row r="531" spans="1:9" x14ac:dyDescent="0.3">
      <c r="A531" s="13">
        <v>1</v>
      </c>
      <c r="B531" t="str" cm="1">
        <f t="array" ref="B531">_xlfn.IFS(Datasets!Q531=1,"LoW",Table1[[#This Row],[JobSatisfaction]]=2,"Medium",Table1[[#This Row],[JobSatisfaction]]=3,"High",Table1[[#This Row],[JobSatisfaction]]=4,"Very High")</f>
        <v>LoW</v>
      </c>
      <c r="H531" s="5">
        <v>2</v>
      </c>
      <c r="I531" t="str" cm="1">
        <f t="array" ref="I531">_xlfn.IFS(H531=1,"low",H531=2,"medium",H531=3,"balanced",H531=4,"Good")</f>
        <v>medium</v>
      </c>
    </row>
    <row r="532" spans="1:9" x14ac:dyDescent="0.3">
      <c r="A532" s="14">
        <v>4</v>
      </c>
      <c r="B532" t="str" cm="1">
        <f t="array" ref="B532">_xlfn.IFS(Datasets!Q532=1,"LoW",Table1[[#This Row],[JobSatisfaction]]=2,"Medium",Table1[[#This Row],[JobSatisfaction]]=3,"High",Table1[[#This Row],[JobSatisfaction]]=4,"Very High")</f>
        <v>Very High</v>
      </c>
      <c r="H532" s="5">
        <v>3</v>
      </c>
      <c r="I532" t="str" cm="1">
        <f t="array" ref="I532">_xlfn.IFS(H532=1,"low",H532=2,"medium",H532=3,"balanced",H532=4,"Good")</f>
        <v>balanced</v>
      </c>
    </row>
    <row r="533" spans="1:9" x14ac:dyDescent="0.3">
      <c r="A533" s="13">
        <v>2</v>
      </c>
      <c r="B533" t="str" cm="1">
        <f t="array" ref="B533">_xlfn.IFS(Datasets!Q533=1,"LoW",Table1[[#This Row],[JobSatisfaction]]=2,"Medium",Table1[[#This Row],[JobSatisfaction]]=3,"High",Table1[[#This Row],[JobSatisfaction]]=4,"Very High")</f>
        <v>Medium</v>
      </c>
      <c r="H533" s="5">
        <v>3</v>
      </c>
      <c r="I533" t="str" cm="1">
        <f t="array" ref="I533">_xlfn.IFS(H533=1,"low",H533=2,"medium",H533=3,"balanced",H533=4,"Good")</f>
        <v>balanced</v>
      </c>
    </row>
    <row r="534" spans="1:9" x14ac:dyDescent="0.3">
      <c r="A534" s="14">
        <v>2</v>
      </c>
      <c r="B534" t="str" cm="1">
        <f t="array" ref="B534">_xlfn.IFS(Datasets!Q534=1,"LoW",Table1[[#This Row],[JobSatisfaction]]=2,"Medium",Table1[[#This Row],[JobSatisfaction]]=3,"High",Table1[[#This Row],[JobSatisfaction]]=4,"Very High")</f>
        <v>Medium</v>
      </c>
      <c r="H534" s="5">
        <v>1</v>
      </c>
      <c r="I534" t="str" cm="1">
        <f t="array" ref="I534">_xlfn.IFS(H534=1,"low",H534=2,"medium",H534=3,"balanced",H534=4,"Good")</f>
        <v>low</v>
      </c>
    </row>
    <row r="535" spans="1:9" x14ac:dyDescent="0.3">
      <c r="A535" s="13">
        <v>4</v>
      </c>
      <c r="B535" t="str" cm="1">
        <f t="array" ref="B535">_xlfn.IFS(Datasets!Q535=1,"LoW",Table1[[#This Row],[JobSatisfaction]]=2,"Medium",Table1[[#This Row],[JobSatisfaction]]=3,"High",Table1[[#This Row],[JobSatisfaction]]=4,"Very High")</f>
        <v>Very High</v>
      </c>
      <c r="H535" s="5">
        <v>3</v>
      </c>
      <c r="I535" t="str" cm="1">
        <f t="array" ref="I535">_xlfn.IFS(H535=1,"low",H535=2,"medium",H535=3,"balanced",H535=4,"Good")</f>
        <v>balanced</v>
      </c>
    </row>
    <row r="536" spans="1:9" x14ac:dyDescent="0.3">
      <c r="A536" s="14">
        <v>1</v>
      </c>
      <c r="B536" t="str" cm="1">
        <f t="array" ref="B536">_xlfn.IFS(Datasets!Q536=1,"LoW",Table1[[#This Row],[JobSatisfaction]]=2,"Medium",Table1[[#This Row],[JobSatisfaction]]=3,"High",Table1[[#This Row],[JobSatisfaction]]=4,"Very High")</f>
        <v>LoW</v>
      </c>
      <c r="H536" s="5">
        <v>3</v>
      </c>
      <c r="I536" t="str" cm="1">
        <f t="array" ref="I536">_xlfn.IFS(H536=1,"low",H536=2,"medium",H536=3,"balanced",H536=4,"Good")</f>
        <v>balanced</v>
      </c>
    </row>
    <row r="537" spans="1:9" x14ac:dyDescent="0.3">
      <c r="A537" s="13">
        <v>3</v>
      </c>
      <c r="B537" t="str" cm="1">
        <f t="array" ref="B537">_xlfn.IFS(Datasets!Q537=1,"LoW",Table1[[#This Row],[JobSatisfaction]]=2,"Medium",Table1[[#This Row],[JobSatisfaction]]=3,"High",Table1[[#This Row],[JobSatisfaction]]=4,"Very High")</f>
        <v>High</v>
      </c>
      <c r="H537" s="5">
        <v>3</v>
      </c>
      <c r="I537" t="str" cm="1">
        <f t="array" ref="I537">_xlfn.IFS(H537=1,"low",H537=2,"medium",H537=3,"balanced",H537=4,"Good")</f>
        <v>balanced</v>
      </c>
    </row>
    <row r="538" spans="1:9" x14ac:dyDescent="0.3">
      <c r="A538" s="14">
        <v>3</v>
      </c>
      <c r="B538" t="str" cm="1">
        <f t="array" ref="B538">_xlfn.IFS(Datasets!Q538=1,"LoW",Table1[[#This Row],[JobSatisfaction]]=2,"Medium",Table1[[#This Row],[JobSatisfaction]]=3,"High",Table1[[#This Row],[JobSatisfaction]]=4,"Very High")</f>
        <v>High</v>
      </c>
      <c r="H538" s="5">
        <v>4</v>
      </c>
      <c r="I538" t="str" cm="1">
        <f t="array" ref="I538">_xlfn.IFS(H538=1,"low",H538=2,"medium",H538=3,"balanced",H538=4,"Good")</f>
        <v>Good</v>
      </c>
    </row>
    <row r="539" spans="1:9" x14ac:dyDescent="0.3">
      <c r="A539" s="13">
        <v>3</v>
      </c>
      <c r="B539" t="str" cm="1">
        <f t="array" ref="B539">_xlfn.IFS(Datasets!Q539=1,"LoW",Table1[[#This Row],[JobSatisfaction]]=2,"Medium",Table1[[#This Row],[JobSatisfaction]]=3,"High",Table1[[#This Row],[JobSatisfaction]]=4,"Very High")</f>
        <v>High</v>
      </c>
      <c r="H539" s="5">
        <v>2</v>
      </c>
      <c r="I539" t="str" cm="1">
        <f t="array" ref="I539">_xlfn.IFS(H539=1,"low",H539=2,"medium",H539=3,"balanced",H539=4,"Good")</f>
        <v>medium</v>
      </c>
    </row>
    <row r="540" spans="1:9" x14ac:dyDescent="0.3">
      <c r="A540" s="14">
        <v>3</v>
      </c>
      <c r="B540" t="str" cm="1">
        <f t="array" ref="B540">_xlfn.IFS(Datasets!Q540=1,"LoW",Table1[[#This Row],[JobSatisfaction]]=2,"Medium",Table1[[#This Row],[JobSatisfaction]]=3,"High",Table1[[#This Row],[JobSatisfaction]]=4,"Very High")</f>
        <v>High</v>
      </c>
      <c r="H540" s="5">
        <v>2</v>
      </c>
      <c r="I540" t="str" cm="1">
        <f t="array" ref="I540">_xlfn.IFS(H540=1,"low",H540=2,"medium",H540=3,"balanced",H540=4,"Good")</f>
        <v>medium</v>
      </c>
    </row>
    <row r="541" spans="1:9" x14ac:dyDescent="0.3">
      <c r="A541" s="13">
        <v>4</v>
      </c>
      <c r="B541" t="str" cm="1">
        <f t="array" ref="B541">_xlfn.IFS(Datasets!Q541=1,"LoW",Table1[[#This Row],[JobSatisfaction]]=2,"Medium",Table1[[#This Row],[JobSatisfaction]]=3,"High",Table1[[#This Row],[JobSatisfaction]]=4,"Very High")</f>
        <v>Very High</v>
      </c>
      <c r="H541" s="5">
        <v>3</v>
      </c>
      <c r="I541" t="str" cm="1">
        <f t="array" ref="I541">_xlfn.IFS(H541=1,"low",H541=2,"medium",H541=3,"balanced",H541=4,"Good")</f>
        <v>balanced</v>
      </c>
    </row>
    <row r="542" spans="1:9" x14ac:dyDescent="0.3">
      <c r="A542" s="14">
        <v>4</v>
      </c>
      <c r="B542" t="str" cm="1">
        <f t="array" ref="B542">_xlfn.IFS(Datasets!Q542=1,"LoW",Table1[[#This Row],[JobSatisfaction]]=2,"Medium",Table1[[#This Row],[JobSatisfaction]]=3,"High",Table1[[#This Row],[JobSatisfaction]]=4,"Very High")</f>
        <v>Very High</v>
      </c>
      <c r="H542" s="5">
        <v>4</v>
      </c>
      <c r="I542" t="str" cm="1">
        <f t="array" ref="I542">_xlfn.IFS(H542=1,"low",H542=2,"medium",H542=3,"balanced",H542=4,"Good")</f>
        <v>Good</v>
      </c>
    </row>
    <row r="543" spans="1:9" x14ac:dyDescent="0.3">
      <c r="A543" s="13">
        <v>3</v>
      </c>
      <c r="B543" t="str" cm="1">
        <f t="array" ref="B543">_xlfn.IFS(Datasets!Q543=1,"LoW",Table1[[#This Row],[JobSatisfaction]]=2,"Medium",Table1[[#This Row],[JobSatisfaction]]=3,"High",Table1[[#This Row],[JobSatisfaction]]=4,"Very High")</f>
        <v>High</v>
      </c>
      <c r="H543" s="5">
        <v>3</v>
      </c>
      <c r="I543" t="str" cm="1">
        <f t="array" ref="I543">_xlfn.IFS(H543=1,"low",H543=2,"medium",H543=3,"balanced",H543=4,"Good")</f>
        <v>balanced</v>
      </c>
    </row>
    <row r="544" spans="1:9" x14ac:dyDescent="0.3">
      <c r="A544" s="14">
        <v>1</v>
      </c>
      <c r="B544" t="str" cm="1">
        <f t="array" ref="B544">_xlfn.IFS(Datasets!Q544=1,"LoW",Table1[[#This Row],[JobSatisfaction]]=2,"Medium",Table1[[#This Row],[JobSatisfaction]]=3,"High",Table1[[#This Row],[JobSatisfaction]]=4,"Very High")</f>
        <v>LoW</v>
      </c>
      <c r="H544" s="5">
        <v>3</v>
      </c>
      <c r="I544" t="str" cm="1">
        <f t="array" ref="I544">_xlfn.IFS(H544=1,"low",H544=2,"medium",H544=3,"balanced",H544=4,"Good")</f>
        <v>balanced</v>
      </c>
    </row>
    <row r="545" spans="1:9" x14ac:dyDescent="0.3">
      <c r="A545" s="13">
        <v>3</v>
      </c>
      <c r="B545" t="str" cm="1">
        <f t="array" ref="B545">_xlfn.IFS(Datasets!Q545=1,"LoW",Table1[[#This Row],[JobSatisfaction]]=2,"Medium",Table1[[#This Row],[JobSatisfaction]]=3,"High",Table1[[#This Row],[JobSatisfaction]]=4,"Very High")</f>
        <v>High</v>
      </c>
      <c r="H545" s="5">
        <v>3</v>
      </c>
      <c r="I545" t="str" cm="1">
        <f t="array" ref="I545">_xlfn.IFS(H545=1,"low",H545=2,"medium",H545=3,"balanced",H545=4,"Good")</f>
        <v>balanced</v>
      </c>
    </row>
    <row r="546" spans="1:9" x14ac:dyDescent="0.3">
      <c r="A546" s="14">
        <v>3</v>
      </c>
      <c r="B546" t="str" cm="1">
        <f t="array" ref="B546">_xlfn.IFS(Datasets!Q546=1,"LoW",Table1[[#This Row],[JobSatisfaction]]=2,"Medium",Table1[[#This Row],[JobSatisfaction]]=3,"High",Table1[[#This Row],[JobSatisfaction]]=4,"Very High")</f>
        <v>High</v>
      </c>
      <c r="H546" s="5">
        <v>2</v>
      </c>
      <c r="I546" t="str" cm="1">
        <f t="array" ref="I546">_xlfn.IFS(H546=1,"low",H546=2,"medium",H546=3,"balanced",H546=4,"Good")</f>
        <v>medium</v>
      </c>
    </row>
    <row r="547" spans="1:9" x14ac:dyDescent="0.3">
      <c r="A547" s="13">
        <v>4</v>
      </c>
      <c r="B547" t="str" cm="1">
        <f t="array" ref="B547">_xlfn.IFS(Datasets!Q547=1,"LoW",Table1[[#This Row],[JobSatisfaction]]=2,"Medium",Table1[[#This Row],[JobSatisfaction]]=3,"High",Table1[[#This Row],[JobSatisfaction]]=4,"Very High")</f>
        <v>Very High</v>
      </c>
      <c r="H547" s="5">
        <v>3</v>
      </c>
      <c r="I547" t="str" cm="1">
        <f t="array" ref="I547">_xlfn.IFS(H547=1,"low",H547=2,"medium",H547=3,"balanced",H547=4,"Good")</f>
        <v>balanced</v>
      </c>
    </row>
    <row r="548" spans="1:9" x14ac:dyDescent="0.3">
      <c r="A548" s="14">
        <v>1</v>
      </c>
      <c r="B548" t="str" cm="1">
        <f t="array" ref="B548">_xlfn.IFS(Datasets!Q548=1,"LoW",Table1[[#This Row],[JobSatisfaction]]=2,"Medium",Table1[[#This Row],[JobSatisfaction]]=3,"High",Table1[[#This Row],[JobSatisfaction]]=4,"Very High")</f>
        <v>LoW</v>
      </c>
      <c r="H548" s="5">
        <v>3</v>
      </c>
      <c r="I548" t="str" cm="1">
        <f t="array" ref="I548">_xlfn.IFS(H548=1,"low",H548=2,"medium",H548=3,"balanced",H548=4,"Good")</f>
        <v>balanced</v>
      </c>
    </row>
    <row r="549" spans="1:9" x14ac:dyDescent="0.3">
      <c r="A549" s="13">
        <v>4</v>
      </c>
      <c r="B549" t="str" cm="1">
        <f t="array" ref="B549">_xlfn.IFS(Datasets!Q549=1,"LoW",Table1[[#This Row],[JobSatisfaction]]=2,"Medium",Table1[[#This Row],[JobSatisfaction]]=3,"High",Table1[[#This Row],[JobSatisfaction]]=4,"Very High")</f>
        <v>Very High</v>
      </c>
      <c r="H549" s="5">
        <v>1</v>
      </c>
      <c r="I549" t="str" cm="1">
        <f t="array" ref="I549">_xlfn.IFS(H549=1,"low",H549=2,"medium",H549=3,"balanced",H549=4,"Good")</f>
        <v>low</v>
      </c>
    </row>
    <row r="550" spans="1:9" x14ac:dyDescent="0.3">
      <c r="A550" s="14">
        <v>3</v>
      </c>
      <c r="B550" t="str" cm="1">
        <f t="array" ref="B550">_xlfn.IFS(Datasets!Q550=1,"LoW",Table1[[#This Row],[JobSatisfaction]]=2,"Medium",Table1[[#This Row],[JobSatisfaction]]=3,"High",Table1[[#This Row],[JobSatisfaction]]=4,"Very High")</f>
        <v>High</v>
      </c>
      <c r="H550" s="5">
        <v>3</v>
      </c>
      <c r="I550" t="str" cm="1">
        <f t="array" ref="I550">_xlfn.IFS(H550=1,"low",H550=2,"medium",H550=3,"balanced",H550=4,"Good")</f>
        <v>balanced</v>
      </c>
    </row>
    <row r="551" spans="1:9" x14ac:dyDescent="0.3">
      <c r="A551" s="13">
        <v>2</v>
      </c>
      <c r="B551" t="str" cm="1">
        <f t="array" ref="B551">_xlfn.IFS(Datasets!Q551=1,"LoW",Table1[[#This Row],[JobSatisfaction]]=2,"Medium",Table1[[#This Row],[JobSatisfaction]]=3,"High",Table1[[#This Row],[JobSatisfaction]]=4,"Very High")</f>
        <v>Medium</v>
      </c>
      <c r="H551" s="5">
        <v>3</v>
      </c>
      <c r="I551" t="str" cm="1">
        <f t="array" ref="I551">_xlfn.IFS(H551=1,"low",H551=2,"medium",H551=3,"balanced",H551=4,"Good")</f>
        <v>balanced</v>
      </c>
    </row>
    <row r="552" spans="1:9" x14ac:dyDescent="0.3">
      <c r="A552" s="14">
        <v>4</v>
      </c>
      <c r="B552" t="str" cm="1">
        <f t="array" ref="B552">_xlfn.IFS(Datasets!Q552=1,"LoW",Table1[[#This Row],[JobSatisfaction]]=2,"Medium",Table1[[#This Row],[JobSatisfaction]]=3,"High",Table1[[#This Row],[JobSatisfaction]]=4,"Very High")</f>
        <v>Very High</v>
      </c>
      <c r="H552" s="5">
        <v>3</v>
      </c>
      <c r="I552" t="str" cm="1">
        <f t="array" ref="I552">_xlfn.IFS(H552=1,"low",H552=2,"medium",H552=3,"balanced",H552=4,"Good")</f>
        <v>balanced</v>
      </c>
    </row>
    <row r="553" spans="1:9" x14ac:dyDescent="0.3">
      <c r="A553" s="13">
        <v>1</v>
      </c>
      <c r="B553" t="str" cm="1">
        <f t="array" ref="B553">_xlfn.IFS(Datasets!Q553=1,"LoW",Table1[[#This Row],[JobSatisfaction]]=2,"Medium",Table1[[#This Row],[JobSatisfaction]]=3,"High",Table1[[#This Row],[JobSatisfaction]]=4,"Very High")</f>
        <v>LoW</v>
      </c>
      <c r="H553" s="5">
        <v>3</v>
      </c>
      <c r="I553" t="str" cm="1">
        <f t="array" ref="I553">_xlfn.IFS(H553=1,"low",H553=2,"medium",H553=3,"balanced",H553=4,"Good")</f>
        <v>balanced</v>
      </c>
    </row>
    <row r="554" spans="1:9" x14ac:dyDescent="0.3">
      <c r="A554" s="14">
        <v>3</v>
      </c>
      <c r="B554" t="str" cm="1">
        <f t="array" ref="B554">_xlfn.IFS(Datasets!Q554=1,"LoW",Table1[[#This Row],[JobSatisfaction]]=2,"Medium",Table1[[#This Row],[JobSatisfaction]]=3,"High",Table1[[#This Row],[JobSatisfaction]]=4,"Very High")</f>
        <v>High</v>
      </c>
      <c r="H554" s="5">
        <v>2</v>
      </c>
      <c r="I554" t="str" cm="1">
        <f t="array" ref="I554">_xlfn.IFS(H554=1,"low",H554=2,"medium",H554=3,"balanced",H554=4,"Good")</f>
        <v>medium</v>
      </c>
    </row>
    <row r="555" spans="1:9" x14ac:dyDescent="0.3">
      <c r="A555" s="13">
        <v>3</v>
      </c>
      <c r="B555" t="str" cm="1">
        <f t="array" ref="B555">_xlfn.IFS(Datasets!Q555=1,"LoW",Table1[[#This Row],[JobSatisfaction]]=2,"Medium",Table1[[#This Row],[JobSatisfaction]]=3,"High",Table1[[#This Row],[JobSatisfaction]]=4,"Very High")</f>
        <v>High</v>
      </c>
      <c r="H555" s="5">
        <v>3</v>
      </c>
      <c r="I555" t="str" cm="1">
        <f t="array" ref="I555">_xlfn.IFS(H555=1,"low",H555=2,"medium",H555=3,"balanced",H555=4,"Good")</f>
        <v>balanced</v>
      </c>
    </row>
    <row r="556" spans="1:9" x14ac:dyDescent="0.3">
      <c r="A556" s="14">
        <v>1</v>
      </c>
      <c r="B556" t="str" cm="1">
        <f t="array" ref="B556">_xlfn.IFS(Datasets!Q556=1,"LoW",Table1[[#This Row],[JobSatisfaction]]=2,"Medium",Table1[[#This Row],[JobSatisfaction]]=3,"High",Table1[[#This Row],[JobSatisfaction]]=4,"Very High")</f>
        <v>LoW</v>
      </c>
      <c r="H556" s="5">
        <v>3</v>
      </c>
      <c r="I556" t="str" cm="1">
        <f t="array" ref="I556">_xlfn.IFS(H556=1,"low",H556=2,"medium",H556=3,"balanced",H556=4,"Good")</f>
        <v>balanced</v>
      </c>
    </row>
    <row r="557" spans="1:9" x14ac:dyDescent="0.3">
      <c r="A557" s="13">
        <v>4</v>
      </c>
      <c r="B557" t="str" cm="1">
        <f t="array" ref="B557">_xlfn.IFS(Datasets!Q557=1,"LoW",Table1[[#This Row],[JobSatisfaction]]=2,"Medium",Table1[[#This Row],[JobSatisfaction]]=3,"High",Table1[[#This Row],[JobSatisfaction]]=4,"Very High")</f>
        <v>Very High</v>
      </c>
      <c r="H557" s="5">
        <v>3</v>
      </c>
      <c r="I557" t="str" cm="1">
        <f t="array" ref="I557">_xlfn.IFS(H557=1,"low",H557=2,"medium",H557=3,"balanced",H557=4,"Good")</f>
        <v>balanced</v>
      </c>
    </row>
    <row r="558" spans="1:9" x14ac:dyDescent="0.3">
      <c r="A558" s="14">
        <v>1</v>
      </c>
      <c r="B558" t="str" cm="1">
        <f t="array" ref="B558">_xlfn.IFS(Datasets!Q558=1,"LoW",Table1[[#This Row],[JobSatisfaction]]=2,"Medium",Table1[[#This Row],[JobSatisfaction]]=3,"High",Table1[[#This Row],[JobSatisfaction]]=4,"Very High")</f>
        <v>LoW</v>
      </c>
      <c r="H558" s="5">
        <v>3</v>
      </c>
      <c r="I558" t="str" cm="1">
        <f t="array" ref="I558">_xlfn.IFS(H558=1,"low",H558=2,"medium",H558=3,"balanced",H558=4,"Good")</f>
        <v>balanced</v>
      </c>
    </row>
    <row r="559" spans="1:9" x14ac:dyDescent="0.3">
      <c r="A559" s="13">
        <v>4</v>
      </c>
      <c r="B559" t="str" cm="1">
        <f t="array" ref="B559">_xlfn.IFS(Datasets!Q559=1,"LoW",Table1[[#This Row],[JobSatisfaction]]=2,"Medium",Table1[[#This Row],[JobSatisfaction]]=3,"High",Table1[[#This Row],[JobSatisfaction]]=4,"Very High")</f>
        <v>Very High</v>
      </c>
      <c r="H559" s="5">
        <v>3</v>
      </c>
      <c r="I559" t="str" cm="1">
        <f t="array" ref="I559">_xlfn.IFS(H559=1,"low",H559=2,"medium",H559=3,"balanced",H559=4,"Good")</f>
        <v>balanced</v>
      </c>
    </row>
    <row r="560" spans="1:9" x14ac:dyDescent="0.3">
      <c r="A560" s="14">
        <v>2</v>
      </c>
      <c r="B560" t="str" cm="1">
        <f t="array" ref="B560">_xlfn.IFS(Datasets!Q560=1,"LoW",Table1[[#This Row],[JobSatisfaction]]=2,"Medium",Table1[[#This Row],[JobSatisfaction]]=3,"High",Table1[[#This Row],[JobSatisfaction]]=4,"Very High")</f>
        <v>Medium</v>
      </c>
      <c r="H560" s="5">
        <v>2</v>
      </c>
      <c r="I560" t="str" cm="1">
        <f t="array" ref="I560">_xlfn.IFS(H560=1,"low",H560=2,"medium",H560=3,"balanced",H560=4,"Good")</f>
        <v>medium</v>
      </c>
    </row>
    <row r="561" spans="1:9" x14ac:dyDescent="0.3">
      <c r="A561" s="13">
        <v>2</v>
      </c>
      <c r="B561" t="str" cm="1">
        <f t="array" ref="B561">_xlfn.IFS(Datasets!Q561=1,"LoW",Table1[[#This Row],[JobSatisfaction]]=2,"Medium",Table1[[#This Row],[JobSatisfaction]]=3,"High",Table1[[#This Row],[JobSatisfaction]]=4,"Very High")</f>
        <v>Medium</v>
      </c>
      <c r="H561" s="5">
        <v>2</v>
      </c>
      <c r="I561" t="str" cm="1">
        <f t="array" ref="I561">_xlfn.IFS(H561=1,"low",H561=2,"medium",H561=3,"balanced",H561=4,"Good")</f>
        <v>medium</v>
      </c>
    </row>
    <row r="562" spans="1:9" x14ac:dyDescent="0.3">
      <c r="A562" s="14">
        <v>3</v>
      </c>
      <c r="B562" t="str" cm="1">
        <f t="array" ref="B562">_xlfn.IFS(Datasets!Q562=1,"LoW",Table1[[#This Row],[JobSatisfaction]]=2,"Medium",Table1[[#This Row],[JobSatisfaction]]=3,"High",Table1[[#This Row],[JobSatisfaction]]=4,"Very High")</f>
        <v>High</v>
      </c>
      <c r="H562" s="5">
        <v>1</v>
      </c>
      <c r="I562" t="str" cm="1">
        <f t="array" ref="I562">_xlfn.IFS(H562=1,"low",H562=2,"medium",H562=3,"balanced",H562=4,"Good")</f>
        <v>low</v>
      </c>
    </row>
    <row r="563" spans="1:9" x14ac:dyDescent="0.3">
      <c r="A563" s="13">
        <v>3</v>
      </c>
      <c r="B563" t="str" cm="1">
        <f t="array" ref="B563">_xlfn.IFS(Datasets!Q563=1,"LoW",Table1[[#This Row],[JobSatisfaction]]=2,"Medium",Table1[[#This Row],[JobSatisfaction]]=3,"High",Table1[[#This Row],[JobSatisfaction]]=4,"Very High")</f>
        <v>High</v>
      </c>
      <c r="H563" s="5">
        <v>1</v>
      </c>
      <c r="I563" t="str" cm="1">
        <f t="array" ref="I563">_xlfn.IFS(H563=1,"low",H563=2,"medium",H563=3,"balanced",H563=4,"Good")</f>
        <v>low</v>
      </c>
    </row>
    <row r="564" spans="1:9" x14ac:dyDescent="0.3">
      <c r="A564" s="14">
        <v>1</v>
      </c>
      <c r="B564" t="str" cm="1">
        <f t="array" ref="B564">_xlfn.IFS(Datasets!Q564=1,"LoW",Table1[[#This Row],[JobSatisfaction]]=2,"Medium",Table1[[#This Row],[JobSatisfaction]]=3,"High",Table1[[#This Row],[JobSatisfaction]]=4,"Very High")</f>
        <v>LoW</v>
      </c>
      <c r="H564" s="5">
        <v>2</v>
      </c>
      <c r="I564" t="str" cm="1">
        <f t="array" ref="I564">_xlfn.IFS(H564=1,"low",H564=2,"medium",H564=3,"balanced",H564=4,"Good")</f>
        <v>medium</v>
      </c>
    </row>
    <row r="565" spans="1:9" x14ac:dyDescent="0.3">
      <c r="A565" s="13">
        <v>4</v>
      </c>
      <c r="B565" t="str" cm="1">
        <f t="array" ref="B565">_xlfn.IFS(Datasets!Q565=1,"LoW",Table1[[#This Row],[JobSatisfaction]]=2,"Medium",Table1[[#This Row],[JobSatisfaction]]=3,"High",Table1[[#This Row],[JobSatisfaction]]=4,"Very High")</f>
        <v>Very High</v>
      </c>
      <c r="H565" s="5">
        <v>3</v>
      </c>
      <c r="I565" t="str" cm="1">
        <f t="array" ref="I565">_xlfn.IFS(H565=1,"low",H565=2,"medium",H565=3,"balanced",H565=4,"Good")</f>
        <v>balanced</v>
      </c>
    </row>
    <row r="566" spans="1:9" x14ac:dyDescent="0.3">
      <c r="A566" s="14">
        <v>1</v>
      </c>
      <c r="B566" t="str" cm="1">
        <f t="array" ref="B566">_xlfn.IFS(Datasets!Q566=1,"LoW",Table1[[#This Row],[JobSatisfaction]]=2,"Medium",Table1[[#This Row],[JobSatisfaction]]=3,"High",Table1[[#This Row],[JobSatisfaction]]=4,"Very High")</f>
        <v>LoW</v>
      </c>
      <c r="H566" s="5">
        <v>3</v>
      </c>
      <c r="I566" t="str" cm="1">
        <f t="array" ref="I566">_xlfn.IFS(H566=1,"low",H566=2,"medium",H566=3,"balanced",H566=4,"Good")</f>
        <v>balanced</v>
      </c>
    </row>
    <row r="567" spans="1:9" x14ac:dyDescent="0.3">
      <c r="A567" s="13">
        <v>4</v>
      </c>
      <c r="B567" t="str" cm="1">
        <f t="array" ref="B567">_xlfn.IFS(Datasets!Q567=1,"LoW",Table1[[#This Row],[JobSatisfaction]]=2,"Medium",Table1[[#This Row],[JobSatisfaction]]=3,"High",Table1[[#This Row],[JobSatisfaction]]=4,"Very High")</f>
        <v>Very High</v>
      </c>
      <c r="H567" s="5">
        <v>3</v>
      </c>
      <c r="I567" t="str" cm="1">
        <f t="array" ref="I567">_xlfn.IFS(H567=1,"low",H567=2,"medium",H567=3,"balanced",H567=4,"Good")</f>
        <v>balanced</v>
      </c>
    </row>
    <row r="568" spans="1:9" x14ac:dyDescent="0.3">
      <c r="A568" s="14">
        <v>2</v>
      </c>
      <c r="B568" t="str" cm="1">
        <f t="array" ref="B568">_xlfn.IFS(Datasets!Q568=1,"LoW",Table1[[#This Row],[JobSatisfaction]]=2,"Medium",Table1[[#This Row],[JobSatisfaction]]=3,"High",Table1[[#This Row],[JobSatisfaction]]=4,"Very High")</f>
        <v>Medium</v>
      </c>
      <c r="H568" s="5">
        <v>2</v>
      </c>
      <c r="I568" t="str" cm="1">
        <f t="array" ref="I568">_xlfn.IFS(H568=1,"low",H568=2,"medium",H568=3,"balanced",H568=4,"Good")</f>
        <v>medium</v>
      </c>
    </row>
    <row r="569" spans="1:9" x14ac:dyDescent="0.3">
      <c r="A569" s="13">
        <v>4</v>
      </c>
      <c r="B569" t="str" cm="1">
        <f t="array" ref="B569">_xlfn.IFS(Datasets!Q569=1,"LoW",Table1[[#This Row],[JobSatisfaction]]=2,"Medium",Table1[[#This Row],[JobSatisfaction]]=3,"High",Table1[[#This Row],[JobSatisfaction]]=4,"Very High")</f>
        <v>Very High</v>
      </c>
      <c r="H569" s="5">
        <v>3</v>
      </c>
      <c r="I569" t="str" cm="1">
        <f t="array" ref="I569">_xlfn.IFS(H569=1,"low",H569=2,"medium",H569=3,"balanced",H569=4,"Good")</f>
        <v>balanced</v>
      </c>
    </row>
    <row r="570" spans="1:9" x14ac:dyDescent="0.3">
      <c r="A570" s="14">
        <v>1</v>
      </c>
      <c r="B570" t="str" cm="1">
        <f t="array" ref="B570">_xlfn.IFS(Datasets!Q570=1,"LoW",Table1[[#This Row],[JobSatisfaction]]=2,"Medium",Table1[[#This Row],[JobSatisfaction]]=3,"High",Table1[[#This Row],[JobSatisfaction]]=4,"Very High")</f>
        <v>LoW</v>
      </c>
      <c r="H570" s="5">
        <v>3</v>
      </c>
      <c r="I570" t="str" cm="1">
        <f t="array" ref="I570">_xlfn.IFS(H570=1,"low",H570=2,"medium",H570=3,"balanced",H570=4,"Good")</f>
        <v>balanced</v>
      </c>
    </row>
    <row r="571" spans="1:9" x14ac:dyDescent="0.3">
      <c r="A571" s="13">
        <v>4</v>
      </c>
      <c r="B571" t="str" cm="1">
        <f t="array" ref="B571">_xlfn.IFS(Datasets!Q571=1,"LoW",Table1[[#This Row],[JobSatisfaction]]=2,"Medium",Table1[[#This Row],[JobSatisfaction]]=3,"High",Table1[[#This Row],[JobSatisfaction]]=4,"Very High")</f>
        <v>Very High</v>
      </c>
      <c r="H571" s="5">
        <v>3</v>
      </c>
      <c r="I571" t="str" cm="1">
        <f t="array" ref="I571">_xlfn.IFS(H571=1,"low",H571=2,"medium",H571=3,"balanced",H571=4,"Good")</f>
        <v>balanced</v>
      </c>
    </row>
    <row r="572" spans="1:9" x14ac:dyDescent="0.3">
      <c r="A572" s="14">
        <v>1</v>
      </c>
      <c r="B572" t="str" cm="1">
        <f t="array" ref="B572">_xlfn.IFS(Datasets!Q572=1,"LoW",Table1[[#This Row],[JobSatisfaction]]=2,"Medium",Table1[[#This Row],[JobSatisfaction]]=3,"High",Table1[[#This Row],[JobSatisfaction]]=4,"Very High")</f>
        <v>LoW</v>
      </c>
      <c r="H572" s="5">
        <v>3</v>
      </c>
      <c r="I572" t="str" cm="1">
        <f t="array" ref="I572">_xlfn.IFS(H572=1,"low",H572=2,"medium",H572=3,"balanced",H572=4,"Good")</f>
        <v>balanced</v>
      </c>
    </row>
    <row r="573" spans="1:9" x14ac:dyDescent="0.3">
      <c r="A573" s="13">
        <v>3</v>
      </c>
      <c r="B573" t="str" cm="1">
        <f t="array" ref="B573">_xlfn.IFS(Datasets!Q573=1,"LoW",Table1[[#This Row],[JobSatisfaction]]=2,"Medium",Table1[[#This Row],[JobSatisfaction]]=3,"High",Table1[[#This Row],[JobSatisfaction]]=4,"Very High")</f>
        <v>High</v>
      </c>
      <c r="H573" s="5">
        <v>3</v>
      </c>
      <c r="I573" t="str" cm="1">
        <f t="array" ref="I573">_xlfn.IFS(H573=1,"low",H573=2,"medium",H573=3,"balanced",H573=4,"Good")</f>
        <v>balanced</v>
      </c>
    </row>
    <row r="574" spans="1:9" x14ac:dyDescent="0.3">
      <c r="A574" s="14">
        <v>4</v>
      </c>
      <c r="B574" t="str" cm="1">
        <f t="array" ref="B574">_xlfn.IFS(Datasets!Q574=1,"LoW",Table1[[#This Row],[JobSatisfaction]]=2,"Medium",Table1[[#This Row],[JobSatisfaction]]=3,"High",Table1[[#This Row],[JobSatisfaction]]=4,"Very High")</f>
        <v>Very High</v>
      </c>
      <c r="H574" s="5">
        <v>3</v>
      </c>
      <c r="I574" t="str" cm="1">
        <f t="array" ref="I574">_xlfn.IFS(H574=1,"low",H574=2,"medium",H574=3,"balanced",H574=4,"Good")</f>
        <v>balanced</v>
      </c>
    </row>
    <row r="575" spans="1:9" x14ac:dyDescent="0.3">
      <c r="A575" s="13">
        <v>4</v>
      </c>
      <c r="B575" t="str" cm="1">
        <f t="array" ref="B575">_xlfn.IFS(Datasets!Q575=1,"LoW",Table1[[#This Row],[JobSatisfaction]]=2,"Medium",Table1[[#This Row],[JobSatisfaction]]=3,"High",Table1[[#This Row],[JobSatisfaction]]=4,"Very High")</f>
        <v>Very High</v>
      </c>
      <c r="H575" s="5">
        <v>2</v>
      </c>
      <c r="I575" t="str" cm="1">
        <f t="array" ref="I575">_xlfn.IFS(H575=1,"low",H575=2,"medium",H575=3,"balanced",H575=4,"Good")</f>
        <v>medium</v>
      </c>
    </row>
    <row r="576" spans="1:9" x14ac:dyDescent="0.3">
      <c r="A576" s="14">
        <v>3</v>
      </c>
      <c r="B576" t="str" cm="1">
        <f t="array" ref="B576">_xlfn.IFS(Datasets!Q576=1,"LoW",Table1[[#This Row],[JobSatisfaction]]=2,"Medium",Table1[[#This Row],[JobSatisfaction]]=3,"High",Table1[[#This Row],[JobSatisfaction]]=4,"Very High")</f>
        <v>High</v>
      </c>
      <c r="H576" s="5">
        <v>3</v>
      </c>
      <c r="I576" t="str" cm="1">
        <f t="array" ref="I576">_xlfn.IFS(H576=1,"low",H576=2,"medium",H576=3,"balanced",H576=4,"Good")</f>
        <v>balanced</v>
      </c>
    </row>
    <row r="577" spans="1:9" x14ac:dyDescent="0.3">
      <c r="A577" s="13">
        <v>4</v>
      </c>
      <c r="B577" t="str" cm="1">
        <f t="array" ref="B577">_xlfn.IFS(Datasets!Q577=1,"LoW",Table1[[#This Row],[JobSatisfaction]]=2,"Medium",Table1[[#This Row],[JobSatisfaction]]=3,"High",Table1[[#This Row],[JobSatisfaction]]=4,"Very High")</f>
        <v>Very High</v>
      </c>
      <c r="H577" s="5">
        <v>3</v>
      </c>
      <c r="I577" t="str" cm="1">
        <f t="array" ref="I577">_xlfn.IFS(H577=1,"low",H577=2,"medium",H577=3,"balanced",H577=4,"Good")</f>
        <v>balanced</v>
      </c>
    </row>
    <row r="578" spans="1:9" x14ac:dyDescent="0.3">
      <c r="A578" s="14">
        <v>3</v>
      </c>
      <c r="B578" t="str" cm="1">
        <f t="array" ref="B578">_xlfn.IFS(Datasets!Q578=1,"LoW",Table1[[#This Row],[JobSatisfaction]]=2,"Medium",Table1[[#This Row],[JobSatisfaction]]=3,"High",Table1[[#This Row],[JobSatisfaction]]=4,"Very High")</f>
        <v>High</v>
      </c>
      <c r="H578" s="5">
        <v>4</v>
      </c>
      <c r="I578" t="str" cm="1">
        <f t="array" ref="I578">_xlfn.IFS(H578=1,"low",H578=2,"medium",H578=3,"balanced",H578=4,"Good")</f>
        <v>Good</v>
      </c>
    </row>
    <row r="579" spans="1:9" x14ac:dyDescent="0.3">
      <c r="A579" s="13">
        <v>2</v>
      </c>
      <c r="B579" t="str" cm="1">
        <f t="array" ref="B579">_xlfn.IFS(Datasets!Q579=1,"LoW",Table1[[#This Row],[JobSatisfaction]]=2,"Medium",Table1[[#This Row],[JobSatisfaction]]=3,"High",Table1[[#This Row],[JobSatisfaction]]=4,"Very High")</f>
        <v>Medium</v>
      </c>
      <c r="H579" s="5">
        <v>2</v>
      </c>
      <c r="I579" t="str" cm="1">
        <f t="array" ref="I579">_xlfn.IFS(H579=1,"low",H579=2,"medium",H579=3,"balanced",H579=4,"Good")</f>
        <v>medium</v>
      </c>
    </row>
    <row r="580" spans="1:9" x14ac:dyDescent="0.3">
      <c r="A580" s="14">
        <v>2</v>
      </c>
      <c r="B580" t="str" cm="1">
        <f t="array" ref="B580">_xlfn.IFS(Datasets!Q580=1,"LoW",Table1[[#This Row],[JobSatisfaction]]=2,"Medium",Table1[[#This Row],[JobSatisfaction]]=3,"High",Table1[[#This Row],[JobSatisfaction]]=4,"Very High")</f>
        <v>Medium</v>
      </c>
      <c r="H580" s="5">
        <v>3</v>
      </c>
      <c r="I580" t="str" cm="1">
        <f t="array" ref="I580">_xlfn.IFS(H580=1,"low",H580=2,"medium",H580=3,"balanced",H580=4,"Good")</f>
        <v>balanced</v>
      </c>
    </row>
    <row r="581" spans="1:9" x14ac:dyDescent="0.3">
      <c r="A581" s="13">
        <v>3</v>
      </c>
      <c r="B581" t="str" cm="1">
        <f t="array" ref="B581">_xlfn.IFS(Datasets!Q581=1,"LoW",Table1[[#This Row],[JobSatisfaction]]=2,"Medium",Table1[[#This Row],[JobSatisfaction]]=3,"High",Table1[[#This Row],[JobSatisfaction]]=4,"Very High")</f>
        <v>High</v>
      </c>
      <c r="H581" s="5">
        <v>3</v>
      </c>
      <c r="I581" t="str" cm="1">
        <f t="array" ref="I581">_xlfn.IFS(H581=1,"low",H581=2,"medium",H581=3,"balanced",H581=4,"Good")</f>
        <v>balanced</v>
      </c>
    </row>
    <row r="582" spans="1:9" x14ac:dyDescent="0.3">
      <c r="A582" s="14">
        <v>1</v>
      </c>
      <c r="B582" t="str" cm="1">
        <f t="array" ref="B582">_xlfn.IFS(Datasets!Q582=1,"LoW",Table1[[#This Row],[JobSatisfaction]]=2,"Medium",Table1[[#This Row],[JobSatisfaction]]=3,"High",Table1[[#This Row],[JobSatisfaction]]=4,"Very High")</f>
        <v>LoW</v>
      </c>
      <c r="H582" s="5">
        <v>3</v>
      </c>
      <c r="I582" t="str" cm="1">
        <f t="array" ref="I582">_xlfn.IFS(H582=1,"low",H582=2,"medium",H582=3,"balanced",H582=4,"Good")</f>
        <v>balanced</v>
      </c>
    </row>
    <row r="583" spans="1:9" x14ac:dyDescent="0.3">
      <c r="A583" s="13">
        <v>2</v>
      </c>
      <c r="B583" t="str" cm="1">
        <f t="array" ref="B583">_xlfn.IFS(Datasets!Q583=1,"LoW",Table1[[#This Row],[JobSatisfaction]]=2,"Medium",Table1[[#This Row],[JobSatisfaction]]=3,"High",Table1[[#This Row],[JobSatisfaction]]=4,"Very High")</f>
        <v>Medium</v>
      </c>
      <c r="H583" s="5">
        <v>2</v>
      </c>
      <c r="I583" t="str" cm="1">
        <f t="array" ref="I583">_xlfn.IFS(H583=1,"low",H583=2,"medium",H583=3,"balanced",H583=4,"Good")</f>
        <v>medium</v>
      </c>
    </row>
    <row r="584" spans="1:9" x14ac:dyDescent="0.3">
      <c r="A584" s="14">
        <v>3</v>
      </c>
      <c r="B584" t="str" cm="1">
        <f t="array" ref="B584">_xlfn.IFS(Datasets!Q584=1,"LoW",Table1[[#This Row],[JobSatisfaction]]=2,"Medium",Table1[[#This Row],[JobSatisfaction]]=3,"High",Table1[[#This Row],[JobSatisfaction]]=4,"Very High")</f>
        <v>High</v>
      </c>
      <c r="H584" s="5">
        <v>3</v>
      </c>
      <c r="I584" t="str" cm="1">
        <f t="array" ref="I584">_xlfn.IFS(H584=1,"low",H584=2,"medium",H584=3,"balanced",H584=4,"Good")</f>
        <v>balanced</v>
      </c>
    </row>
    <row r="585" spans="1:9" x14ac:dyDescent="0.3">
      <c r="A585" s="13">
        <v>2</v>
      </c>
      <c r="B585" t="str" cm="1">
        <f t="array" ref="B585">_xlfn.IFS(Datasets!Q585=1,"LoW",Table1[[#This Row],[JobSatisfaction]]=2,"Medium",Table1[[#This Row],[JobSatisfaction]]=3,"High",Table1[[#This Row],[JobSatisfaction]]=4,"Very High")</f>
        <v>Medium</v>
      </c>
      <c r="H585" s="5">
        <v>4</v>
      </c>
      <c r="I585" t="str" cm="1">
        <f t="array" ref="I585">_xlfn.IFS(H585=1,"low",H585=2,"medium",H585=3,"balanced",H585=4,"Good")</f>
        <v>Good</v>
      </c>
    </row>
    <row r="586" spans="1:9" x14ac:dyDescent="0.3">
      <c r="A586" s="14">
        <v>1</v>
      </c>
      <c r="B586" t="str" cm="1">
        <f t="array" ref="B586">_xlfn.IFS(Datasets!Q586=1,"LoW",Table1[[#This Row],[JobSatisfaction]]=2,"Medium",Table1[[#This Row],[JobSatisfaction]]=3,"High",Table1[[#This Row],[JobSatisfaction]]=4,"Very High")</f>
        <v>LoW</v>
      </c>
      <c r="H586" s="5">
        <v>4</v>
      </c>
      <c r="I586" t="str" cm="1">
        <f t="array" ref="I586">_xlfn.IFS(H586=1,"low",H586=2,"medium",H586=3,"balanced",H586=4,"Good")</f>
        <v>Good</v>
      </c>
    </row>
    <row r="587" spans="1:9" x14ac:dyDescent="0.3">
      <c r="A587" s="13">
        <v>1</v>
      </c>
      <c r="B587" t="str" cm="1">
        <f t="array" ref="B587">_xlfn.IFS(Datasets!Q587=1,"LoW",Table1[[#This Row],[JobSatisfaction]]=2,"Medium",Table1[[#This Row],[JobSatisfaction]]=3,"High",Table1[[#This Row],[JobSatisfaction]]=4,"Very High")</f>
        <v>LoW</v>
      </c>
      <c r="H587" s="5">
        <v>1</v>
      </c>
      <c r="I587" t="str" cm="1">
        <f t="array" ref="I587">_xlfn.IFS(H587=1,"low",H587=2,"medium",H587=3,"balanced",H587=4,"Good")</f>
        <v>low</v>
      </c>
    </row>
    <row r="588" spans="1:9" x14ac:dyDescent="0.3">
      <c r="A588" s="14">
        <v>3</v>
      </c>
      <c r="B588" t="str" cm="1">
        <f t="array" ref="B588">_xlfn.IFS(Datasets!Q588=1,"LoW",Table1[[#This Row],[JobSatisfaction]]=2,"Medium",Table1[[#This Row],[JobSatisfaction]]=3,"High",Table1[[#This Row],[JobSatisfaction]]=4,"Very High")</f>
        <v>High</v>
      </c>
      <c r="H588" s="5">
        <v>4</v>
      </c>
      <c r="I588" t="str" cm="1">
        <f t="array" ref="I588">_xlfn.IFS(H588=1,"low",H588=2,"medium",H588=3,"balanced",H588=4,"Good")</f>
        <v>Good</v>
      </c>
    </row>
    <row r="589" spans="1:9" x14ac:dyDescent="0.3">
      <c r="A589" s="13">
        <v>4</v>
      </c>
      <c r="B589" t="str" cm="1">
        <f t="array" ref="B589">_xlfn.IFS(Datasets!Q589=1,"LoW",Table1[[#This Row],[JobSatisfaction]]=2,"Medium",Table1[[#This Row],[JobSatisfaction]]=3,"High",Table1[[#This Row],[JobSatisfaction]]=4,"Very High")</f>
        <v>Very High</v>
      </c>
      <c r="H589" s="5">
        <v>3</v>
      </c>
      <c r="I589" t="str" cm="1">
        <f t="array" ref="I589">_xlfn.IFS(H589=1,"low",H589=2,"medium",H589=3,"balanced",H589=4,"Good")</f>
        <v>balanced</v>
      </c>
    </row>
    <row r="590" spans="1:9" x14ac:dyDescent="0.3">
      <c r="A590" s="14">
        <v>3</v>
      </c>
      <c r="B590" t="str" cm="1">
        <f t="array" ref="B590">_xlfn.IFS(Datasets!Q590=1,"LoW",Table1[[#This Row],[JobSatisfaction]]=2,"Medium",Table1[[#This Row],[JobSatisfaction]]=3,"High",Table1[[#This Row],[JobSatisfaction]]=4,"Very High")</f>
        <v>High</v>
      </c>
      <c r="H590" s="5">
        <v>3</v>
      </c>
      <c r="I590" t="str" cm="1">
        <f t="array" ref="I590">_xlfn.IFS(H590=1,"low",H590=2,"medium",H590=3,"balanced",H590=4,"Good")</f>
        <v>balanced</v>
      </c>
    </row>
    <row r="591" spans="1:9" x14ac:dyDescent="0.3">
      <c r="A591" s="13">
        <v>1</v>
      </c>
      <c r="B591" t="str" cm="1">
        <f t="array" ref="B591">_xlfn.IFS(Datasets!Q591=1,"LoW",Table1[[#This Row],[JobSatisfaction]]=2,"Medium",Table1[[#This Row],[JobSatisfaction]]=3,"High",Table1[[#This Row],[JobSatisfaction]]=4,"Very High")</f>
        <v>LoW</v>
      </c>
      <c r="H591" s="5">
        <v>1</v>
      </c>
      <c r="I591" t="str" cm="1">
        <f t="array" ref="I591">_xlfn.IFS(H591=1,"low",H591=2,"medium",H591=3,"balanced",H591=4,"Good")</f>
        <v>low</v>
      </c>
    </row>
    <row r="592" spans="1:9" x14ac:dyDescent="0.3">
      <c r="A592" s="14">
        <v>3</v>
      </c>
      <c r="B592" t="str" cm="1">
        <f t="array" ref="B592">_xlfn.IFS(Datasets!Q592=1,"LoW",Table1[[#This Row],[JobSatisfaction]]=2,"Medium",Table1[[#This Row],[JobSatisfaction]]=3,"High",Table1[[#This Row],[JobSatisfaction]]=4,"Very High")</f>
        <v>High</v>
      </c>
      <c r="H592" s="5">
        <v>3</v>
      </c>
      <c r="I592" t="str" cm="1">
        <f t="array" ref="I592">_xlfn.IFS(H592=1,"low",H592=2,"medium",H592=3,"balanced",H592=4,"Good")</f>
        <v>balanced</v>
      </c>
    </row>
    <row r="593" spans="1:9" x14ac:dyDescent="0.3">
      <c r="A593" s="13">
        <v>2</v>
      </c>
      <c r="B593" t="str" cm="1">
        <f t="array" ref="B593">_xlfn.IFS(Datasets!Q593=1,"LoW",Table1[[#This Row],[JobSatisfaction]]=2,"Medium",Table1[[#This Row],[JobSatisfaction]]=3,"High",Table1[[#This Row],[JobSatisfaction]]=4,"Very High")</f>
        <v>Medium</v>
      </c>
      <c r="H593" s="5">
        <v>3</v>
      </c>
      <c r="I593" t="str" cm="1">
        <f t="array" ref="I593">_xlfn.IFS(H593=1,"low",H593=2,"medium",H593=3,"balanced",H593=4,"Good")</f>
        <v>balanced</v>
      </c>
    </row>
    <row r="594" spans="1:9" x14ac:dyDescent="0.3">
      <c r="A594" s="14">
        <v>3</v>
      </c>
      <c r="B594" t="str" cm="1">
        <f t="array" ref="B594">_xlfn.IFS(Datasets!Q594=1,"LoW",Table1[[#This Row],[JobSatisfaction]]=2,"Medium",Table1[[#This Row],[JobSatisfaction]]=3,"High",Table1[[#This Row],[JobSatisfaction]]=4,"Very High")</f>
        <v>High</v>
      </c>
      <c r="H594" s="5">
        <v>3</v>
      </c>
      <c r="I594" t="str" cm="1">
        <f t="array" ref="I594">_xlfn.IFS(H594=1,"low",H594=2,"medium",H594=3,"balanced",H594=4,"Good")</f>
        <v>balanced</v>
      </c>
    </row>
    <row r="595" spans="1:9" x14ac:dyDescent="0.3">
      <c r="A595" s="13">
        <v>1</v>
      </c>
      <c r="B595" t="str" cm="1">
        <f t="array" ref="B595">_xlfn.IFS(Datasets!Q595=1,"LoW",Table1[[#This Row],[JobSatisfaction]]=2,"Medium",Table1[[#This Row],[JobSatisfaction]]=3,"High",Table1[[#This Row],[JobSatisfaction]]=4,"Very High")</f>
        <v>LoW</v>
      </c>
      <c r="H595" s="5">
        <v>4</v>
      </c>
      <c r="I595" t="str" cm="1">
        <f t="array" ref="I595">_xlfn.IFS(H595=1,"low",H595=2,"medium",H595=3,"balanced",H595=4,"Good")</f>
        <v>Good</v>
      </c>
    </row>
    <row r="596" spans="1:9" x14ac:dyDescent="0.3">
      <c r="A596" s="14">
        <v>1</v>
      </c>
      <c r="B596" t="str" cm="1">
        <f t="array" ref="B596">_xlfn.IFS(Datasets!Q596=1,"LoW",Table1[[#This Row],[JobSatisfaction]]=2,"Medium",Table1[[#This Row],[JobSatisfaction]]=3,"High",Table1[[#This Row],[JobSatisfaction]]=4,"Very High")</f>
        <v>LoW</v>
      </c>
      <c r="H596" s="5">
        <v>3</v>
      </c>
      <c r="I596" t="str" cm="1">
        <f t="array" ref="I596">_xlfn.IFS(H596=1,"low",H596=2,"medium",H596=3,"balanced",H596=4,"Good")</f>
        <v>balanced</v>
      </c>
    </row>
    <row r="597" spans="1:9" x14ac:dyDescent="0.3">
      <c r="A597" s="13">
        <v>4</v>
      </c>
      <c r="B597" t="str" cm="1">
        <f t="array" ref="B597">_xlfn.IFS(Datasets!Q597=1,"LoW",Table1[[#This Row],[JobSatisfaction]]=2,"Medium",Table1[[#This Row],[JobSatisfaction]]=3,"High",Table1[[#This Row],[JobSatisfaction]]=4,"Very High")</f>
        <v>Very High</v>
      </c>
      <c r="H597" s="5">
        <v>3</v>
      </c>
      <c r="I597" t="str" cm="1">
        <f t="array" ref="I597">_xlfn.IFS(H597=1,"low",H597=2,"medium",H597=3,"balanced",H597=4,"Good")</f>
        <v>balanced</v>
      </c>
    </row>
    <row r="598" spans="1:9" x14ac:dyDescent="0.3">
      <c r="A598" s="14">
        <v>3</v>
      </c>
      <c r="B598" t="str" cm="1">
        <f t="array" ref="B598">_xlfn.IFS(Datasets!Q598=1,"LoW",Table1[[#This Row],[JobSatisfaction]]=2,"Medium",Table1[[#This Row],[JobSatisfaction]]=3,"High",Table1[[#This Row],[JobSatisfaction]]=4,"Very High")</f>
        <v>High</v>
      </c>
      <c r="H598" s="5">
        <v>4</v>
      </c>
      <c r="I598" t="str" cm="1">
        <f t="array" ref="I598">_xlfn.IFS(H598=1,"low",H598=2,"medium",H598=3,"balanced",H598=4,"Good")</f>
        <v>Good</v>
      </c>
    </row>
    <row r="599" spans="1:9" x14ac:dyDescent="0.3">
      <c r="A599" s="13">
        <v>4</v>
      </c>
      <c r="B599" t="str" cm="1">
        <f t="array" ref="B599">_xlfn.IFS(Datasets!Q599=1,"LoW",Table1[[#This Row],[JobSatisfaction]]=2,"Medium",Table1[[#This Row],[JobSatisfaction]]=3,"High",Table1[[#This Row],[JobSatisfaction]]=4,"Very High")</f>
        <v>Very High</v>
      </c>
      <c r="H599" s="5">
        <v>4</v>
      </c>
      <c r="I599" t="str" cm="1">
        <f t="array" ref="I599">_xlfn.IFS(H599=1,"low",H599=2,"medium",H599=3,"balanced",H599=4,"Good")</f>
        <v>Good</v>
      </c>
    </row>
    <row r="600" spans="1:9" x14ac:dyDescent="0.3">
      <c r="A600" s="14">
        <v>4</v>
      </c>
      <c r="B600" t="str" cm="1">
        <f t="array" ref="B600">_xlfn.IFS(Datasets!Q600=1,"LoW",Table1[[#This Row],[JobSatisfaction]]=2,"Medium",Table1[[#This Row],[JobSatisfaction]]=3,"High",Table1[[#This Row],[JobSatisfaction]]=4,"Very High")</f>
        <v>Very High</v>
      </c>
      <c r="H600" s="5">
        <v>3</v>
      </c>
      <c r="I600" t="str" cm="1">
        <f t="array" ref="I600">_xlfn.IFS(H600=1,"low",H600=2,"medium",H600=3,"balanced",H600=4,"Good")</f>
        <v>balanced</v>
      </c>
    </row>
    <row r="601" spans="1:9" x14ac:dyDescent="0.3">
      <c r="A601" s="13">
        <v>1</v>
      </c>
      <c r="B601" t="str" cm="1">
        <f t="array" ref="B601">_xlfn.IFS(Datasets!Q601=1,"LoW",Table1[[#This Row],[JobSatisfaction]]=2,"Medium",Table1[[#This Row],[JobSatisfaction]]=3,"High",Table1[[#This Row],[JobSatisfaction]]=4,"Very High")</f>
        <v>LoW</v>
      </c>
      <c r="H601" s="5">
        <v>3</v>
      </c>
      <c r="I601" t="str" cm="1">
        <f t="array" ref="I601">_xlfn.IFS(H601=1,"low",H601=2,"medium",H601=3,"balanced",H601=4,"Good")</f>
        <v>balanced</v>
      </c>
    </row>
    <row r="602" spans="1:9" x14ac:dyDescent="0.3">
      <c r="A602" s="14">
        <v>1</v>
      </c>
      <c r="B602" t="str" cm="1">
        <f t="array" ref="B602">_xlfn.IFS(Datasets!Q602=1,"LoW",Table1[[#This Row],[JobSatisfaction]]=2,"Medium",Table1[[#This Row],[JobSatisfaction]]=3,"High",Table1[[#This Row],[JobSatisfaction]]=4,"Very High")</f>
        <v>LoW</v>
      </c>
      <c r="H602" s="5">
        <v>3</v>
      </c>
      <c r="I602" t="str" cm="1">
        <f t="array" ref="I602">_xlfn.IFS(H602=1,"low",H602=2,"medium",H602=3,"balanced",H602=4,"Good")</f>
        <v>balanced</v>
      </c>
    </row>
    <row r="603" spans="1:9" x14ac:dyDescent="0.3">
      <c r="A603" s="13">
        <v>4</v>
      </c>
      <c r="B603" t="str" cm="1">
        <f t="array" ref="B603">_xlfn.IFS(Datasets!Q603=1,"LoW",Table1[[#This Row],[JobSatisfaction]]=2,"Medium",Table1[[#This Row],[JobSatisfaction]]=3,"High",Table1[[#This Row],[JobSatisfaction]]=4,"Very High")</f>
        <v>Very High</v>
      </c>
      <c r="H603" s="5">
        <v>3</v>
      </c>
      <c r="I603" t="str" cm="1">
        <f t="array" ref="I603">_xlfn.IFS(H603=1,"low",H603=2,"medium",H603=3,"balanced",H603=4,"Good")</f>
        <v>balanced</v>
      </c>
    </row>
    <row r="604" spans="1:9" x14ac:dyDescent="0.3">
      <c r="A604" s="14">
        <v>1</v>
      </c>
      <c r="B604" t="str" cm="1">
        <f t="array" ref="B604">_xlfn.IFS(Datasets!Q604=1,"LoW",Table1[[#This Row],[JobSatisfaction]]=2,"Medium",Table1[[#This Row],[JobSatisfaction]]=3,"High",Table1[[#This Row],[JobSatisfaction]]=4,"Very High")</f>
        <v>LoW</v>
      </c>
      <c r="H604" s="5">
        <v>3</v>
      </c>
      <c r="I604" t="str" cm="1">
        <f t="array" ref="I604">_xlfn.IFS(H604=1,"low",H604=2,"medium",H604=3,"balanced",H604=4,"Good")</f>
        <v>balanced</v>
      </c>
    </row>
    <row r="605" spans="1:9" x14ac:dyDescent="0.3">
      <c r="A605" s="13">
        <v>1</v>
      </c>
      <c r="B605" t="str" cm="1">
        <f t="array" ref="B605">_xlfn.IFS(Datasets!Q605=1,"LoW",Table1[[#This Row],[JobSatisfaction]]=2,"Medium",Table1[[#This Row],[JobSatisfaction]]=3,"High",Table1[[#This Row],[JobSatisfaction]]=4,"Very High")</f>
        <v>LoW</v>
      </c>
      <c r="H605" s="5">
        <v>3</v>
      </c>
      <c r="I605" t="str" cm="1">
        <f t="array" ref="I605">_xlfn.IFS(H605=1,"low",H605=2,"medium",H605=3,"balanced",H605=4,"Good")</f>
        <v>balanced</v>
      </c>
    </row>
    <row r="606" spans="1:9" x14ac:dyDescent="0.3">
      <c r="A606" s="14">
        <v>1</v>
      </c>
      <c r="B606" t="str" cm="1">
        <f t="array" ref="B606">_xlfn.IFS(Datasets!Q606=1,"LoW",Table1[[#This Row],[JobSatisfaction]]=2,"Medium",Table1[[#This Row],[JobSatisfaction]]=3,"High",Table1[[#This Row],[JobSatisfaction]]=4,"Very High")</f>
        <v>LoW</v>
      </c>
      <c r="H606" s="5">
        <v>3</v>
      </c>
      <c r="I606" t="str" cm="1">
        <f t="array" ref="I606">_xlfn.IFS(H606=1,"low",H606=2,"medium",H606=3,"balanced",H606=4,"Good")</f>
        <v>balanced</v>
      </c>
    </row>
    <row r="607" spans="1:9" x14ac:dyDescent="0.3">
      <c r="A607" s="13">
        <v>2</v>
      </c>
      <c r="B607" t="str" cm="1">
        <f t="array" ref="B607">_xlfn.IFS(Datasets!Q607=1,"LoW",Table1[[#This Row],[JobSatisfaction]]=2,"Medium",Table1[[#This Row],[JobSatisfaction]]=3,"High",Table1[[#This Row],[JobSatisfaction]]=4,"Very High")</f>
        <v>Medium</v>
      </c>
      <c r="H607" s="5">
        <v>3</v>
      </c>
      <c r="I607" t="str" cm="1">
        <f t="array" ref="I607">_xlfn.IFS(H607=1,"low",H607=2,"medium",H607=3,"balanced",H607=4,"Good")</f>
        <v>balanced</v>
      </c>
    </row>
    <row r="608" spans="1:9" x14ac:dyDescent="0.3">
      <c r="A608" s="14">
        <v>1</v>
      </c>
      <c r="B608" t="str" cm="1">
        <f t="array" ref="B608">_xlfn.IFS(Datasets!Q608=1,"LoW",Table1[[#This Row],[JobSatisfaction]]=2,"Medium",Table1[[#This Row],[JobSatisfaction]]=3,"High",Table1[[#This Row],[JobSatisfaction]]=4,"Very High")</f>
        <v>LoW</v>
      </c>
      <c r="H608" s="5">
        <v>1</v>
      </c>
      <c r="I608" t="str" cm="1">
        <f t="array" ref="I608">_xlfn.IFS(H608=1,"low",H608=2,"medium",H608=3,"balanced",H608=4,"Good")</f>
        <v>low</v>
      </c>
    </row>
    <row r="609" spans="1:9" x14ac:dyDescent="0.3">
      <c r="A609" s="13">
        <v>3</v>
      </c>
      <c r="B609" t="str" cm="1">
        <f t="array" ref="B609">_xlfn.IFS(Datasets!Q609=1,"LoW",Table1[[#This Row],[JobSatisfaction]]=2,"Medium",Table1[[#This Row],[JobSatisfaction]]=3,"High",Table1[[#This Row],[JobSatisfaction]]=4,"Very High")</f>
        <v>High</v>
      </c>
      <c r="H609" s="5">
        <v>3</v>
      </c>
      <c r="I609" t="str" cm="1">
        <f t="array" ref="I609">_xlfn.IFS(H609=1,"low",H609=2,"medium",H609=3,"balanced",H609=4,"Good")</f>
        <v>balanced</v>
      </c>
    </row>
    <row r="610" spans="1:9" x14ac:dyDescent="0.3">
      <c r="A610" s="14">
        <v>1</v>
      </c>
      <c r="B610" t="str" cm="1">
        <f t="array" ref="B610">_xlfn.IFS(Datasets!Q610=1,"LoW",Table1[[#This Row],[JobSatisfaction]]=2,"Medium",Table1[[#This Row],[JobSatisfaction]]=3,"High",Table1[[#This Row],[JobSatisfaction]]=4,"Very High")</f>
        <v>LoW</v>
      </c>
      <c r="H610" s="5">
        <v>3</v>
      </c>
      <c r="I610" t="str" cm="1">
        <f t="array" ref="I610">_xlfn.IFS(H610=1,"low",H610=2,"medium",H610=3,"balanced",H610=4,"Good")</f>
        <v>balanced</v>
      </c>
    </row>
    <row r="611" spans="1:9" x14ac:dyDescent="0.3">
      <c r="A611" s="13">
        <v>3</v>
      </c>
      <c r="B611" t="str" cm="1">
        <f t="array" ref="B611">_xlfn.IFS(Datasets!Q611=1,"LoW",Table1[[#This Row],[JobSatisfaction]]=2,"Medium",Table1[[#This Row],[JobSatisfaction]]=3,"High",Table1[[#This Row],[JobSatisfaction]]=4,"Very High")</f>
        <v>High</v>
      </c>
      <c r="H611" s="5">
        <v>3</v>
      </c>
      <c r="I611" t="str" cm="1">
        <f t="array" ref="I611">_xlfn.IFS(H611=1,"low",H611=2,"medium",H611=3,"balanced",H611=4,"Good")</f>
        <v>balanced</v>
      </c>
    </row>
    <row r="612" spans="1:9" x14ac:dyDescent="0.3">
      <c r="A612" s="14">
        <v>3</v>
      </c>
      <c r="B612" t="str" cm="1">
        <f t="array" ref="B612">_xlfn.IFS(Datasets!Q612=1,"LoW",Table1[[#This Row],[JobSatisfaction]]=2,"Medium",Table1[[#This Row],[JobSatisfaction]]=3,"High",Table1[[#This Row],[JobSatisfaction]]=4,"Very High")</f>
        <v>High</v>
      </c>
      <c r="H612" s="5">
        <v>3</v>
      </c>
      <c r="I612" t="str" cm="1">
        <f t="array" ref="I612">_xlfn.IFS(H612=1,"low",H612=2,"medium",H612=3,"balanced",H612=4,"Good")</f>
        <v>balanced</v>
      </c>
    </row>
    <row r="613" spans="1:9" x14ac:dyDescent="0.3">
      <c r="A613" s="13">
        <v>2</v>
      </c>
      <c r="B613" t="str" cm="1">
        <f t="array" ref="B613">_xlfn.IFS(Datasets!Q613=1,"LoW",Table1[[#This Row],[JobSatisfaction]]=2,"Medium",Table1[[#This Row],[JobSatisfaction]]=3,"High",Table1[[#This Row],[JobSatisfaction]]=4,"Very High")</f>
        <v>Medium</v>
      </c>
      <c r="H613" s="5">
        <v>3</v>
      </c>
      <c r="I613" t="str" cm="1">
        <f t="array" ref="I613">_xlfn.IFS(H613=1,"low",H613=2,"medium",H613=3,"balanced",H613=4,"Good")</f>
        <v>balanced</v>
      </c>
    </row>
    <row r="614" spans="1:9" x14ac:dyDescent="0.3">
      <c r="A614" s="14">
        <v>3</v>
      </c>
      <c r="B614" t="str" cm="1">
        <f t="array" ref="B614">_xlfn.IFS(Datasets!Q614=1,"LoW",Table1[[#This Row],[JobSatisfaction]]=2,"Medium",Table1[[#This Row],[JobSatisfaction]]=3,"High",Table1[[#This Row],[JobSatisfaction]]=4,"Very High")</f>
        <v>High</v>
      </c>
      <c r="H614" s="5">
        <v>1</v>
      </c>
      <c r="I614" t="str" cm="1">
        <f t="array" ref="I614">_xlfn.IFS(H614=1,"low",H614=2,"medium",H614=3,"balanced",H614=4,"Good")</f>
        <v>low</v>
      </c>
    </row>
    <row r="615" spans="1:9" x14ac:dyDescent="0.3">
      <c r="A615" s="13">
        <v>2</v>
      </c>
      <c r="B615" t="str" cm="1">
        <f t="array" ref="B615">_xlfn.IFS(Datasets!Q615=1,"LoW",Table1[[#This Row],[JobSatisfaction]]=2,"Medium",Table1[[#This Row],[JobSatisfaction]]=3,"High",Table1[[#This Row],[JobSatisfaction]]=4,"Very High")</f>
        <v>Medium</v>
      </c>
      <c r="H615" s="5">
        <v>3</v>
      </c>
      <c r="I615" t="str" cm="1">
        <f t="array" ref="I615">_xlfn.IFS(H615=1,"low",H615=2,"medium",H615=3,"balanced",H615=4,"Good")</f>
        <v>balanced</v>
      </c>
    </row>
    <row r="616" spans="1:9" x14ac:dyDescent="0.3">
      <c r="A616" s="14">
        <v>2</v>
      </c>
      <c r="B616" t="str" cm="1">
        <f t="array" ref="B616">_xlfn.IFS(Datasets!Q616=1,"LoW",Table1[[#This Row],[JobSatisfaction]]=2,"Medium",Table1[[#This Row],[JobSatisfaction]]=3,"High",Table1[[#This Row],[JobSatisfaction]]=4,"Very High")</f>
        <v>Medium</v>
      </c>
      <c r="H616" s="5">
        <v>3</v>
      </c>
      <c r="I616" t="str" cm="1">
        <f t="array" ref="I616">_xlfn.IFS(H616=1,"low",H616=2,"medium",H616=3,"balanced",H616=4,"Good")</f>
        <v>balanced</v>
      </c>
    </row>
    <row r="617" spans="1:9" x14ac:dyDescent="0.3">
      <c r="A617" s="13">
        <v>3</v>
      </c>
      <c r="B617" t="str" cm="1">
        <f t="array" ref="B617">_xlfn.IFS(Datasets!Q617=1,"LoW",Table1[[#This Row],[JobSatisfaction]]=2,"Medium",Table1[[#This Row],[JobSatisfaction]]=3,"High",Table1[[#This Row],[JobSatisfaction]]=4,"Very High")</f>
        <v>High</v>
      </c>
      <c r="H617" s="5">
        <v>3</v>
      </c>
      <c r="I617" t="str" cm="1">
        <f t="array" ref="I617">_xlfn.IFS(H617=1,"low",H617=2,"medium",H617=3,"balanced",H617=4,"Good")</f>
        <v>balanced</v>
      </c>
    </row>
    <row r="618" spans="1:9" x14ac:dyDescent="0.3">
      <c r="A618" s="14">
        <v>3</v>
      </c>
      <c r="B618" t="str" cm="1">
        <f t="array" ref="B618">_xlfn.IFS(Datasets!Q618=1,"LoW",Table1[[#This Row],[JobSatisfaction]]=2,"Medium",Table1[[#This Row],[JobSatisfaction]]=3,"High",Table1[[#This Row],[JobSatisfaction]]=4,"Very High")</f>
        <v>High</v>
      </c>
      <c r="H618" s="5">
        <v>2</v>
      </c>
      <c r="I618" t="str" cm="1">
        <f t="array" ref="I618">_xlfn.IFS(H618=1,"low",H618=2,"medium",H618=3,"balanced",H618=4,"Good")</f>
        <v>medium</v>
      </c>
    </row>
    <row r="619" spans="1:9" x14ac:dyDescent="0.3">
      <c r="A619" s="13">
        <v>4</v>
      </c>
      <c r="B619" t="str" cm="1">
        <f t="array" ref="B619">_xlfn.IFS(Datasets!Q619=1,"LoW",Table1[[#This Row],[JobSatisfaction]]=2,"Medium",Table1[[#This Row],[JobSatisfaction]]=3,"High",Table1[[#This Row],[JobSatisfaction]]=4,"Very High")</f>
        <v>Very High</v>
      </c>
      <c r="H619" s="5">
        <v>3</v>
      </c>
      <c r="I619" t="str" cm="1">
        <f t="array" ref="I619">_xlfn.IFS(H619=1,"low",H619=2,"medium",H619=3,"balanced",H619=4,"Good")</f>
        <v>balanced</v>
      </c>
    </row>
    <row r="620" spans="1:9" x14ac:dyDescent="0.3">
      <c r="A620" s="14">
        <v>3</v>
      </c>
      <c r="B620" t="str" cm="1">
        <f t="array" ref="B620">_xlfn.IFS(Datasets!Q620=1,"LoW",Table1[[#This Row],[JobSatisfaction]]=2,"Medium",Table1[[#This Row],[JobSatisfaction]]=3,"High",Table1[[#This Row],[JobSatisfaction]]=4,"Very High")</f>
        <v>High</v>
      </c>
      <c r="H620" s="5">
        <v>3</v>
      </c>
      <c r="I620" t="str" cm="1">
        <f t="array" ref="I620">_xlfn.IFS(H620=1,"low",H620=2,"medium",H620=3,"balanced",H620=4,"Good")</f>
        <v>balanced</v>
      </c>
    </row>
    <row r="621" spans="1:9" x14ac:dyDescent="0.3">
      <c r="A621" s="13">
        <v>4</v>
      </c>
      <c r="B621" t="str" cm="1">
        <f t="array" ref="B621">_xlfn.IFS(Datasets!Q621=1,"LoW",Table1[[#This Row],[JobSatisfaction]]=2,"Medium",Table1[[#This Row],[JobSatisfaction]]=3,"High",Table1[[#This Row],[JobSatisfaction]]=4,"Very High")</f>
        <v>Very High</v>
      </c>
      <c r="H621" s="5">
        <v>3</v>
      </c>
      <c r="I621" t="str" cm="1">
        <f t="array" ref="I621">_xlfn.IFS(H621=1,"low",H621=2,"medium",H621=3,"balanced",H621=4,"Good")</f>
        <v>balanced</v>
      </c>
    </row>
    <row r="622" spans="1:9" x14ac:dyDescent="0.3">
      <c r="A622" s="14">
        <v>1</v>
      </c>
      <c r="B622" t="str" cm="1">
        <f t="array" ref="B622">_xlfn.IFS(Datasets!Q622=1,"LoW",Table1[[#This Row],[JobSatisfaction]]=2,"Medium",Table1[[#This Row],[JobSatisfaction]]=3,"High",Table1[[#This Row],[JobSatisfaction]]=4,"Very High")</f>
        <v>LoW</v>
      </c>
      <c r="H622" s="5">
        <v>3</v>
      </c>
      <c r="I622" t="str" cm="1">
        <f t="array" ref="I622">_xlfn.IFS(H622=1,"low",H622=2,"medium",H622=3,"balanced",H622=4,"Good")</f>
        <v>balanced</v>
      </c>
    </row>
    <row r="623" spans="1:9" x14ac:dyDescent="0.3">
      <c r="A623" s="13">
        <v>3</v>
      </c>
      <c r="B623" t="str" cm="1">
        <f t="array" ref="B623">_xlfn.IFS(Datasets!Q623=1,"LoW",Table1[[#This Row],[JobSatisfaction]]=2,"Medium",Table1[[#This Row],[JobSatisfaction]]=3,"High",Table1[[#This Row],[JobSatisfaction]]=4,"Very High")</f>
        <v>High</v>
      </c>
      <c r="H623" s="5">
        <v>3</v>
      </c>
      <c r="I623" t="str" cm="1">
        <f t="array" ref="I623">_xlfn.IFS(H623=1,"low",H623=2,"medium",H623=3,"balanced",H623=4,"Good")</f>
        <v>balanced</v>
      </c>
    </row>
    <row r="624" spans="1:9" x14ac:dyDescent="0.3">
      <c r="A624" s="14">
        <v>3</v>
      </c>
      <c r="B624" t="str" cm="1">
        <f t="array" ref="B624">_xlfn.IFS(Datasets!Q624=1,"LoW",Table1[[#This Row],[JobSatisfaction]]=2,"Medium",Table1[[#This Row],[JobSatisfaction]]=3,"High",Table1[[#This Row],[JobSatisfaction]]=4,"Very High")</f>
        <v>High</v>
      </c>
      <c r="H624" s="5">
        <v>3</v>
      </c>
      <c r="I624" t="str" cm="1">
        <f t="array" ref="I624">_xlfn.IFS(H624=1,"low",H624=2,"medium",H624=3,"balanced",H624=4,"Good")</f>
        <v>balanced</v>
      </c>
    </row>
    <row r="625" spans="1:9" x14ac:dyDescent="0.3">
      <c r="A625" s="13">
        <v>1</v>
      </c>
      <c r="B625" t="str" cm="1">
        <f t="array" ref="B625">_xlfn.IFS(Datasets!Q625=1,"LoW",Table1[[#This Row],[JobSatisfaction]]=2,"Medium",Table1[[#This Row],[JobSatisfaction]]=3,"High",Table1[[#This Row],[JobSatisfaction]]=4,"Very High")</f>
        <v>LoW</v>
      </c>
      <c r="H625" s="5">
        <v>3</v>
      </c>
      <c r="I625" t="str" cm="1">
        <f t="array" ref="I625">_xlfn.IFS(H625=1,"low",H625=2,"medium",H625=3,"balanced",H625=4,"Good")</f>
        <v>balanced</v>
      </c>
    </row>
    <row r="626" spans="1:9" x14ac:dyDescent="0.3">
      <c r="A626" s="14">
        <v>3</v>
      </c>
      <c r="B626" t="str" cm="1">
        <f t="array" ref="B626">_xlfn.IFS(Datasets!Q626=1,"LoW",Table1[[#This Row],[JobSatisfaction]]=2,"Medium",Table1[[#This Row],[JobSatisfaction]]=3,"High",Table1[[#This Row],[JobSatisfaction]]=4,"Very High")</f>
        <v>High</v>
      </c>
      <c r="H626" s="5">
        <v>2</v>
      </c>
      <c r="I626" t="str" cm="1">
        <f t="array" ref="I626">_xlfn.IFS(H626=1,"low",H626=2,"medium",H626=3,"balanced",H626=4,"Good")</f>
        <v>medium</v>
      </c>
    </row>
    <row r="627" spans="1:9" x14ac:dyDescent="0.3">
      <c r="A627" s="13">
        <v>1</v>
      </c>
      <c r="B627" t="str" cm="1">
        <f t="array" ref="B627">_xlfn.IFS(Datasets!Q627=1,"LoW",Table1[[#This Row],[JobSatisfaction]]=2,"Medium",Table1[[#This Row],[JobSatisfaction]]=3,"High",Table1[[#This Row],[JobSatisfaction]]=4,"Very High")</f>
        <v>LoW</v>
      </c>
      <c r="H627" s="5">
        <v>3</v>
      </c>
      <c r="I627" t="str" cm="1">
        <f t="array" ref="I627">_xlfn.IFS(H627=1,"low",H627=2,"medium",H627=3,"balanced",H627=4,"Good")</f>
        <v>balanced</v>
      </c>
    </row>
    <row r="628" spans="1:9" x14ac:dyDescent="0.3">
      <c r="A628" s="14">
        <v>2</v>
      </c>
      <c r="B628" t="str" cm="1">
        <f t="array" ref="B628">_xlfn.IFS(Datasets!Q628=1,"LoW",Table1[[#This Row],[JobSatisfaction]]=2,"Medium",Table1[[#This Row],[JobSatisfaction]]=3,"High",Table1[[#This Row],[JobSatisfaction]]=4,"Very High")</f>
        <v>Medium</v>
      </c>
      <c r="H628" s="5">
        <v>3</v>
      </c>
      <c r="I628" t="str" cm="1">
        <f t="array" ref="I628">_xlfn.IFS(H628=1,"low",H628=2,"medium",H628=3,"balanced",H628=4,"Good")</f>
        <v>balanced</v>
      </c>
    </row>
    <row r="629" spans="1:9" x14ac:dyDescent="0.3">
      <c r="A629" s="13">
        <v>1</v>
      </c>
      <c r="B629" t="str" cm="1">
        <f t="array" ref="B629">_xlfn.IFS(Datasets!Q629=1,"LoW",Table1[[#This Row],[JobSatisfaction]]=2,"Medium",Table1[[#This Row],[JobSatisfaction]]=3,"High",Table1[[#This Row],[JobSatisfaction]]=4,"Very High")</f>
        <v>LoW</v>
      </c>
      <c r="H629" s="5">
        <v>3</v>
      </c>
      <c r="I629" t="str" cm="1">
        <f t="array" ref="I629">_xlfn.IFS(H629=1,"low",H629=2,"medium",H629=3,"balanced",H629=4,"Good")</f>
        <v>balanced</v>
      </c>
    </row>
    <row r="630" spans="1:9" x14ac:dyDescent="0.3">
      <c r="A630" s="14">
        <v>3</v>
      </c>
      <c r="B630" t="str" cm="1">
        <f t="array" ref="B630">_xlfn.IFS(Datasets!Q630=1,"LoW",Table1[[#This Row],[JobSatisfaction]]=2,"Medium",Table1[[#This Row],[JobSatisfaction]]=3,"High",Table1[[#This Row],[JobSatisfaction]]=4,"Very High")</f>
        <v>High</v>
      </c>
      <c r="H630" s="5">
        <v>3</v>
      </c>
      <c r="I630" t="str" cm="1">
        <f t="array" ref="I630">_xlfn.IFS(H630=1,"low",H630=2,"medium",H630=3,"balanced",H630=4,"Good")</f>
        <v>balanced</v>
      </c>
    </row>
    <row r="631" spans="1:9" x14ac:dyDescent="0.3">
      <c r="A631" s="13">
        <v>4</v>
      </c>
      <c r="B631" t="str" cm="1">
        <f t="array" ref="B631">_xlfn.IFS(Datasets!Q631=1,"LoW",Table1[[#This Row],[JobSatisfaction]]=2,"Medium",Table1[[#This Row],[JobSatisfaction]]=3,"High",Table1[[#This Row],[JobSatisfaction]]=4,"Very High")</f>
        <v>Very High</v>
      </c>
      <c r="H631" s="5">
        <v>2</v>
      </c>
      <c r="I631" t="str" cm="1">
        <f t="array" ref="I631">_xlfn.IFS(H631=1,"low",H631=2,"medium",H631=3,"balanced",H631=4,"Good")</f>
        <v>medium</v>
      </c>
    </row>
    <row r="632" spans="1:9" x14ac:dyDescent="0.3">
      <c r="A632" s="14">
        <v>3</v>
      </c>
      <c r="B632" t="str" cm="1">
        <f t="array" ref="B632">_xlfn.IFS(Datasets!Q632=1,"LoW",Table1[[#This Row],[JobSatisfaction]]=2,"Medium",Table1[[#This Row],[JobSatisfaction]]=3,"High",Table1[[#This Row],[JobSatisfaction]]=4,"Very High")</f>
        <v>High</v>
      </c>
      <c r="H632" s="5">
        <v>4</v>
      </c>
      <c r="I632" t="str" cm="1">
        <f t="array" ref="I632">_xlfn.IFS(H632=1,"low",H632=2,"medium",H632=3,"balanced",H632=4,"Good")</f>
        <v>Good</v>
      </c>
    </row>
    <row r="633" spans="1:9" x14ac:dyDescent="0.3">
      <c r="A633" s="13">
        <v>4</v>
      </c>
      <c r="B633" t="str" cm="1">
        <f t="array" ref="B633">_xlfn.IFS(Datasets!Q633=1,"LoW",Table1[[#This Row],[JobSatisfaction]]=2,"Medium",Table1[[#This Row],[JobSatisfaction]]=3,"High",Table1[[#This Row],[JobSatisfaction]]=4,"Very High")</f>
        <v>Very High</v>
      </c>
      <c r="H633" s="5">
        <v>3</v>
      </c>
      <c r="I633" t="str" cm="1">
        <f t="array" ref="I633">_xlfn.IFS(H633=1,"low",H633=2,"medium",H633=3,"balanced",H633=4,"Good")</f>
        <v>balanced</v>
      </c>
    </row>
    <row r="634" spans="1:9" x14ac:dyDescent="0.3">
      <c r="A634" s="14">
        <v>4</v>
      </c>
      <c r="B634" t="str" cm="1">
        <f t="array" ref="B634">_xlfn.IFS(Datasets!Q634=1,"LoW",Table1[[#This Row],[JobSatisfaction]]=2,"Medium",Table1[[#This Row],[JobSatisfaction]]=3,"High",Table1[[#This Row],[JobSatisfaction]]=4,"Very High")</f>
        <v>Very High</v>
      </c>
      <c r="H634" s="5">
        <v>1</v>
      </c>
      <c r="I634" t="str" cm="1">
        <f t="array" ref="I634">_xlfn.IFS(H634=1,"low",H634=2,"medium",H634=3,"balanced",H634=4,"Good")</f>
        <v>low</v>
      </c>
    </row>
    <row r="635" spans="1:9" x14ac:dyDescent="0.3">
      <c r="A635" s="13">
        <v>4</v>
      </c>
      <c r="B635" t="str" cm="1">
        <f t="array" ref="B635">_xlfn.IFS(Datasets!Q635=1,"LoW",Table1[[#This Row],[JobSatisfaction]]=2,"Medium",Table1[[#This Row],[JobSatisfaction]]=3,"High",Table1[[#This Row],[JobSatisfaction]]=4,"Very High")</f>
        <v>Very High</v>
      </c>
      <c r="H635" s="5">
        <v>3</v>
      </c>
      <c r="I635" t="str" cm="1">
        <f t="array" ref="I635">_xlfn.IFS(H635=1,"low",H635=2,"medium",H635=3,"balanced",H635=4,"Good")</f>
        <v>balanced</v>
      </c>
    </row>
    <row r="636" spans="1:9" x14ac:dyDescent="0.3">
      <c r="A636" s="14">
        <v>2</v>
      </c>
      <c r="B636" t="str" cm="1">
        <f t="array" ref="B636">_xlfn.IFS(Datasets!Q636=1,"LoW",Table1[[#This Row],[JobSatisfaction]]=2,"Medium",Table1[[#This Row],[JobSatisfaction]]=3,"High",Table1[[#This Row],[JobSatisfaction]]=4,"Very High")</f>
        <v>Medium</v>
      </c>
      <c r="H636" s="5">
        <v>3</v>
      </c>
      <c r="I636" t="str" cm="1">
        <f t="array" ref="I636">_xlfn.IFS(H636=1,"low",H636=2,"medium",H636=3,"balanced",H636=4,"Good")</f>
        <v>balanced</v>
      </c>
    </row>
    <row r="637" spans="1:9" x14ac:dyDescent="0.3">
      <c r="A637" s="13">
        <v>2</v>
      </c>
      <c r="B637" t="str" cm="1">
        <f t="array" ref="B637">_xlfn.IFS(Datasets!Q637=1,"LoW",Table1[[#This Row],[JobSatisfaction]]=2,"Medium",Table1[[#This Row],[JobSatisfaction]]=3,"High",Table1[[#This Row],[JobSatisfaction]]=4,"Very High")</f>
        <v>Medium</v>
      </c>
      <c r="H637" s="5">
        <v>2</v>
      </c>
      <c r="I637" t="str" cm="1">
        <f t="array" ref="I637">_xlfn.IFS(H637=1,"low",H637=2,"medium",H637=3,"balanced",H637=4,"Good")</f>
        <v>medium</v>
      </c>
    </row>
    <row r="638" spans="1:9" x14ac:dyDescent="0.3">
      <c r="A638" s="14">
        <v>1</v>
      </c>
      <c r="B638" t="str" cm="1">
        <f t="array" ref="B638">_xlfn.IFS(Datasets!Q638=1,"LoW",Table1[[#This Row],[JobSatisfaction]]=2,"Medium",Table1[[#This Row],[JobSatisfaction]]=3,"High",Table1[[#This Row],[JobSatisfaction]]=4,"Very High")</f>
        <v>LoW</v>
      </c>
      <c r="H638" s="5">
        <v>3</v>
      </c>
      <c r="I638" t="str" cm="1">
        <f t="array" ref="I638">_xlfn.IFS(H638=1,"low",H638=2,"medium",H638=3,"balanced",H638=4,"Good")</f>
        <v>balanced</v>
      </c>
    </row>
    <row r="639" spans="1:9" x14ac:dyDescent="0.3">
      <c r="A639" s="13">
        <v>2</v>
      </c>
      <c r="B639" t="str" cm="1">
        <f t="array" ref="B639">_xlfn.IFS(Datasets!Q639=1,"LoW",Table1[[#This Row],[JobSatisfaction]]=2,"Medium",Table1[[#This Row],[JobSatisfaction]]=3,"High",Table1[[#This Row],[JobSatisfaction]]=4,"Very High")</f>
        <v>Medium</v>
      </c>
      <c r="H639" s="5">
        <v>3</v>
      </c>
      <c r="I639" t="str" cm="1">
        <f t="array" ref="I639">_xlfn.IFS(H639=1,"low",H639=2,"medium",H639=3,"balanced",H639=4,"Good")</f>
        <v>balanced</v>
      </c>
    </row>
    <row r="640" spans="1:9" x14ac:dyDescent="0.3">
      <c r="A640" s="14">
        <v>2</v>
      </c>
      <c r="B640" t="str" cm="1">
        <f t="array" ref="B640">_xlfn.IFS(Datasets!Q640=1,"LoW",Table1[[#This Row],[JobSatisfaction]]=2,"Medium",Table1[[#This Row],[JobSatisfaction]]=3,"High",Table1[[#This Row],[JobSatisfaction]]=4,"Very High")</f>
        <v>Medium</v>
      </c>
      <c r="H640" s="5">
        <v>4</v>
      </c>
      <c r="I640" t="str" cm="1">
        <f t="array" ref="I640">_xlfn.IFS(H640=1,"low",H640=2,"medium",H640=3,"balanced",H640=4,"Good")</f>
        <v>Good</v>
      </c>
    </row>
    <row r="641" spans="1:9" x14ac:dyDescent="0.3">
      <c r="A641" s="13">
        <v>2</v>
      </c>
      <c r="B641" t="str" cm="1">
        <f t="array" ref="B641">_xlfn.IFS(Datasets!Q641=1,"LoW",Table1[[#This Row],[JobSatisfaction]]=2,"Medium",Table1[[#This Row],[JobSatisfaction]]=3,"High",Table1[[#This Row],[JobSatisfaction]]=4,"Very High")</f>
        <v>Medium</v>
      </c>
      <c r="H641" s="5">
        <v>2</v>
      </c>
      <c r="I641" t="str" cm="1">
        <f t="array" ref="I641">_xlfn.IFS(H641=1,"low",H641=2,"medium",H641=3,"balanced",H641=4,"Good")</f>
        <v>medium</v>
      </c>
    </row>
    <row r="642" spans="1:9" x14ac:dyDescent="0.3">
      <c r="A642" s="14">
        <v>1</v>
      </c>
      <c r="B642" t="str" cm="1">
        <f t="array" ref="B642">_xlfn.IFS(Datasets!Q642=1,"LoW",Table1[[#This Row],[JobSatisfaction]]=2,"Medium",Table1[[#This Row],[JobSatisfaction]]=3,"High",Table1[[#This Row],[JobSatisfaction]]=4,"Very High")</f>
        <v>LoW</v>
      </c>
      <c r="H642" s="5">
        <v>3</v>
      </c>
      <c r="I642" t="str" cm="1">
        <f t="array" ref="I642">_xlfn.IFS(H642=1,"low",H642=2,"medium",H642=3,"balanced",H642=4,"Good")</f>
        <v>balanced</v>
      </c>
    </row>
    <row r="643" spans="1:9" x14ac:dyDescent="0.3">
      <c r="A643" s="13">
        <v>3</v>
      </c>
      <c r="B643" t="str" cm="1">
        <f t="array" ref="B643">_xlfn.IFS(Datasets!Q643=1,"LoW",Table1[[#This Row],[JobSatisfaction]]=2,"Medium",Table1[[#This Row],[JobSatisfaction]]=3,"High",Table1[[#This Row],[JobSatisfaction]]=4,"Very High")</f>
        <v>High</v>
      </c>
      <c r="H643" s="5">
        <v>3</v>
      </c>
      <c r="I643" t="str" cm="1">
        <f t="array" ref="I643">_xlfn.IFS(H643=1,"low",H643=2,"medium",H643=3,"balanced",H643=4,"Good")</f>
        <v>balanced</v>
      </c>
    </row>
    <row r="644" spans="1:9" x14ac:dyDescent="0.3">
      <c r="A644" s="14">
        <v>1</v>
      </c>
      <c r="B644" t="str" cm="1">
        <f t="array" ref="B644">_xlfn.IFS(Datasets!Q644=1,"LoW",Table1[[#This Row],[JobSatisfaction]]=2,"Medium",Table1[[#This Row],[JobSatisfaction]]=3,"High",Table1[[#This Row],[JobSatisfaction]]=4,"Very High")</f>
        <v>LoW</v>
      </c>
      <c r="H644" s="5">
        <v>3</v>
      </c>
      <c r="I644" t="str" cm="1">
        <f t="array" ref="I644">_xlfn.IFS(H644=1,"low",H644=2,"medium",H644=3,"balanced",H644=4,"Good")</f>
        <v>balanced</v>
      </c>
    </row>
    <row r="645" spans="1:9" x14ac:dyDescent="0.3">
      <c r="A645" s="13">
        <v>4</v>
      </c>
      <c r="B645" t="str" cm="1">
        <f t="array" ref="B645">_xlfn.IFS(Datasets!Q645=1,"LoW",Table1[[#This Row],[JobSatisfaction]]=2,"Medium",Table1[[#This Row],[JobSatisfaction]]=3,"High",Table1[[#This Row],[JobSatisfaction]]=4,"Very High")</f>
        <v>Very High</v>
      </c>
      <c r="H645" s="5">
        <v>3</v>
      </c>
      <c r="I645" t="str" cm="1">
        <f t="array" ref="I645">_xlfn.IFS(H645=1,"low",H645=2,"medium",H645=3,"balanced",H645=4,"Good")</f>
        <v>balanced</v>
      </c>
    </row>
    <row r="646" spans="1:9" x14ac:dyDescent="0.3">
      <c r="A646" s="14">
        <v>3</v>
      </c>
      <c r="B646" t="str" cm="1">
        <f t="array" ref="B646">_xlfn.IFS(Datasets!Q646=1,"LoW",Table1[[#This Row],[JobSatisfaction]]=2,"Medium",Table1[[#This Row],[JobSatisfaction]]=3,"High",Table1[[#This Row],[JobSatisfaction]]=4,"Very High")</f>
        <v>High</v>
      </c>
      <c r="H646" s="5">
        <v>2</v>
      </c>
      <c r="I646" t="str" cm="1">
        <f t="array" ref="I646">_xlfn.IFS(H646=1,"low",H646=2,"medium",H646=3,"balanced",H646=4,"Good")</f>
        <v>medium</v>
      </c>
    </row>
    <row r="647" spans="1:9" x14ac:dyDescent="0.3">
      <c r="A647" s="13">
        <v>3</v>
      </c>
      <c r="B647" t="str" cm="1">
        <f t="array" ref="B647">_xlfn.IFS(Datasets!Q647=1,"LoW",Table1[[#This Row],[JobSatisfaction]]=2,"Medium",Table1[[#This Row],[JobSatisfaction]]=3,"High",Table1[[#This Row],[JobSatisfaction]]=4,"Very High")</f>
        <v>High</v>
      </c>
      <c r="H647" s="5">
        <v>3</v>
      </c>
      <c r="I647" t="str" cm="1">
        <f t="array" ref="I647">_xlfn.IFS(H647=1,"low",H647=2,"medium",H647=3,"balanced",H647=4,"Good")</f>
        <v>balanced</v>
      </c>
    </row>
    <row r="648" spans="1:9" x14ac:dyDescent="0.3">
      <c r="A648" s="14">
        <v>2</v>
      </c>
      <c r="B648" t="str" cm="1">
        <f t="array" ref="B648">_xlfn.IFS(Datasets!Q648=1,"LoW",Table1[[#This Row],[JobSatisfaction]]=2,"Medium",Table1[[#This Row],[JobSatisfaction]]=3,"High",Table1[[#This Row],[JobSatisfaction]]=4,"Very High")</f>
        <v>Medium</v>
      </c>
      <c r="H648" s="5">
        <v>3</v>
      </c>
      <c r="I648" t="str" cm="1">
        <f t="array" ref="I648">_xlfn.IFS(H648=1,"low",H648=2,"medium",H648=3,"balanced",H648=4,"Good")</f>
        <v>balanced</v>
      </c>
    </row>
    <row r="649" spans="1:9" x14ac:dyDescent="0.3">
      <c r="A649" s="13">
        <v>4</v>
      </c>
      <c r="B649" t="str" cm="1">
        <f t="array" ref="B649">_xlfn.IFS(Datasets!Q649=1,"LoW",Table1[[#This Row],[JobSatisfaction]]=2,"Medium",Table1[[#This Row],[JobSatisfaction]]=3,"High",Table1[[#This Row],[JobSatisfaction]]=4,"Very High")</f>
        <v>Very High</v>
      </c>
      <c r="H649" s="5">
        <v>3</v>
      </c>
      <c r="I649" t="str" cm="1">
        <f t="array" ref="I649">_xlfn.IFS(H649=1,"low",H649=2,"medium",H649=3,"balanced",H649=4,"Good")</f>
        <v>balanced</v>
      </c>
    </row>
    <row r="650" spans="1:9" x14ac:dyDescent="0.3">
      <c r="A650" s="14">
        <v>2</v>
      </c>
      <c r="B650" t="str" cm="1">
        <f t="array" ref="B650">_xlfn.IFS(Datasets!Q650=1,"LoW",Table1[[#This Row],[JobSatisfaction]]=2,"Medium",Table1[[#This Row],[JobSatisfaction]]=3,"High",Table1[[#This Row],[JobSatisfaction]]=4,"Very High")</f>
        <v>Medium</v>
      </c>
      <c r="H650" s="5">
        <v>4</v>
      </c>
      <c r="I650" t="str" cm="1">
        <f t="array" ref="I650">_xlfn.IFS(H650=1,"low",H650=2,"medium",H650=3,"balanced",H650=4,"Good")</f>
        <v>Good</v>
      </c>
    </row>
    <row r="651" spans="1:9" x14ac:dyDescent="0.3">
      <c r="A651" s="13">
        <v>4</v>
      </c>
      <c r="B651" t="str" cm="1">
        <f t="array" ref="B651">_xlfn.IFS(Datasets!Q651=1,"LoW",Table1[[#This Row],[JobSatisfaction]]=2,"Medium",Table1[[#This Row],[JobSatisfaction]]=3,"High",Table1[[#This Row],[JobSatisfaction]]=4,"Very High")</f>
        <v>Very High</v>
      </c>
      <c r="H651" s="5">
        <v>2</v>
      </c>
      <c r="I651" t="str" cm="1">
        <f t="array" ref="I651">_xlfn.IFS(H651=1,"low",H651=2,"medium",H651=3,"balanced",H651=4,"Good")</f>
        <v>medium</v>
      </c>
    </row>
    <row r="652" spans="1:9" x14ac:dyDescent="0.3">
      <c r="A652" s="14">
        <v>2</v>
      </c>
      <c r="B652" t="str" cm="1">
        <f t="array" ref="B652">_xlfn.IFS(Datasets!Q652=1,"LoW",Table1[[#This Row],[JobSatisfaction]]=2,"Medium",Table1[[#This Row],[JobSatisfaction]]=3,"High",Table1[[#This Row],[JobSatisfaction]]=4,"Very High")</f>
        <v>Medium</v>
      </c>
      <c r="H652" s="5">
        <v>3</v>
      </c>
      <c r="I652" t="str" cm="1">
        <f t="array" ref="I652">_xlfn.IFS(H652=1,"low",H652=2,"medium",H652=3,"balanced",H652=4,"Good")</f>
        <v>balanced</v>
      </c>
    </row>
    <row r="653" spans="1:9" x14ac:dyDescent="0.3">
      <c r="A653" s="13">
        <v>4</v>
      </c>
      <c r="B653" t="str" cm="1">
        <f t="array" ref="B653">_xlfn.IFS(Datasets!Q653=1,"LoW",Table1[[#This Row],[JobSatisfaction]]=2,"Medium",Table1[[#This Row],[JobSatisfaction]]=3,"High",Table1[[#This Row],[JobSatisfaction]]=4,"Very High")</f>
        <v>Very High</v>
      </c>
      <c r="H653" s="5">
        <v>4</v>
      </c>
      <c r="I653" t="str" cm="1">
        <f t="array" ref="I653">_xlfn.IFS(H653=1,"low",H653=2,"medium",H653=3,"balanced",H653=4,"Good")</f>
        <v>Good</v>
      </c>
    </row>
    <row r="654" spans="1:9" x14ac:dyDescent="0.3">
      <c r="A654" s="14">
        <v>3</v>
      </c>
      <c r="B654" t="str" cm="1">
        <f t="array" ref="B654">_xlfn.IFS(Datasets!Q654=1,"LoW",Table1[[#This Row],[JobSatisfaction]]=2,"Medium",Table1[[#This Row],[JobSatisfaction]]=3,"High",Table1[[#This Row],[JobSatisfaction]]=4,"Very High")</f>
        <v>High</v>
      </c>
      <c r="H654" s="5">
        <v>3</v>
      </c>
      <c r="I654" t="str" cm="1">
        <f t="array" ref="I654">_xlfn.IFS(H654=1,"low",H654=2,"medium",H654=3,"balanced",H654=4,"Good")</f>
        <v>balanced</v>
      </c>
    </row>
    <row r="655" spans="1:9" x14ac:dyDescent="0.3">
      <c r="A655" s="13">
        <v>3</v>
      </c>
      <c r="B655" t="str" cm="1">
        <f t="array" ref="B655">_xlfn.IFS(Datasets!Q655=1,"LoW",Table1[[#This Row],[JobSatisfaction]]=2,"Medium",Table1[[#This Row],[JobSatisfaction]]=3,"High",Table1[[#This Row],[JobSatisfaction]]=4,"Very High")</f>
        <v>High</v>
      </c>
      <c r="H655" s="5">
        <v>3</v>
      </c>
      <c r="I655" t="str" cm="1">
        <f t="array" ref="I655">_xlfn.IFS(H655=1,"low",H655=2,"medium",H655=3,"balanced",H655=4,"Good")</f>
        <v>balanced</v>
      </c>
    </row>
    <row r="656" spans="1:9" x14ac:dyDescent="0.3">
      <c r="A656" s="14">
        <v>4</v>
      </c>
      <c r="B656" t="str" cm="1">
        <f t="array" ref="B656">_xlfn.IFS(Datasets!Q656=1,"LoW",Table1[[#This Row],[JobSatisfaction]]=2,"Medium",Table1[[#This Row],[JobSatisfaction]]=3,"High",Table1[[#This Row],[JobSatisfaction]]=4,"Very High")</f>
        <v>Very High</v>
      </c>
      <c r="H656" s="5">
        <v>4</v>
      </c>
      <c r="I656" t="str" cm="1">
        <f t="array" ref="I656">_xlfn.IFS(H656=1,"low",H656=2,"medium",H656=3,"balanced",H656=4,"Good")</f>
        <v>Good</v>
      </c>
    </row>
    <row r="657" spans="1:9" x14ac:dyDescent="0.3">
      <c r="A657" s="13">
        <v>3</v>
      </c>
      <c r="B657" t="str" cm="1">
        <f t="array" ref="B657">_xlfn.IFS(Datasets!Q657=1,"LoW",Table1[[#This Row],[JobSatisfaction]]=2,"Medium",Table1[[#This Row],[JobSatisfaction]]=3,"High",Table1[[#This Row],[JobSatisfaction]]=4,"Very High")</f>
        <v>High</v>
      </c>
      <c r="H657" s="5">
        <v>3</v>
      </c>
      <c r="I657" t="str" cm="1">
        <f t="array" ref="I657">_xlfn.IFS(H657=1,"low",H657=2,"medium",H657=3,"balanced",H657=4,"Good")</f>
        <v>balanced</v>
      </c>
    </row>
    <row r="658" spans="1:9" x14ac:dyDescent="0.3">
      <c r="A658" s="14">
        <v>4</v>
      </c>
      <c r="B658" t="str" cm="1">
        <f t="array" ref="B658">_xlfn.IFS(Datasets!Q658=1,"LoW",Table1[[#This Row],[JobSatisfaction]]=2,"Medium",Table1[[#This Row],[JobSatisfaction]]=3,"High",Table1[[#This Row],[JobSatisfaction]]=4,"Very High")</f>
        <v>Very High</v>
      </c>
      <c r="H658" s="5">
        <v>3</v>
      </c>
      <c r="I658" t="str" cm="1">
        <f t="array" ref="I658">_xlfn.IFS(H658=1,"low",H658=2,"medium",H658=3,"balanced",H658=4,"Good")</f>
        <v>balanced</v>
      </c>
    </row>
    <row r="659" spans="1:9" x14ac:dyDescent="0.3">
      <c r="A659" s="13">
        <v>1</v>
      </c>
      <c r="B659" t="str" cm="1">
        <f t="array" ref="B659">_xlfn.IFS(Datasets!Q659=1,"LoW",Table1[[#This Row],[JobSatisfaction]]=2,"Medium",Table1[[#This Row],[JobSatisfaction]]=3,"High",Table1[[#This Row],[JobSatisfaction]]=4,"Very High")</f>
        <v>LoW</v>
      </c>
      <c r="H659" s="5">
        <v>3</v>
      </c>
      <c r="I659" t="str" cm="1">
        <f t="array" ref="I659">_xlfn.IFS(H659=1,"low",H659=2,"medium",H659=3,"balanced",H659=4,"Good")</f>
        <v>balanced</v>
      </c>
    </row>
    <row r="660" spans="1:9" x14ac:dyDescent="0.3">
      <c r="A660" s="14">
        <v>3</v>
      </c>
      <c r="B660" t="str" cm="1">
        <f t="array" ref="B660">_xlfn.IFS(Datasets!Q660=1,"LoW",Table1[[#This Row],[JobSatisfaction]]=2,"Medium",Table1[[#This Row],[JobSatisfaction]]=3,"High",Table1[[#This Row],[JobSatisfaction]]=4,"Very High")</f>
        <v>High</v>
      </c>
      <c r="H660" s="5">
        <v>2</v>
      </c>
      <c r="I660" t="str" cm="1">
        <f t="array" ref="I660">_xlfn.IFS(H660=1,"low",H660=2,"medium",H660=3,"balanced",H660=4,"Good")</f>
        <v>medium</v>
      </c>
    </row>
    <row r="661" spans="1:9" x14ac:dyDescent="0.3">
      <c r="A661" s="13">
        <v>4</v>
      </c>
      <c r="B661" t="str" cm="1">
        <f t="array" ref="B661">_xlfn.IFS(Datasets!Q661=1,"LoW",Table1[[#This Row],[JobSatisfaction]]=2,"Medium",Table1[[#This Row],[JobSatisfaction]]=3,"High",Table1[[#This Row],[JobSatisfaction]]=4,"Very High")</f>
        <v>Very High</v>
      </c>
      <c r="H661" s="5">
        <v>3</v>
      </c>
      <c r="I661" t="str" cm="1">
        <f t="array" ref="I661">_xlfn.IFS(H661=1,"low",H661=2,"medium",H661=3,"balanced",H661=4,"Good")</f>
        <v>balanced</v>
      </c>
    </row>
    <row r="662" spans="1:9" x14ac:dyDescent="0.3">
      <c r="A662" s="14">
        <v>3</v>
      </c>
      <c r="B662" t="str" cm="1">
        <f t="array" ref="B662">_xlfn.IFS(Datasets!Q662=1,"LoW",Table1[[#This Row],[JobSatisfaction]]=2,"Medium",Table1[[#This Row],[JobSatisfaction]]=3,"High",Table1[[#This Row],[JobSatisfaction]]=4,"Very High")</f>
        <v>High</v>
      </c>
      <c r="H662" s="5">
        <v>3</v>
      </c>
      <c r="I662" t="str" cm="1">
        <f t="array" ref="I662">_xlfn.IFS(H662=1,"low",H662=2,"medium",H662=3,"balanced",H662=4,"Good")</f>
        <v>balanced</v>
      </c>
    </row>
    <row r="663" spans="1:9" x14ac:dyDescent="0.3">
      <c r="A663" s="13">
        <v>4</v>
      </c>
      <c r="B663" t="str" cm="1">
        <f t="array" ref="B663">_xlfn.IFS(Datasets!Q663=1,"LoW",Table1[[#This Row],[JobSatisfaction]]=2,"Medium",Table1[[#This Row],[JobSatisfaction]]=3,"High",Table1[[#This Row],[JobSatisfaction]]=4,"Very High")</f>
        <v>Very High</v>
      </c>
      <c r="H663" s="5">
        <v>2</v>
      </c>
      <c r="I663" t="str" cm="1">
        <f t="array" ref="I663">_xlfn.IFS(H663=1,"low",H663=2,"medium",H663=3,"balanced",H663=4,"Good")</f>
        <v>medium</v>
      </c>
    </row>
    <row r="664" spans="1:9" x14ac:dyDescent="0.3">
      <c r="A664" s="14">
        <v>3</v>
      </c>
      <c r="B664" t="str" cm="1">
        <f t="array" ref="B664">_xlfn.IFS(Datasets!Q664=1,"LoW",Table1[[#This Row],[JobSatisfaction]]=2,"Medium",Table1[[#This Row],[JobSatisfaction]]=3,"High",Table1[[#This Row],[JobSatisfaction]]=4,"Very High")</f>
        <v>High</v>
      </c>
      <c r="H664" s="5">
        <v>3</v>
      </c>
      <c r="I664" t="str" cm="1">
        <f t="array" ref="I664">_xlfn.IFS(H664=1,"low",H664=2,"medium",H664=3,"balanced",H664=4,"Good")</f>
        <v>balanced</v>
      </c>
    </row>
    <row r="665" spans="1:9" x14ac:dyDescent="0.3">
      <c r="A665" s="13">
        <v>1</v>
      </c>
      <c r="B665" t="str" cm="1">
        <f t="array" ref="B665">_xlfn.IFS(Datasets!Q665=1,"LoW",Table1[[#This Row],[JobSatisfaction]]=2,"Medium",Table1[[#This Row],[JobSatisfaction]]=3,"High",Table1[[#This Row],[JobSatisfaction]]=4,"Very High")</f>
        <v>LoW</v>
      </c>
      <c r="H665" s="5">
        <v>3</v>
      </c>
      <c r="I665" t="str" cm="1">
        <f t="array" ref="I665">_xlfn.IFS(H665=1,"low",H665=2,"medium",H665=3,"balanced",H665=4,"Good")</f>
        <v>balanced</v>
      </c>
    </row>
    <row r="666" spans="1:9" x14ac:dyDescent="0.3">
      <c r="A666" s="14">
        <v>3</v>
      </c>
      <c r="B666" t="str" cm="1">
        <f t="array" ref="B666">_xlfn.IFS(Datasets!Q666=1,"LoW",Table1[[#This Row],[JobSatisfaction]]=2,"Medium",Table1[[#This Row],[JobSatisfaction]]=3,"High",Table1[[#This Row],[JobSatisfaction]]=4,"Very High")</f>
        <v>High</v>
      </c>
      <c r="H666" s="5">
        <v>3</v>
      </c>
      <c r="I666" t="str" cm="1">
        <f t="array" ref="I666">_xlfn.IFS(H666=1,"low",H666=2,"medium",H666=3,"balanced",H666=4,"Good")</f>
        <v>balanced</v>
      </c>
    </row>
    <row r="667" spans="1:9" x14ac:dyDescent="0.3">
      <c r="A667" s="13">
        <v>3</v>
      </c>
      <c r="B667" t="str" cm="1">
        <f t="array" ref="B667">_xlfn.IFS(Datasets!Q667=1,"LoW",Table1[[#This Row],[JobSatisfaction]]=2,"Medium",Table1[[#This Row],[JobSatisfaction]]=3,"High",Table1[[#This Row],[JobSatisfaction]]=4,"Very High")</f>
        <v>High</v>
      </c>
      <c r="H667" s="5">
        <v>3</v>
      </c>
      <c r="I667" t="str" cm="1">
        <f t="array" ref="I667">_xlfn.IFS(H667=1,"low",H667=2,"medium",H667=3,"balanced",H667=4,"Good")</f>
        <v>balanced</v>
      </c>
    </row>
    <row r="668" spans="1:9" x14ac:dyDescent="0.3">
      <c r="A668" s="14">
        <v>3</v>
      </c>
      <c r="B668" t="str" cm="1">
        <f t="array" ref="B668">_xlfn.IFS(Datasets!Q668=1,"LoW",Table1[[#This Row],[JobSatisfaction]]=2,"Medium",Table1[[#This Row],[JobSatisfaction]]=3,"High",Table1[[#This Row],[JobSatisfaction]]=4,"Very High")</f>
        <v>High</v>
      </c>
      <c r="H668" s="5">
        <v>3</v>
      </c>
      <c r="I668" t="str" cm="1">
        <f t="array" ref="I668">_xlfn.IFS(H668=1,"low",H668=2,"medium",H668=3,"balanced",H668=4,"Good")</f>
        <v>balanced</v>
      </c>
    </row>
    <row r="669" spans="1:9" x14ac:dyDescent="0.3">
      <c r="A669" s="13">
        <v>4</v>
      </c>
      <c r="B669" t="str" cm="1">
        <f t="array" ref="B669">_xlfn.IFS(Datasets!Q669=1,"LoW",Table1[[#This Row],[JobSatisfaction]]=2,"Medium",Table1[[#This Row],[JobSatisfaction]]=3,"High",Table1[[#This Row],[JobSatisfaction]]=4,"Very High")</f>
        <v>Very High</v>
      </c>
      <c r="H669" s="5">
        <v>4</v>
      </c>
      <c r="I669" t="str" cm="1">
        <f t="array" ref="I669">_xlfn.IFS(H669=1,"low",H669=2,"medium",H669=3,"balanced",H669=4,"Good")</f>
        <v>Good</v>
      </c>
    </row>
    <row r="670" spans="1:9" x14ac:dyDescent="0.3">
      <c r="A670" s="14">
        <v>3</v>
      </c>
      <c r="B670" t="str" cm="1">
        <f t="array" ref="B670">_xlfn.IFS(Datasets!Q670=1,"LoW",Table1[[#This Row],[JobSatisfaction]]=2,"Medium",Table1[[#This Row],[JobSatisfaction]]=3,"High",Table1[[#This Row],[JobSatisfaction]]=4,"Very High")</f>
        <v>High</v>
      </c>
      <c r="H670" s="5">
        <v>2</v>
      </c>
      <c r="I670" t="str" cm="1">
        <f t="array" ref="I670">_xlfn.IFS(H670=1,"low",H670=2,"medium",H670=3,"balanced",H670=4,"Good")</f>
        <v>medium</v>
      </c>
    </row>
    <row r="671" spans="1:9" x14ac:dyDescent="0.3">
      <c r="A671" s="13">
        <v>2</v>
      </c>
      <c r="B671" t="str" cm="1">
        <f t="array" ref="B671">_xlfn.IFS(Datasets!Q671=1,"LoW",Table1[[#This Row],[JobSatisfaction]]=2,"Medium",Table1[[#This Row],[JobSatisfaction]]=3,"High",Table1[[#This Row],[JobSatisfaction]]=4,"Very High")</f>
        <v>Medium</v>
      </c>
      <c r="H671" s="5">
        <v>4</v>
      </c>
      <c r="I671" t="str" cm="1">
        <f t="array" ref="I671">_xlfn.IFS(H671=1,"low",H671=2,"medium",H671=3,"balanced",H671=4,"Good")</f>
        <v>Good</v>
      </c>
    </row>
    <row r="672" spans="1:9" x14ac:dyDescent="0.3">
      <c r="A672" s="14">
        <v>3</v>
      </c>
      <c r="B672" t="str" cm="1">
        <f t="array" ref="B672">_xlfn.IFS(Datasets!Q672=1,"LoW",Table1[[#This Row],[JobSatisfaction]]=2,"Medium",Table1[[#This Row],[JobSatisfaction]]=3,"High",Table1[[#This Row],[JobSatisfaction]]=4,"Very High")</f>
        <v>High</v>
      </c>
      <c r="H672" s="5">
        <v>3</v>
      </c>
      <c r="I672" t="str" cm="1">
        <f t="array" ref="I672">_xlfn.IFS(H672=1,"low",H672=2,"medium",H672=3,"balanced",H672=4,"Good")</f>
        <v>balanced</v>
      </c>
    </row>
    <row r="673" spans="1:9" x14ac:dyDescent="0.3">
      <c r="A673" s="13">
        <v>3</v>
      </c>
      <c r="B673" t="str" cm="1">
        <f t="array" ref="B673">_xlfn.IFS(Datasets!Q673=1,"LoW",Table1[[#This Row],[JobSatisfaction]]=2,"Medium",Table1[[#This Row],[JobSatisfaction]]=3,"High",Table1[[#This Row],[JobSatisfaction]]=4,"Very High")</f>
        <v>High</v>
      </c>
      <c r="H673" s="5">
        <v>2</v>
      </c>
      <c r="I673" t="str" cm="1">
        <f t="array" ref="I673">_xlfn.IFS(H673=1,"low",H673=2,"medium",H673=3,"balanced",H673=4,"Good")</f>
        <v>medium</v>
      </c>
    </row>
    <row r="674" spans="1:9" x14ac:dyDescent="0.3">
      <c r="A674" s="14">
        <v>1</v>
      </c>
      <c r="B674" t="str" cm="1">
        <f t="array" ref="B674">_xlfn.IFS(Datasets!Q674=1,"LoW",Table1[[#This Row],[JobSatisfaction]]=2,"Medium",Table1[[#This Row],[JobSatisfaction]]=3,"High",Table1[[#This Row],[JobSatisfaction]]=4,"Very High")</f>
        <v>LoW</v>
      </c>
      <c r="H674" s="5">
        <v>3</v>
      </c>
      <c r="I674" t="str" cm="1">
        <f t="array" ref="I674">_xlfn.IFS(H674=1,"low",H674=2,"medium",H674=3,"balanced",H674=4,"Good")</f>
        <v>balanced</v>
      </c>
    </row>
    <row r="675" spans="1:9" x14ac:dyDescent="0.3">
      <c r="A675" s="13">
        <v>3</v>
      </c>
      <c r="B675" t="str" cm="1">
        <f t="array" ref="B675">_xlfn.IFS(Datasets!Q675=1,"LoW",Table1[[#This Row],[JobSatisfaction]]=2,"Medium",Table1[[#This Row],[JobSatisfaction]]=3,"High",Table1[[#This Row],[JobSatisfaction]]=4,"Very High")</f>
        <v>High</v>
      </c>
      <c r="H675" s="5">
        <v>2</v>
      </c>
      <c r="I675" t="str" cm="1">
        <f t="array" ref="I675">_xlfn.IFS(H675=1,"low",H675=2,"medium",H675=3,"balanced",H675=4,"Good")</f>
        <v>medium</v>
      </c>
    </row>
    <row r="676" spans="1:9" x14ac:dyDescent="0.3">
      <c r="A676" s="14">
        <v>3</v>
      </c>
      <c r="B676" t="str" cm="1">
        <f t="array" ref="B676">_xlfn.IFS(Datasets!Q676=1,"LoW",Table1[[#This Row],[JobSatisfaction]]=2,"Medium",Table1[[#This Row],[JobSatisfaction]]=3,"High",Table1[[#This Row],[JobSatisfaction]]=4,"Very High")</f>
        <v>High</v>
      </c>
      <c r="H676" s="5">
        <v>3</v>
      </c>
      <c r="I676" t="str" cm="1">
        <f t="array" ref="I676">_xlfn.IFS(H676=1,"low",H676=2,"medium",H676=3,"balanced",H676=4,"Good")</f>
        <v>balanced</v>
      </c>
    </row>
    <row r="677" spans="1:9" x14ac:dyDescent="0.3">
      <c r="A677" s="13">
        <v>4</v>
      </c>
      <c r="B677" t="str" cm="1">
        <f t="array" ref="B677">_xlfn.IFS(Datasets!Q677=1,"LoW",Table1[[#This Row],[JobSatisfaction]]=2,"Medium",Table1[[#This Row],[JobSatisfaction]]=3,"High",Table1[[#This Row],[JobSatisfaction]]=4,"Very High")</f>
        <v>Very High</v>
      </c>
      <c r="H677" s="5">
        <v>3</v>
      </c>
      <c r="I677" t="str" cm="1">
        <f t="array" ref="I677">_xlfn.IFS(H677=1,"low",H677=2,"medium",H677=3,"balanced",H677=4,"Good")</f>
        <v>balanced</v>
      </c>
    </row>
    <row r="678" spans="1:9" x14ac:dyDescent="0.3">
      <c r="A678" s="14">
        <v>1</v>
      </c>
      <c r="B678" t="str" cm="1">
        <f t="array" ref="B678">_xlfn.IFS(Datasets!Q678=1,"LoW",Table1[[#This Row],[JobSatisfaction]]=2,"Medium",Table1[[#This Row],[JobSatisfaction]]=3,"High",Table1[[#This Row],[JobSatisfaction]]=4,"Very High")</f>
        <v>LoW</v>
      </c>
      <c r="H678" s="5">
        <v>2</v>
      </c>
      <c r="I678" t="str" cm="1">
        <f t="array" ref="I678">_xlfn.IFS(H678=1,"low",H678=2,"medium",H678=3,"balanced",H678=4,"Good")</f>
        <v>medium</v>
      </c>
    </row>
    <row r="679" spans="1:9" x14ac:dyDescent="0.3">
      <c r="A679" s="13">
        <v>1</v>
      </c>
      <c r="B679" t="str" cm="1">
        <f t="array" ref="B679">_xlfn.IFS(Datasets!Q679=1,"LoW",Table1[[#This Row],[JobSatisfaction]]=2,"Medium",Table1[[#This Row],[JobSatisfaction]]=3,"High",Table1[[#This Row],[JobSatisfaction]]=4,"Very High")</f>
        <v>LoW</v>
      </c>
      <c r="H679" s="5">
        <v>3</v>
      </c>
      <c r="I679" t="str" cm="1">
        <f t="array" ref="I679">_xlfn.IFS(H679=1,"low",H679=2,"medium",H679=3,"balanced",H679=4,"Good")</f>
        <v>balanced</v>
      </c>
    </row>
    <row r="680" spans="1:9" x14ac:dyDescent="0.3">
      <c r="A680" s="14">
        <v>4</v>
      </c>
      <c r="B680" t="str" cm="1">
        <f t="array" ref="B680">_xlfn.IFS(Datasets!Q680=1,"LoW",Table1[[#This Row],[JobSatisfaction]]=2,"Medium",Table1[[#This Row],[JobSatisfaction]]=3,"High",Table1[[#This Row],[JobSatisfaction]]=4,"Very High")</f>
        <v>Very High</v>
      </c>
      <c r="H680" s="5">
        <v>3</v>
      </c>
      <c r="I680" t="str" cm="1">
        <f t="array" ref="I680">_xlfn.IFS(H680=1,"low",H680=2,"medium",H680=3,"balanced",H680=4,"Good")</f>
        <v>balanced</v>
      </c>
    </row>
    <row r="681" spans="1:9" x14ac:dyDescent="0.3">
      <c r="A681" s="13">
        <v>4</v>
      </c>
      <c r="B681" t="str" cm="1">
        <f t="array" ref="B681">_xlfn.IFS(Datasets!Q681=1,"LoW",Table1[[#This Row],[JobSatisfaction]]=2,"Medium",Table1[[#This Row],[JobSatisfaction]]=3,"High",Table1[[#This Row],[JobSatisfaction]]=4,"Very High")</f>
        <v>Very High</v>
      </c>
      <c r="H681" s="5">
        <v>4</v>
      </c>
      <c r="I681" t="str" cm="1">
        <f t="array" ref="I681">_xlfn.IFS(H681=1,"low",H681=2,"medium",H681=3,"balanced",H681=4,"Good")</f>
        <v>Good</v>
      </c>
    </row>
    <row r="682" spans="1:9" x14ac:dyDescent="0.3">
      <c r="A682" s="14">
        <v>3</v>
      </c>
      <c r="B682" t="str" cm="1">
        <f t="array" ref="B682">_xlfn.IFS(Datasets!Q682=1,"LoW",Table1[[#This Row],[JobSatisfaction]]=2,"Medium",Table1[[#This Row],[JobSatisfaction]]=3,"High",Table1[[#This Row],[JobSatisfaction]]=4,"Very High")</f>
        <v>High</v>
      </c>
      <c r="H682" s="5">
        <v>2</v>
      </c>
      <c r="I682" t="str" cm="1">
        <f t="array" ref="I682">_xlfn.IFS(H682=1,"low",H682=2,"medium",H682=3,"balanced",H682=4,"Good")</f>
        <v>medium</v>
      </c>
    </row>
    <row r="683" spans="1:9" x14ac:dyDescent="0.3">
      <c r="A683" s="13">
        <v>4</v>
      </c>
      <c r="B683" t="str" cm="1">
        <f t="array" ref="B683">_xlfn.IFS(Datasets!Q683=1,"LoW",Table1[[#This Row],[JobSatisfaction]]=2,"Medium",Table1[[#This Row],[JobSatisfaction]]=3,"High",Table1[[#This Row],[JobSatisfaction]]=4,"Very High")</f>
        <v>Very High</v>
      </c>
      <c r="H683" s="5">
        <v>3</v>
      </c>
      <c r="I683" t="str" cm="1">
        <f t="array" ref="I683">_xlfn.IFS(H683=1,"low",H683=2,"medium",H683=3,"balanced",H683=4,"Good")</f>
        <v>balanced</v>
      </c>
    </row>
    <row r="684" spans="1:9" x14ac:dyDescent="0.3">
      <c r="A684" s="14">
        <v>3</v>
      </c>
      <c r="B684" t="str" cm="1">
        <f t="array" ref="B684">_xlfn.IFS(Datasets!Q684=1,"LoW",Table1[[#This Row],[JobSatisfaction]]=2,"Medium",Table1[[#This Row],[JobSatisfaction]]=3,"High",Table1[[#This Row],[JobSatisfaction]]=4,"Very High")</f>
        <v>High</v>
      </c>
      <c r="H684" s="5">
        <v>3</v>
      </c>
      <c r="I684" t="str" cm="1">
        <f t="array" ref="I684">_xlfn.IFS(H684=1,"low",H684=2,"medium",H684=3,"balanced",H684=4,"Good")</f>
        <v>balanced</v>
      </c>
    </row>
    <row r="685" spans="1:9" x14ac:dyDescent="0.3">
      <c r="A685" s="13">
        <v>4</v>
      </c>
      <c r="B685" t="str" cm="1">
        <f t="array" ref="B685">_xlfn.IFS(Datasets!Q685=1,"LoW",Table1[[#This Row],[JobSatisfaction]]=2,"Medium",Table1[[#This Row],[JobSatisfaction]]=3,"High",Table1[[#This Row],[JobSatisfaction]]=4,"Very High")</f>
        <v>Very High</v>
      </c>
      <c r="H685" s="5">
        <v>4</v>
      </c>
      <c r="I685" t="str" cm="1">
        <f t="array" ref="I685">_xlfn.IFS(H685=1,"low",H685=2,"medium",H685=3,"balanced",H685=4,"Good")</f>
        <v>Good</v>
      </c>
    </row>
    <row r="686" spans="1:9" x14ac:dyDescent="0.3">
      <c r="A686" s="14">
        <v>4</v>
      </c>
      <c r="B686" t="str" cm="1">
        <f t="array" ref="B686">_xlfn.IFS(Datasets!Q686=1,"LoW",Table1[[#This Row],[JobSatisfaction]]=2,"Medium",Table1[[#This Row],[JobSatisfaction]]=3,"High",Table1[[#This Row],[JobSatisfaction]]=4,"Very High")</f>
        <v>Very High</v>
      </c>
      <c r="H686" s="5">
        <v>3</v>
      </c>
      <c r="I686" t="str" cm="1">
        <f t="array" ref="I686">_xlfn.IFS(H686=1,"low",H686=2,"medium",H686=3,"balanced",H686=4,"Good")</f>
        <v>balanced</v>
      </c>
    </row>
    <row r="687" spans="1:9" x14ac:dyDescent="0.3">
      <c r="A687" s="13">
        <v>4</v>
      </c>
      <c r="B687" t="str" cm="1">
        <f t="array" ref="B687">_xlfn.IFS(Datasets!Q687=1,"LoW",Table1[[#This Row],[JobSatisfaction]]=2,"Medium",Table1[[#This Row],[JobSatisfaction]]=3,"High",Table1[[#This Row],[JobSatisfaction]]=4,"Very High")</f>
        <v>Very High</v>
      </c>
      <c r="H687" s="5">
        <v>3</v>
      </c>
      <c r="I687" t="str" cm="1">
        <f t="array" ref="I687">_xlfn.IFS(H687=1,"low",H687=2,"medium",H687=3,"balanced",H687=4,"Good")</f>
        <v>balanced</v>
      </c>
    </row>
    <row r="688" spans="1:9" x14ac:dyDescent="0.3">
      <c r="A688" s="14">
        <v>4</v>
      </c>
      <c r="B688" t="str" cm="1">
        <f t="array" ref="B688">_xlfn.IFS(Datasets!Q688=1,"LoW",Table1[[#This Row],[JobSatisfaction]]=2,"Medium",Table1[[#This Row],[JobSatisfaction]]=3,"High",Table1[[#This Row],[JobSatisfaction]]=4,"Very High")</f>
        <v>Very High</v>
      </c>
      <c r="H688" s="5">
        <v>2</v>
      </c>
      <c r="I688" t="str" cm="1">
        <f t="array" ref="I688">_xlfn.IFS(H688=1,"low",H688=2,"medium",H688=3,"balanced",H688=4,"Good")</f>
        <v>medium</v>
      </c>
    </row>
    <row r="689" spans="1:9" x14ac:dyDescent="0.3">
      <c r="A689" s="13">
        <v>4</v>
      </c>
      <c r="B689" t="str" cm="1">
        <f t="array" ref="B689">_xlfn.IFS(Datasets!Q689=1,"LoW",Table1[[#This Row],[JobSatisfaction]]=2,"Medium",Table1[[#This Row],[JobSatisfaction]]=3,"High",Table1[[#This Row],[JobSatisfaction]]=4,"Very High")</f>
        <v>Very High</v>
      </c>
      <c r="H689" s="5">
        <v>3</v>
      </c>
      <c r="I689" t="str" cm="1">
        <f t="array" ref="I689">_xlfn.IFS(H689=1,"low",H689=2,"medium",H689=3,"balanced",H689=4,"Good")</f>
        <v>balanced</v>
      </c>
    </row>
    <row r="690" spans="1:9" x14ac:dyDescent="0.3">
      <c r="A690" s="14">
        <v>3</v>
      </c>
      <c r="B690" t="str" cm="1">
        <f t="array" ref="B690">_xlfn.IFS(Datasets!Q690=1,"LoW",Table1[[#This Row],[JobSatisfaction]]=2,"Medium",Table1[[#This Row],[JobSatisfaction]]=3,"High",Table1[[#This Row],[JobSatisfaction]]=4,"Very High")</f>
        <v>High</v>
      </c>
      <c r="H690" s="5">
        <v>3</v>
      </c>
      <c r="I690" t="str" cm="1">
        <f t="array" ref="I690">_xlfn.IFS(H690=1,"low",H690=2,"medium",H690=3,"balanced",H690=4,"Good")</f>
        <v>balanced</v>
      </c>
    </row>
    <row r="691" spans="1:9" x14ac:dyDescent="0.3">
      <c r="A691" s="13">
        <v>3</v>
      </c>
      <c r="B691" t="str" cm="1">
        <f t="array" ref="B691">_xlfn.IFS(Datasets!Q691=1,"LoW",Table1[[#This Row],[JobSatisfaction]]=2,"Medium",Table1[[#This Row],[JobSatisfaction]]=3,"High",Table1[[#This Row],[JobSatisfaction]]=4,"Very High")</f>
        <v>High</v>
      </c>
      <c r="H691" s="5">
        <v>3</v>
      </c>
      <c r="I691" t="str" cm="1">
        <f t="array" ref="I691">_xlfn.IFS(H691=1,"low",H691=2,"medium",H691=3,"balanced",H691=4,"Good")</f>
        <v>balanced</v>
      </c>
    </row>
    <row r="692" spans="1:9" x14ac:dyDescent="0.3">
      <c r="A692" s="14">
        <v>3</v>
      </c>
      <c r="B692" t="str" cm="1">
        <f t="array" ref="B692">_xlfn.IFS(Datasets!Q692=1,"LoW",Table1[[#This Row],[JobSatisfaction]]=2,"Medium",Table1[[#This Row],[JobSatisfaction]]=3,"High",Table1[[#This Row],[JobSatisfaction]]=4,"Very High")</f>
        <v>High</v>
      </c>
      <c r="H692" s="5">
        <v>3</v>
      </c>
      <c r="I692" t="str" cm="1">
        <f t="array" ref="I692">_xlfn.IFS(H692=1,"low",H692=2,"medium",H692=3,"balanced",H692=4,"Good")</f>
        <v>balanced</v>
      </c>
    </row>
    <row r="693" spans="1:9" x14ac:dyDescent="0.3">
      <c r="A693" s="13">
        <v>1</v>
      </c>
      <c r="B693" t="str" cm="1">
        <f t="array" ref="B693">_xlfn.IFS(Datasets!Q693=1,"LoW",Table1[[#This Row],[JobSatisfaction]]=2,"Medium",Table1[[#This Row],[JobSatisfaction]]=3,"High",Table1[[#This Row],[JobSatisfaction]]=4,"Very High")</f>
        <v>LoW</v>
      </c>
      <c r="H693" s="5">
        <v>3</v>
      </c>
      <c r="I693" t="str" cm="1">
        <f t="array" ref="I693">_xlfn.IFS(H693=1,"low",H693=2,"medium",H693=3,"balanced",H693=4,"Good")</f>
        <v>balanced</v>
      </c>
    </row>
    <row r="694" spans="1:9" x14ac:dyDescent="0.3">
      <c r="A694" s="14">
        <v>1</v>
      </c>
      <c r="B694" t="str" cm="1">
        <f t="array" ref="B694">_xlfn.IFS(Datasets!Q694=1,"LoW",Table1[[#This Row],[JobSatisfaction]]=2,"Medium",Table1[[#This Row],[JobSatisfaction]]=3,"High",Table1[[#This Row],[JobSatisfaction]]=4,"Very High")</f>
        <v>LoW</v>
      </c>
      <c r="H694" s="5">
        <v>3</v>
      </c>
      <c r="I694" t="str" cm="1">
        <f t="array" ref="I694">_xlfn.IFS(H694=1,"low",H694=2,"medium",H694=3,"balanced",H694=4,"Good")</f>
        <v>balanced</v>
      </c>
    </row>
    <row r="695" spans="1:9" x14ac:dyDescent="0.3">
      <c r="A695" s="13">
        <v>1</v>
      </c>
      <c r="B695" t="str" cm="1">
        <f t="array" ref="B695">_xlfn.IFS(Datasets!Q695=1,"LoW",Table1[[#This Row],[JobSatisfaction]]=2,"Medium",Table1[[#This Row],[JobSatisfaction]]=3,"High",Table1[[#This Row],[JobSatisfaction]]=4,"Very High")</f>
        <v>LoW</v>
      </c>
      <c r="H695" s="5">
        <v>3</v>
      </c>
      <c r="I695" t="str" cm="1">
        <f t="array" ref="I695">_xlfn.IFS(H695=1,"low",H695=2,"medium",H695=3,"balanced",H695=4,"Good")</f>
        <v>balanced</v>
      </c>
    </row>
    <row r="696" spans="1:9" x14ac:dyDescent="0.3">
      <c r="A696" s="14">
        <v>4</v>
      </c>
      <c r="B696" t="str" cm="1">
        <f t="array" ref="B696">_xlfn.IFS(Datasets!Q696=1,"LoW",Table1[[#This Row],[JobSatisfaction]]=2,"Medium",Table1[[#This Row],[JobSatisfaction]]=3,"High",Table1[[#This Row],[JobSatisfaction]]=4,"Very High")</f>
        <v>Very High</v>
      </c>
      <c r="H696" s="5">
        <v>3</v>
      </c>
      <c r="I696" t="str" cm="1">
        <f t="array" ref="I696">_xlfn.IFS(H696=1,"low",H696=2,"medium",H696=3,"balanced",H696=4,"Good")</f>
        <v>balanced</v>
      </c>
    </row>
    <row r="697" spans="1:9" x14ac:dyDescent="0.3">
      <c r="A697" s="13">
        <v>3</v>
      </c>
      <c r="B697" t="str" cm="1">
        <f t="array" ref="B697">_xlfn.IFS(Datasets!Q697=1,"LoW",Table1[[#This Row],[JobSatisfaction]]=2,"Medium",Table1[[#This Row],[JobSatisfaction]]=3,"High",Table1[[#This Row],[JobSatisfaction]]=4,"Very High")</f>
        <v>High</v>
      </c>
      <c r="H697" s="5">
        <v>3</v>
      </c>
      <c r="I697" t="str" cm="1">
        <f t="array" ref="I697">_xlfn.IFS(H697=1,"low",H697=2,"medium",H697=3,"balanced",H697=4,"Good")</f>
        <v>balanced</v>
      </c>
    </row>
    <row r="698" spans="1:9" x14ac:dyDescent="0.3">
      <c r="A698" s="14">
        <v>4</v>
      </c>
      <c r="B698" t="str" cm="1">
        <f t="array" ref="B698">_xlfn.IFS(Datasets!Q698=1,"LoW",Table1[[#This Row],[JobSatisfaction]]=2,"Medium",Table1[[#This Row],[JobSatisfaction]]=3,"High",Table1[[#This Row],[JobSatisfaction]]=4,"Very High")</f>
        <v>Very High</v>
      </c>
      <c r="H698" s="5">
        <v>4</v>
      </c>
      <c r="I698" t="str" cm="1">
        <f t="array" ref="I698">_xlfn.IFS(H698=1,"low",H698=2,"medium",H698=3,"balanced",H698=4,"Good")</f>
        <v>Good</v>
      </c>
    </row>
    <row r="699" spans="1:9" x14ac:dyDescent="0.3">
      <c r="A699" s="13">
        <v>3</v>
      </c>
      <c r="B699" t="str" cm="1">
        <f t="array" ref="B699">_xlfn.IFS(Datasets!Q699=1,"LoW",Table1[[#This Row],[JobSatisfaction]]=2,"Medium",Table1[[#This Row],[JobSatisfaction]]=3,"High",Table1[[#This Row],[JobSatisfaction]]=4,"Very High")</f>
        <v>High</v>
      </c>
      <c r="H699" s="5">
        <v>4</v>
      </c>
      <c r="I699" t="str" cm="1">
        <f t="array" ref="I699">_xlfn.IFS(H699=1,"low",H699=2,"medium",H699=3,"balanced",H699=4,"Good")</f>
        <v>Good</v>
      </c>
    </row>
    <row r="700" spans="1:9" x14ac:dyDescent="0.3">
      <c r="A700" s="14">
        <v>3</v>
      </c>
      <c r="B700" t="str" cm="1">
        <f t="array" ref="B700">_xlfn.IFS(Datasets!Q700=1,"LoW",Table1[[#This Row],[JobSatisfaction]]=2,"Medium",Table1[[#This Row],[JobSatisfaction]]=3,"High",Table1[[#This Row],[JobSatisfaction]]=4,"Very High")</f>
        <v>High</v>
      </c>
      <c r="H700" s="5">
        <v>3</v>
      </c>
      <c r="I700" t="str" cm="1">
        <f t="array" ref="I700">_xlfn.IFS(H700=1,"low",H700=2,"medium",H700=3,"balanced",H700=4,"Good")</f>
        <v>balanced</v>
      </c>
    </row>
    <row r="701" spans="1:9" x14ac:dyDescent="0.3">
      <c r="A701" s="13">
        <v>1</v>
      </c>
      <c r="B701" t="str" cm="1">
        <f t="array" ref="B701">_xlfn.IFS(Datasets!Q701=1,"LoW",Table1[[#This Row],[JobSatisfaction]]=2,"Medium",Table1[[#This Row],[JobSatisfaction]]=3,"High",Table1[[#This Row],[JobSatisfaction]]=4,"Very High")</f>
        <v>LoW</v>
      </c>
      <c r="H701" s="5">
        <v>3</v>
      </c>
      <c r="I701" t="str" cm="1">
        <f t="array" ref="I701">_xlfn.IFS(H701=1,"low",H701=2,"medium",H701=3,"balanced",H701=4,"Good")</f>
        <v>balanced</v>
      </c>
    </row>
    <row r="702" spans="1:9" x14ac:dyDescent="0.3">
      <c r="A702" s="14">
        <v>1</v>
      </c>
      <c r="B702" t="str" cm="1">
        <f t="array" ref="B702">_xlfn.IFS(Datasets!Q702=1,"LoW",Table1[[#This Row],[JobSatisfaction]]=2,"Medium",Table1[[#This Row],[JobSatisfaction]]=3,"High",Table1[[#This Row],[JobSatisfaction]]=4,"Very High")</f>
        <v>LoW</v>
      </c>
      <c r="H702" s="5">
        <v>3</v>
      </c>
      <c r="I702" t="str" cm="1">
        <f t="array" ref="I702">_xlfn.IFS(H702=1,"low",H702=2,"medium",H702=3,"balanced",H702=4,"Good")</f>
        <v>balanced</v>
      </c>
    </row>
    <row r="703" spans="1:9" x14ac:dyDescent="0.3">
      <c r="A703" s="13">
        <v>2</v>
      </c>
      <c r="B703" t="str" cm="1">
        <f t="array" ref="B703">_xlfn.IFS(Datasets!Q703=1,"LoW",Table1[[#This Row],[JobSatisfaction]]=2,"Medium",Table1[[#This Row],[JobSatisfaction]]=3,"High",Table1[[#This Row],[JobSatisfaction]]=4,"Very High")</f>
        <v>Medium</v>
      </c>
      <c r="H703" s="5">
        <v>4</v>
      </c>
      <c r="I703" t="str" cm="1">
        <f t="array" ref="I703">_xlfn.IFS(H703=1,"low",H703=2,"medium",H703=3,"balanced",H703=4,"Good")</f>
        <v>Good</v>
      </c>
    </row>
    <row r="704" spans="1:9" x14ac:dyDescent="0.3">
      <c r="A704" s="14">
        <v>4</v>
      </c>
      <c r="B704" t="str" cm="1">
        <f t="array" ref="B704">_xlfn.IFS(Datasets!Q704=1,"LoW",Table1[[#This Row],[JobSatisfaction]]=2,"Medium",Table1[[#This Row],[JobSatisfaction]]=3,"High",Table1[[#This Row],[JobSatisfaction]]=4,"Very High")</f>
        <v>Very High</v>
      </c>
      <c r="H704" s="5">
        <v>3</v>
      </c>
      <c r="I704" t="str" cm="1">
        <f t="array" ref="I704">_xlfn.IFS(H704=1,"low",H704=2,"medium",H704=3,"balanced",H704=4,"Good")</f>
        <v>balanced</v>
      </c>
    </row>
    <row r="705" spans="1:9" x14ac:dyDescent="0.3">
      <c r="A705" s="13">
        <v>3</v>
      </c>
      <c r="B705" t="str" cm="1">
        <f t="array" ref="B705">_xlfn.IFS(Datasets!Q705=1,"LoW",Table1[[#This Row],[JobSatisfaction]]=2,"Medium",Table1[[#This Row],[JobSatisfaction]]=3,"High",Table1[[#This Row],[JobSatisfaction]]=4,"Very High")</f>
        <v>High</v>
      </c>
      <c r="H705" s="5">
        <v>2</v>
      </c>
      <c r="I705" t="str" cm="1">
        <f t="array" ref="I705">_xlfn.IFS(H705=1,"low",H705=2,"medium",H705=3,"balanced",H705=4,"Good")</f>
        <v>medium</v>
      </c>
    </row>
    <row r="706" spans="1:9" x14ac:dyDescent="0.3">
      <c r="A706" s="14">
        <v>4</v>
      </c>
      <c r="B706" t="str" cm="1">
        <f t="array" ref="B706">_xlfn.IFS(Datasets!Q706=1,"LoW",Table1[[#This Row],[JobSatisfaction]]=2,"Medium",Table1[[#This Row],[JobSatisfaction]]=3,"High",Table1[[#This Row],[JobSatisfaction]]=4,"Very High")</f>
        <v>Very High</v>
      </c>
      <c r="H706" s="5">
        <v>4</v>
      </c>
      <c r="I706" t="str" cm="1">
        <f t="array" ref="I706">_xlfn.IFS(H706=1,"low",H706=2,"medium",H706=3,"balanced",H706=4,"Good")</f>
        <v>Good</v>
      </c>
    </row>
    <row r="707" spans="1:9" x14ac:dyDescent="0.3">
      <c r="A707" s="13">
        <v>1</v>
      </c>
      <c r="B707" t="str" cm="1">
        <f t="array" ref="B707">_xlfn.IFS(Datasets!Q707=1,"LoW",Table1[[#This Row],[JobSatisfaction]]=2,"Medium",Table1[[#This Row],[JobSatisfaction]]=3,"High",Table1[[#This Row],[JobSatisfaction]]=4,"Very High")</f>
        <v>LoW</v>
      </c>
      <c r="H707" s="5">
        <v>2</v>
      </c>
      <c r="I707" t="str" cm="1">
        <f t="array" ref="I707">_xlfn.IFS(H707=1,"low",H707=2,"medium",H707=3,"balanced",H707=4,"Good")</f>
        <v>medium</v>
      </c>
    </row>
    <row r="708" spans="1:9" x14ac:dyDescent="0.3">
      <c r="A708" s="14">
        <v>4</v>
      </c>
      <c r="B708" t="str" cm="1">
        <f t="array" ref="B708">_xlfn.IFS(Datasets!Q708=1,"LoW",Table1[[#This Row],[JobSatisfaction]]=2,"Medium",Table1[[#This Row],[JobSatisfaction]]=3,"High",Table1[[#This Row],[JobSatisfaction]]=4,"Very High")</f>
        <v>Very High</v>
      </c>
      <c r="H708" s="5">
        <v>1</v>
      </c>
      <c r="I708" t="str" cm="1">
        <f t="array" ref="I708">_xlfn.IFS(H708=1,"low",H708=2,"medium",H708=3,"balanced",H708=4,"Good")</f>
        <v>low</v>
      </c>
    </row>
    <row r="709" spans="1:9" x14ac:dyDescent="0.3">
      <c r="A709" s="13">
        <v>2</v>
      </c>
      <c r="B709" t="str" cm="1">
        <f t="array" ref="B709">_xlfn.IFS(Datasets!Q709=1,"LoW",Table1[[#This Row],[JobSatisfaction]]=2,"Medium",Table1[[#This Row],[JobSatisfaction]]=3,"High",Table1[[#This Row],[JobSatisfaction]]=4,"Very High")</f>
        <v>Medium</v>
      </c>
      <c r="H709" s="5">
        <v>1</v>
      </c>
      <c r="I709" t="str" cm="1">
        <f t="array" ref="I709">_xlfn.IFS(H709=1,"low",H709=2,"medium",H709=3,"balanced",H709=4,"Good")</f>
        <v>low</v>
      </c>
    </row>
    <row r="710" spans="1:9" x14ac:dyDescent="0.3">
      <c r="A710" s="14">
        <v>2</v>
      </c>
      <c r="B710" t="str" cm="1">
        <f t="array" ref="B710">_xlfn.IFS(Datasets!Q710=1,"LoW",Table1[[#This Row],[JobSatisfaction]]=2,"Medium",Table1[[#This Row],[JobSatisfaction]]=3,"High",Table1[[#This Row],[JobSatisfaction]]=4,"Very High")</f>
        <v>Medium</v>
      </c>
      <c r="H710" s="5">
        <v>3</v>
      </c>
      <c r="I710" t="str" cm="1">
        <f t="array" ref="I710">_xlfn.IFS(H710=1,"low",H710=2,"medium",H710=3,"balanced",H710=4,"Good")</f>
        <v>balanced</v>
      </c>
    </row>
    <row r="711" spans="1:9" x14ac:dyDescent="0.3">
      <c r="A711" s="13">
        <v>1</v>
      </c>
      <c r="B711" t="str" cm="1">
        <f t="array" ref="B711">_xlfn.IFS(Datasets!Q711=1,"LoW",Table1[[#This Row],[JobSatisfaction]]=2,"Medium",Table1[[#This Row],[JobSatisfaction]]=3,"High",Table1[[#This Row],[JobSatisfaction]]=4,"Very High")</f>
        <v>LoW</v>
      </c>
      <c r="H711" s="5">
        <v>3</v>
      </c>
      <c r="I711" t="str" cm="1">
        <f t="array" ref="I711">_xlfn.IFS(H711=1,"low",H711=2,"medium",H711=3,"balanced",H711=4,"Good")</f>
        <v>balanced</v>
      </c>
    </row>
    <row r="712" spans="1:9" x14ac:dyDescent="0.3">
      <c r="A712" s="14">
        <v>4</v>
      </c>
      <c r="B712" t="str" cm="1">
        <f t="array" ref="B712">_xlfn.IFS(Datasets!Q712=1,"LoW",Table1[[#This Row],[JobSatisfaction]]=2,"Medium",Table1[[#This Row],[JobSatisfaction]]=3,"High",Table1[[#This Row],[JobSatisfaction]]=4,"Very High")</f>
        <v>Very High</v>
      </c>
      <c r="H712" s="5">
        <v>4</v>
      </c>
      <c r="I712" t="str" cm="1">
        <f t="array" ref="I712">_xlfn.IFS(H712=1,"low",H712=2,"medium",H712=3,"balanced",H712=4,"Good")</f>
        <v>Good</v>
      </c>
    </row>
    <row r="713" spans="1:9" x14ac:dyDescent="0.3">
      <c r="A713" s="13">
        <v>2</v>
      </c>
      <c r="B713" t="str" cm="1">
        <f t="array" ref="B713">_xlfn.IFS(Datasets!Q713=1,"LoW",Table1[[#This Row],[JobSatisfaction]]=2,"Medium",Table1[[#This Row],[JobSatisfaction]]=3,"High",Table1[[#This Row],[JobSatisfaction]]=4,"Very High")</f>
        <v>Medium</v>
      </c>
      <c r="H713" s="5">
        <v>3</v>
      </c>
      <c r="I713" t="str" cm="1">
        <f t="array" ref="I713">_xlfn.IFS(H713=1,"low",H713=2,"medium",H713=3,"balanced",H713=4,"Good")</f>
        <v>balanced</v>
      </c>
    </row>
    <row r="714" spans="1:9" x14ac:dyDescent="0.3">
      <c r="A714" s="14">
        <v>1</v>
      </c>
      <c r="B714" t="str" cm="1">
        <f t="array" ref="B714">_xlfn.IFS(Datasets!Q714=1,"LoW",Table1[[#This Row],[JobSatisfaction]]=2,"Medium",Table1[[#This Row],[JobSatisfaction]]=3,"High",Table1[[#This Row],[JobSatisfaction]]=4,"Very High")</f>
        <v>LoW</v>
      </c>
      <c r="H714" s="5">
        <v>3</v>
      </c>
      <c r="I714" t="str" cm="1">
        <f t="array" ref="I714">_xlfn.IFS(H714=1,"low",H714=2,"medium",H714=3,"balanced",H714=4,"Good")</f>
        <v>balanced</v>
      </c>
    </row>
    <row r="715" spans="1:9" x14ac:dyDescent="0.3">
      <c r="A715" s="13">
        <v>2</v>
      </c>
      <c r="B715" t="str" cm="1">
        <f t="array" ref="B715">_xlfn.IFS(Datasets!Q715=1,"LoW",Table1[[#This Row],[JobSatisfaction]]=2,"Medium",Table1[[#This Row],[JobSatisfaction]]=3,"High",Table1[[#This Row],[JobSatisfaction]]=4,"Very High")</f>
        <v>Medium</v>
      </c>
      <c r="H715" s="5">
        <v>4</v>
      </c>
      <c r="I715" t="str" cm="1">
        <f t="array" ref="I715">_xlfn.IFS(H715=1,"low",H715=2,"medium",H715=3,"balanced",H715=4,"Good")</f>
        <v>Good</v>
      </c>
    </row>
    <row r="716" spans="1:9" x14ac:dyDescent="0.3">
      <c r="A716" s="14">
        <v>3</v>
      </c>
      <c r="B716" t="str" cm="1">
        <f t="array" ref="B716">_xlfn.IFS(Datasets!Q716=1,"LoW",Table1[[#This Row],[JobSatisfaction]]=2,"Medium",Table1[[#This Row],[JobSatisfaction]]=3,"High",Table1[[#This Row],[JobSatisfaction]]=4,"Very High")</f>
        <v>High</v>
      </c>
      <c r="H716" s="5">
        <v>3</v>
      </c>
      <c r="I716" t="str" cm="1">
        <f t="array" ref="I716">_xlfn.IFS(H716=1,"low",H716=2,"medium",H716=3,"balanced",H716=4,"Good")</f>
        <v>balanced</v>
      </c>
    </row>
    <row r="717" spans="1:9" x14ac:dyDescent="0.3">
      <c r="A717" s="13">
        <v>3</v>
      </c>
      <c r="B717" t="str" cm="1">
        <f t="array" ref="B717">_xlfn.IFS(Datasets!Q717=1,"LoW",Table1[[#This Row],[JobSatisfaction]]=2,"Medium",Table1[[#This Row],[JobSatisfaction]]=3,"High",Table1[[#This Row],[JobSatisfaction]]=4,"Very High")</f>
        <v>High</v>
      </c>
      <c r="H717" s="5">
        <v>2</v>
      </c>
      <c r="I717" t="str" cm="1">
        <f t="array" ref="I717">_xlfn.IFS(H717=1,"low",H717=2,"medium",H717=3,"balanced",H717=4,"Good")</f>
        <v>medium</v>
      </c>
    </row>
    <row r="718" spans="1:9" x14ac:dyDescent="0.3">
      <c r="A718" s="14">
        <v>4</v>
      </c>
      <c r="B718" t="str" cm="1">
        <f t="array" ref="B718">_xlfn.IFS(Datasets!Q718=1,"LoW",Table1[[#This Row],[JobSatisfaction]]=2,"Medium",Table1[[#This Row],[JobSatisfaction]]=3,"High",Table1[[#This Row],[JobSatisfaction]]=4,"Very High")</f>
        <v>Very High</v>
      </c>
      <c r="H718" s="5">
        <v>3</v>
      </c>
      <c r="I718" t="str" cm="1">
        <f t="array" ref="I718">_xlfn.IFS(H718=1,"low",H718=2,"medium",H718=3,"balanced",H718=4,"Good")</f>
        <v>balanced</v>
      </c>
    </row>
    <row r="719" spans="1:9" x14ac:dyDescent="0.3">
      <c r="A719" s="13">
        <v>3</v>
      </c>
      <c r="B719" t="str" cm="1">
        <f t="array" ref="B719">_xlfn.IFS(Datasets!Q719=1,"LoW",Table1[[#This Row],[JobSatisfaction]]=2,"Medium",Table1[[#This Row],[JobSatisfaction]]=3,"High",Table1[[#This Row],[JobSatisfaction]]=4,"Very High")</f>
        <v>High</v>
      </c>
      <c r="H719" s="5">
        <v>2</v>
      </c>
      <c r="I719" t="str" cm="1">
        <f t="array" ref="I719">_xlfn.IFS(H719=1,"low",H719=2,"medium",H719=3,"balanced",H719=4,"Good")</f>
        <v>medium</v>
      </c>
    </row>
    <row r="720" spans="1:9" x14ac:dyDescent="0.3">
      <c r="A720" s="14">
        <v>2</v>
      </c>
      <c r="B720" t="str" cm="1">
        <f t="array" ref="B720">_xlfn.IFS(Datasets!Q720=1,"LoW",Table1[[#This Row],[JobSatisfaction]]=2,"Medium",Table1[[#This Row],[JobSatisfaction]]=3,"High",Table1[[#This Row],[JobSatisfaction]]=4,"Very High")</f>
        <v>Medium</v>
      </c>
      <c r="H720" s="5">
        <v>3</v>
      </c>
      <c r="I720" t="str" cm="1">
        <f t="array" ref="I720">_xlfn.IFS(H720=1,"low",H720=2,"medium",H720=3,"balanced",H720=4,"Good")</f>
        <v>balanced</v>
      </c>
    </row>
    <row r="721" spans="1:9" x14ac:dyDescent="0.3">
      <c r="A721" s="13">
        <v>3</v>
      </c>
      <c r="B721" t="str" cm="1">
        <f t="array" ref="B721">_xlfn.IFS(Datasets!Q721=1,"LoW",Table1[[#This Row],[JobSatisfaction]]=2,"Medium",Table1[[#This Row],[JobSatisfaction]]=3,"High",Table1[[#This Row],[JobSatisfaction]]=4,"Very High")</f>
        <v>High</v>
      </c>
      <c r="H721" s="5">
        <v>3</v>
      </c>
      <c r="I721" t="str" cm="1">
        <f t="array" ref="I721">_xlfn.IFS(H721=1,"low",H721=2,"medium",H721=3,"balanced",H721=4,"Good")</f>
        <v>balanced</v>
      </c>
    </row>
    <row r="722" spans="1:9" x14ac:dyDescent="0.3">
      <c r="A722" s="14">
        <v>2</v>
      </c>
      <c r="B722" t="str" cm="1">
        <f t="array" ref="B722">_xlfn.IFS(Datasets!Q722=1,"LoW",Table1[[#This Row],[JobSatisfaction]]=2,"Medium",Table1[[#This Row],[JobSatisfaction]]=3,"High",Table1[[#This Row],[JobSatisfaction]]=4,"Very High")</f>
        <v>Medium</v>
      </c>
      <c r="H722" s="5">
        <v>3</v>
      </c>
      <c r="I722" t="str" cm="1">
        <f t="array" ref="I722">_xlfn.IFS(H722=1,"low",H722=2,"medium",H722=3,"balanced",H722=4,"Good")</f>
        <v>balanced</v>
      </c>
    </row>
    <row r="723" spans="1:9" x14ac:dyDescent="0.3">
      <c r="A723" s="13">
        <v>2</v>
      </c>
      <c r="B723" t="str" cm="1">
        <f t="array" ref="B723">_xlfn.IFS(Datasets!Q723=1,"LoW",Table1[[#This Row],[JobSatisfaction]]=2,"Medium",Table1[[#This Row],[JobSatisfaction]]=3,"High",Table1[[#This Row],[JobSatisfaction]]=4,"Very High")</f>
        <v>Medium</v>
      </c>
      <c r="H723" s="5">
        <v>3</v>
      </c>
      <c r="I723" t="str" cm="1">
        <f t="array" ref="I723">_xlfn.IFS(H723=1,"low",H723=2,"medium",H723=3,"balanced",H723=4,"Good")</f>
        <v>balanced</v>
      </c>
    </row>
    <row r="724" spans="1:9" x14ac:dyDescent="0.3">
      <c r="A724" s="14">
        <v>3</v>
      </c>
      <c r="B724" t="str" cm="1">
        <f t="array" ref="B724">_xlfn.IFS(Datasets!Q724=1,"LoW",Table1[[#This Row],[JobSatisfaction]]=2,"Medium",Table1[[#This Row],[JobSatisfaction]]=3,"High",Table1[[#This Row],[JobSatisfaction]]=4,"Very High")</f>
        <v>High</v>
      </c>
      <c r="H724" s="5">
        <v>3</v>
      </c>
      <c r="I724" t="str" cm="1">
        <f t="array" ref="I724">_xlfn.IFS(H724=1,"low",H724=2,"medium",H724=3,"balanced",H724=4,"Good")</f>
        <v>balanced</v>
      </c>
    </row>
    <row r="725" spans="1:9" x14ac:dyDescent="0.3">
      <c r="A725" s="13">
        <v>3</v>
      </c>
      <c r="B725" t="str" cm="1">
        <f t="array" ref="B725">_xlfn.IFS(Datasets!Q725=1,"LoW",Table1[[#This Row],[JobSatisfaction]]=2,"Medium",Table1[[#This Row],[JobSatisfaction]]=3,"High",Table1[[#This Row],[JobSatisfaction]]=4,"Very High")</f>
        <v>High</v>
      </c>
      <c r="H725" s="5">
        <v>2</v>
      </c>
      <c r="I725" t="str" cm="1">
        <f t="array" ref="I725">_xlfn.IFS(H725=1,"low",H725=2,"medium",H725=3,"balanced",H725=4,"Good")</f>
        <v>medium</v>
      </c>
    </row>
    <row r="726" spans="1:9" x14ac:dyDescent="0.3">
      <c r="A726" s="14">
        <v>4</v>
      </c>
      <c r="B726" t="str" cm="1">
        <f t="array" ref="B726">_xlfn.IFS(Datasets!Q726=1,"LoW",Table1[[#This Row],[JobSatisfaction]]=2,"Medium",Table1[[#This Row],[JobSatisfaction]]=3,"High",Table1[[#This Row],[JobSatisfaction]]=4,"Very High")</f>
        <v>Very High</v>
      </c>
      <c r="H726" s="5">
        <v>1</v>
      </c>
      <c r="I726" t="str" cm="1">
        <f t="array" ref="I726">_xlfn.IFS(H726=1,"low",H726=2,"medium",H726=3,"balanced",H726=4,"Good")</f>
        <v>low</v>
      </c>
    </row>
    <row r="727" spans="1:9" x14ac:dyDescent="0.3">
      <c r="A727" s="13">
        <v>2</v>
      </c>
      <c r="B727" t="str" cm="1">
        <f t="array" ref="B727">_xlfn.IFS(Datasets!Q727=1,"LoW",Table1[[#This Row],[JobSatisfaction]]=2,"Medium",Table1[[#This Row],[JobSatisfaction]]=3,"High",Table1[[#This Row],[JobSatisfaction]]=4,"Very High")</f>
        <v>Medium</v>
      </c>
      <c r="H727" s="5">
        <v>3</v>
      </c>
      <c r="I727" t="str" cm="1">
        <f t="array" ref="I727">_xlfn.IFS(H727=1,"low",H727=2,"medium",H727=3,"balanced",H727=4,"Good")</f>
        <v>balanced</v>
      </c>
    </row>
    <row r="728" spans="1:9" x14ac:dyDescent="0.3">
      <c r="A728" s="14">
        <v>1</v>
      </c>
      <c r="B728" t="str" cm="1">
        <f t="array" ref="B728">_xlfn.IFS(Datasets!Q728=1,"LoW",Table1[[#This Row],[JobSatisfaction]]=2,"Medium",Table1[[#This Row],[JobSatisfaction]]=3,"High",Table1[[#This Row],[JobSatisfaction]]=4,"Very High")</f>
        <v>LoW</v>
      </c>
      <c r="H728" s="5">
        <v>2</v>
      </c>
      <c r="I728" t="str" cm="1">
        <f t="array" ref="I728">_xlfn.IFS(H728=1,"low",H728=2,"medium",H728=3,"balanced",H728=4,"Good")</f>
        <v>medium</v>
      </c>
    </row>
    <row r="729" spans="1:9" x14ac:dyDescent="0.3">
      <c r="A729" s="13">
        <v>4</v>
      </c>
      <c r="B729" t="str" cm="1">
        <f t="array" ref="B729">_xlfn.IFS(Datasets!Q729=1,"LoW",Table1[[#This Row],[JobSatisfaction]]=2,"Medium",Table1[[#This Row],[JobSatisfaction]]=3,"High",Table1[[#This Row],[JobSatisfaction]]=4,"Very High")</f>
        <v>Very High</v>
      </c>
      <c r="H729" s="5">
        <v>3</v>
      </c>
      <c r="I729" t="str" cm="1">
        <f t="array" ref="I729">_xlfn.IFS(H729=1,"low",H729=2,"medium",H729=3,"balanced",H729=4,"Good")</f>
        <v>balanced</v>
      </c>
    </row>
    <row r="730" spans="1:9" x14ac:dyDescent="0.3">
      <c r="A730" s="14">
        <v>3</v>
      </c>
      <c r="B730" t="str" cm="1">
        <f t="array" ref="B730">_xlfn.IFS(Datasets!Q730=1,"LoW",Table1[[#This Row],[JobSatisfaction]]=2,"Medium",Table1[[#This Row],[JobSatisfaction]]=3,"High",Table1[[#This Row],[JobSatisfaction]]=4,"Very High")</f>
        <v>High</v>
      </c>
      <c r="H730" s="5">
        <v>3</v>
      </c>
      <c r="I730" t="str" cm="1">
        <f t="array" ref="I730">_xlfn.IFS(H730=1,"low",H730=2,"medium",H730=3,"balanced",H730=4,"Good")</f>
        <v>balanced</v>
      </c>
    </row>
    <row r="731" spans="1:9" x14ac:dyDescent="0.3">
      <c r="A731" s="13">
        <v>3</v>
      </c>
      <c r="B731" t="str" cm="1">
        <f t="array" ref="B731">_xlfn.IFS(Datasets!Q731=1,"LoW",Table1[[#This Row],[JobSatisfaction]]=2,"Medium",Table1[[#This Row],[JobSatisfaction]]=3,"High",Table1[[#This Row],[JobSatisfaction]]=4,"Very High")</f>
        <v>High</v>
      </c>
      <c r="H731" s="5">
        <v>3</v>
      </c>
      <c r="I731" t="str" cm="1">
        <f t="array" ref="I731">_xlfn.IFS(H731=1,"low",H731=2,"medium",H731=3,"balanced",H731=4,"Good")</f>
        <v>balanced</v>
      </c>
    </row>
    <row r="732" spans="1:9" x14ac:dyDescent="0.3">
      <c r="A732" s="14">
        <v>1</v>
      </c>
      <c r="B732" t="str" cm="1">
        <f t="array" ref="B732">_xlfn.IFS(Datasets!Q732=1,"LoW",Table1[[#This Row],[JobSatisfaction]]=2,"Medium",Table1[[#This Row],[JobSatisfaction]]=3,"High",Table1[[#This Row],[JobSatisfaction]]=4,"Very High")</f>
        <v>LoW</v>
      </c>
      <c r="H732" s="5">
        <v>3</v>
      </c>
      <c r="I732" t="str" cm="1">
        <f t="array" ref="I732">_xlfn.IFS(H732=1,"low",H732=2,"medium",H732=3,"balanced",H732=4,"Good")</f>
        <v>balanced</v>
      </c>
    </row>
    <row r="733" spans="1:9" x14ac:dyDescent="0.3">
      <c r="A733" s="13">
        <v>3</v>
      </c>
      <c r="B733" t="str" cm="1">
        <f t="array" ref="B733">_xlfn.IFS(Datasets!Q733=1,"LoW",Table1[[#This Row],[JobSatisfaction]]=2,"Medium",Table1[[#This Row],[JobSatisfaction]]=3,"High",Table1[[#This Row],[JobSatisfaction]]=4,"Very High")</f>
        <v>High</v>
      </c>
      <c r="H733" s="5">
        <v>2</v>
      </c>
      <c r="I733" t="str" cm="1">
        <f t="array" ref="I733">_xlfn.IFS(H733=1,"low",H733=2,"medium",H733=3,"balanced",H733=4,"Good")</f>
        <v>medium</v>
      </c>
    </row>
    <row r="734" spans="1:9" x14ac:dyDescent="0.3">
      <c r="A734" s="14">
        <v>3</v>
      </c>
      <c r="B734" t="str" cm="1">
        <f t="array" ref="B734">_xlfn.IFS(Datasets!Q734=1,"LoW",Table1[[#This Row],[JobSatisfaction]]=2,"Medium",Table1[[#This Row],[JobSatisfaction]]=3,"High",Table1[[#This Row],[JobSatisfaction]]=4,"Very High")</f>
        <v>High</v>
      </c>
      <c r="H734" s="5">
        <v>3</v>
      </c>
      <c r="I734" t="str" cm="1">
        <f t="array" ref="I734">_xlfn.IFS(H734=1,"low",H734=2,"medium",H734=3,"balanced",H734=4,"Good")</f>
        <v>balanced</v>
      </c>
    </row>
    <row r="735" spans="1:9" x14ac:dyDescent="0.3">
      <c r="A735" s="13">
        <v>3</v>
      </c>
      <c r="B735" t="str" cm="1">
        <f t="array" ref="B735">_xlfn.IFS(Datasets!Q735=1,"LoW",Table1[[#This Row],[JobSatisfaction]]=2,"Medium",Table1[[#This Row],[JobSatisfaction]]=3,"High",Table1[[#This Row],[JobSatisfaction]]=4,"Very High")</f>
        <v>High</v>
      </c>
      <c r="H735" s="5">
        <v>2</v>
      </c>
      <c r="I735" t="str" cm="1">
        <f t="array" ref="I735">_xlfn.IFS(H735=1,"low",H735=2,"medium",H735=3,"balanced",H735=4,"Good")</f>
        <v>medium</v>
      </c>
    </row>
    <row r="736" spans="1:9" x14ac:dyDescent="0.3">
      <c r="A736" s="14">
        <v>4</v>
      </c>
      <c r="B736" t="str" cm="1">
        <f t="array" ref="B736">_xlfn.IFS(Datasets!Q736=1,"LoW",Table1[[#This Row],[JobSatisfaction]]=2,"Medium",Table1[[#This Row],[JobSatisfaction]]=3,"High",Table1[[#This Row],[JobSatisfaction]]=4,"Very High")</f>
        <v>Very High</v>
      </c>
      <c r="H736" s="5">
        <v>3</v>
      </c>
      <c r="I736" t="str" cm="1">
        <f t="array" ref="I736">_xlfn.IFS(H736=1,"low",H736=2,"medium",H736=3,"balanced",H736=4,"Good")</f>
        <v>balanced</v>
      </c>
    </row>
    <row r="737" spans="1:9" x14ac:dyDescent="0.3">
      <c r="A737" s="13">
        <v>4</v>
      </c>
      <c r="B737" t="str" cm="1">
        <f t="array" ref="B737">_xlfn.IFS(Datasets!Q737=1,"LoW",Table1[[#This Row],[JobSatisfaction]]=2,"Medium",Table1[[#This Row],[JobSatisfaction]]=3,"High",Table1[[#This Row],[JobSatisfaction]]=4,"Very High")</f>
        <v>Very High</v>
      </c>
      <c r="H737" s="5">
        <v>4</v>
      </c>
      <c r="I737" t="str" cm="1">
        <f t="array" ref="I737">_xlfn.IFS(H737=1,"low",H737=2,"medium",H737=3,"balanced",H737=4,"Good")</f>
        <v>Good</v>
      </c>
    </row>
    <row r="738" spans="1:9" x14ac:dyDescent="0.3">
      <c r="A738" s="14">
        <v>4</v>
      </c>
      <c r="B738" t="str" cm="1">
        <f t="array" ref="B738">_xlfn.IFS(Datasets!Q738=1,"LoW",Table1[[#This Row],[JobSatisfaction]]=2,"Medium",Table1[[#This Row],[JobSatisfaction]]=3,"High",Table1[[#This Row],[JobSatisfaction]]=4,"Very High")</f>
        <v>Very High</v>
      </c>
      <c r="H738" s="5">
        <v>2</v>
      </c>
      <c r="I738" t="str" cm="1">
        <f t="array" ref="I738">_xlfn.IFS(H738=1,"low",H738=2,"medium",H738=3,"balanced",H738=4,"Good")</f>
        <v>medium</v>
      </c>
    </row>
    <row r="739" spans="1:9" x14ac:dyDescent="0.3">
      <c r="A739" s="13">
        <v>4</v>
      </c>
      <c r="B739" t="str" cm="1">
        <f t="array" ref="B739">_xlfn.IFS(Datasets!Q739=1,"LoW",Table1[[#This Row],[JobSatisfaction]]=2,"Medium",Table1[[#This Row],[JobSatisfaction]]=3,"High",Table1[[#This Row],[JobSatisfaction]]=4,"Very High")</f>
        <v>Very High</v>
      </c>
      <c r="H739" s="5">
        <v>3</v>
      </c>
      <c r="I739" t="str" cm="1">
        <f t="array" ref="I739">_xlfn.IFS(H739=1,"low",H739=2,"medium",H739=3,"balanced",H739=4,"Good")</f>
        <v>balanced</v>
      </c>
    </row>
    <row r="740" spans="1:9" x14ac:dyDescent="0.3">
      <c r="A740" s="14">
        <v>2</v>
      </c>
      <c r="B740" t="str" cm="1">
        <f t="array" ref="B740">_xlfn.IFS(Datasets!Q740=1,"LoW",Table1[[#This Row],[JobSatisfaction]]=2,"Medium",Table1[[#This Row],[JobSatisfaction]]=3,"High",Table1[[#This Row],[JobSatisfaction]]=4,"Very High")</f>
        <v>Medium</v>
      </c>
      <c r="H740" s="5">
        <v>3</v>
      </c>
      <c r="I740" t="str" cm="1">
        <f t="array" ref="I740">_xlfn.IFS(H740=1,"low",H740=2,"medium",H740=3,"balanced",H740=4,"Good")</f>
        <v>balanced</v>
      </c>
    </row>
    <row r="741" spans="1:9" x14ac:dyDescent="0.3">
      <c r="A741" s="13">
        <v>2</v>
      </c>
      <c r="B741" t="str" cm="1">
        <f t="array" ref="B741">_xlfn.IFS(Datasets!Q741=1,"LoW",Table1[[#This Row],[JobSatisfaction]]=2,"Medium",Table1[[#This Row],[JobSatisfaction]]=3,"High",Table1[[#This Row],[JobSatisfaction]]=4,"Very High")</f>
        <v>Medium</v>
      </c>
      <c r="H741" s="5">
        <v>2</v>
      </c>
      <c r="I741" t="str" cm="1">
        <f t="array" ref="I741">_xlfn.IFS(H741=1,"low",H741=2,"medium",H741=3,"balanced",H741=4,"Good")</f>
        <v>medium</v>
      </c>
    </row>
    <row r="742" spans="1:9" x14ac:dyDescent="0.3">
      <c r="A742" s="14">
        <v>4</v>
      </c>
      <c r="B742" t="str" cm="1">
        <f t="array" ref="B742">_xlfn.IFS(Datasets!Q742=1,"LoW",Table1[[#This Row],[JobSatisfaction]]=2,"Medium",Table1[[#This Row],[JobSatisfaction]]=3,"High",Table1[[#This Row],[JobSatisfaction]]=4,"Very High")</f>
        <v>Very High</v>
      </c>
      <c r="H742" s="5">
        <v>3</v>
      </c>
      <c r="I742" t="str" cm="1">
        <f t="array" ref="I742">_xlfn.IFS(H742=1,"low",H742=2,"medium",H742=3,"balanced",H742=4,"Good")</f>
        <v>balanced</v>
      </c>
    </row>
    <row r="743" spans="1:9" x14ac:dyDescent="0.3">
      <c r="A743" s="13">
        <v>1</v>
      </c>
      <c r="B743" t="str" cm="1">
        <f t="array" ref="B743">_xlfn.IFS(Datasets!Q743=1,"LoW",Table1[[#This Row],[JobSatisfaction]]=2,"Medium",Table1[[#This Row],[JobSatisfaction]]=3,"High",Table1[[#This Row],[JobSatisfaction]]=4,"Very High")</f>
        <v>LoW</v>
      </c>
      <c r="H743" s="5">
        <v>3</v>
      </c>
      <c r="I743" t="str" cm="1">
        <f t="array" ref="I743">_xlfn.IFS(H743=1,"low",H743=2,"medium",H743=3,"balanced",H743=4,"Good")</f>
        <v>balanced</v>
      </c>
    </row>
    <row r="744" spans="1:9" x14ac:dyDescent="0.3">
      <c r="A744" s="14">
        <v>2</v>
      </c>
      <c r="B744" t="str" cm="1">
        <f t="array" ref="B744">_xlfn.IFS(Datasets!Q744=1,"LoW",Table1[[#This Row],[JobSatisfaction]]=2,"Medium",Table1[[#This Row],[JobSatisfaction]]=3,"High",Table1[[#This Row],[JobSatisfaction]]=4,"Very High")</f>
        <v>Medium</v>
      </c>
      <c r="H744" s="5">
        <v>3</v>
      </c>
      <c r="I744" t="str" cm="1">
        <f t="array" ref="I744">_xlfn.IFS(H744=1,"low",H744=2,"medium",H744=3,"balanced",H744=4,"Good")</f>
        <v>balanced</v>
      </c>
    </row>
    <row r="745" spans="1:9" x14ac:dyDescent="0.3">
      <c r="A745" s="13">
        <v>4</v>
      </c>
      <c r="B745" t="str" cm="1">
        <f t="array" ref="B745">_xlfn.IFS(Datasets!Q745=1,"LoW",Table1[[#This Row],[JobSatisfaction]]=2,"Medium",Table1[[#This Row],[JobSatisfaction]]=3,"High",Table1[[#This Row],[JobSatisfaction]]=4,"Very High")</f>
        <v>Very High</v>
      </c>
      <c r="H745" s="5">
        <v>3</v>
      </c>
      <c r="I745" t="str" cm="1">
        <f t="array" ref="I745">_xlfn.IFS(H745=1,"low",H745=2,"medium",H745=3,"balanced",H745=4,"Good")</f>
        <v>balanced</v>
      </c>
    </row>
    <row r="746" spans="1:9" x14ac:dyDescent="0.3">
      <c r="A746" s="14">
        <v>1</v>
      </c>
      <c r="B746" t="str" cm="1">
        <f t="array" ref="B746">_xlfn.IFS(Datasets!Q746=1,"LoW",Table1[[#This Row],[JobSatisfaction]]=2,"Medium",Table1[[#This Row],[JobSatisfaction]]=3,"High",Table1[[#This Row],[JobSatisfaction]]=4,"Very High")</f>
        <v>LoW</v>
      </c>
      <c r="H746" s="5">
        <v>3</v>
      </c>
      <c r="I746" t="str" cm="1">
        <f t="array" ref="I746">_xlfn.IFS(H746=1,"low",H746=2,"medium",H746=3,"balanced",H746=4,"Good")</f>
        <v>balanced</v>
      </c>
    </row>
    <row r="747" spans="1:9" x14ac:dyDescent="0.3">
      <c r="A747" s="13">
        <v>1</v>
      </c>
      <c r="B747" t="str" cm="1">
        <f t="array" ref="B747">_xlfn.IFS(Datasets!Q747=1,"LoW",Table1[[#This Row],[JobSatisfaction]]=2,"Medium",Table1[[#This Row],[JobSatisfaction]]=3,"High",Table1[[#This Row],[JobSatisfaction]]=4,"Very High")</f>
        <v>LoW</v>
      </c>
      <c r="H747" s="5">
        <v>3</v>
      </c>
      <c r="I747" t="str" cm="1">
        <f t="array" ref="I747">_xlfn.IFS(H747=1,"low",H747=2,"medium",H747=3,"balanced",H747=4,"Good")</f>
        <v>balanced</v>
      </c>
    </row>
    <row r="748" spans="1:9" x14ac:dyDescent="0.3">
      <c r="A748" s="14">
        <v>2</v>
      </c>
      <c r="B748" t="str" cm="1">
        <f t="array" ref="B748">_xlfn.IFS(Datasets!Q748=1,"LoW",Table1[[#This Row],[JobSatisfaction]]=2,"Medium",Table1[[#This Row],[JobSatisfaction]]=3,"High",Table1[[#This Row],[JobSatisfaction]]=4,"Very High")</f>
        <v>Medium</v>
      </c>
      <c r="H748" s="5">
        <v>1</v>
      </c>
      <c r="I748" t="str" cm="1">
        <f t="array" ref="I748">_xlfn.IFS(H748=1,"low",H748=2,"medium",H748=3,"balanced",H748=4,"Good")</f>
        <v>low</v>
      </c>
    </row>
    <row r="749" spans="1:9" x14ac:dyDescent="0.3">
      <c r="A749" s="13">
        <v>3</v>
      </c>
      <c r="B749" t="str" cm="1">
        <f t="array" ref="B749">_xlfn.IFS(Datasets!Q749=1,"LoW",Table1[[#This Row],[JobSatisfaction]]=2,"Medium",Table1[[#This Row],[JobSatisfaction]]=3,"High",Table1[[#This Row],[JobSatisfaction]]=4,"Very High")</f>
        <v>High</v>
      </c>
      <c r="H749" s="5">
        <v>3</v>
      </c>
      <c r="I749" t="str" cm="1">
        <f t="array" ref="I749">_xlfn.IFS(H749=1,"low",H749=2,"medium",H749=3,"balanced",H749=4,"Good")</f>
        <v>balanced</v>
      </c>
    </row>
    <row r="750" spans="1:9" x14ac:dyDescent="0.3">
      <c r="A750" s="14">
        <v>3</v>
      </c>
      <c r="B750" t="str" cm="1">
        <f t="array" ref="B750">_xlfn.IFS(Datasets!Q750=1,"LoW",Table1[[#This Row],[JobSatisfaction]]=2,"Medium",Table1[[#This Row],[JobSatisfaction]]=3,"High",Table1[[#This Row],[JobSatisfaction]]=4,"Very High")</f>
        <v>High</v>
      </c>
      <c r="H750" s="5">
        <v>2</v>
      </c>
      <c r="I750" t="str" cm="1">
        <f t="array" ref="I750">_xlfn.IFS(H750=1,"low",H750=2,"medium",H750=3,"balanced",H750=4,"Good")</f>
        <v>medium</v>
      </c>
    </row>
    <row r="751" spans="1:9" x14ac:dyDescent="0.3">
      <c r="A751" s="13">
        <v>3</v>
      </c>
      <c r="B751" t="str" cm="1">
        <f t="array" ref="B751">_xlfn.IFS(Datasets!Q751=1,"LoW",Table1[[#This Row],[JobSatisfaction]]=2,"Medium",Table1[[#This Row],[JobSatisfaction]]=3,"High",Table1[[#This Row],[JobSatisfaction]]=4,"Very High")</f>
        <v>High</v>
      </c>
      <c r="H751" s="5">
        <v>3</v>
      </c>
      <c r="I751" t="str" cm="1">
        <f t="array" ref="I751">_xlfn.IFS(H751=1,"low",H751=2,"medium",H751=3,"balanced",H751=4,"Good")</f>
        <v>balanced</v>
      </c>
    </row>
    <row r="752" spans="1:9" x14ac:dyDescent="0.3">
      <c r="A752" s="14">
        <v>1</v>
      </c>
      <c r="B752" t="str" cm="1">
        <f t="array" ref="B752">_xlfn.IFS(Datasets!Q752=1,"LoW",Table1[[#This Row],[JobSatisfaction]]=2,"Medium",Table1[[#This Row],[JobSatisfaction]]=3,"High",Table1[[#This Row],[JobSatisfaction]]=4,"Very High")</f>
        <v>LoW</v>
      </c>
      <c r="H752" s="5">
        <v>3</v>
      </c>
      <c r="I752" t="str" cm="1">
        <f t="array" ref="I752">_xlfn.IFS(H752=1,"low",H752=2,"medium",H752=3,"balanced",H752=4,"Good")</f>
        <v>balanced</v>
      </c>
    </row>
    <row r="753" spans="1:9" x14ac:dyDescent="0.3">
      <c r="A753" s="13">
        <v>1</v>
      </c>
      <c r="B753" t="str" cm="1">
        <f t="array" ref="B753">_xlfn.IFS(Datasets!Q753=1,"LoW",Table1[[#This Row],[JobSatisfaction]]=2,"Medium",Table1[[#This Row],[JobSatisfaction]]=3,"High",Table1[[#This Row],[JobSatisfaction]]=4,"Very High")</f>
        <v>LoW</v>
      </c>
      <c r="H753" s="5">
        <v>4</v>
      </c>
      <c r="I753" t="str" cm="1">
        <f t="array" ref="I753">_xlfn.IFS(H753=1,"low",H753=2,"medium",H753=3,"balanced",H753=4,"Good")</f>
        <v>Good</v>
      </c>
    </row>
    <row r="754" spans="1:9" x14ac:dyDescent="0.3">
      <c r="A754" s="14">
        <v>3</v>
      </c>
      <c r="B754" t="str" cm="1">
        <f t="array" ref="B754">_xlfn.IFS(Datasets!Q754=1,"LoW",Table1[[#This Row],[JobSatisfaction]]=2,"Medium",Table1[[#This Row],[JobSatisfaction]]=3,"High",Table1[[#This Row],[JobSatisfaction]]=4,"Very High")</f>
        <v>High</v>
      </c>
      <c r="H754" s="5">
        <v>3</v>
      </c>
      <c r="I754" t="str" cm="1">
        <f t="array" ref="I754">_xlfn.IFS(H754=1,"low",H754=2,"medium",H754=3,"balanced",H754=4,"Good")</f>
        <v>balanced</v>
      </c>
    </row>
    <row r="755" spans="1:9" x14ac:dyDescent="0.3">
      <c r="A755" s="13">
        <v>2</v>
      </c>
      <c r="B755" t="str" cm="1">
        <f t="array" ref="B755">_xlfn.IFS(Datasets!Q755=1,"LoW",Table1[[#This Row],[JobSatisfaction]]=2,"Medium",Table1[[#This Row],[JobSatisfaction]]=3,"High",Table1[[#This Row],[JobSatisfaction]]=4,"Very High")</f>
        <v>Medium</v>
      </c>
      <c r="H755" s="5">
        <v>3</v>
      </c>
      <c r="I755" t="str" cm="1">
        <f t="array" ref="I755">_xlfn.IFS(H755=1,"low",H755=2,"medium",H755=3,"balanced",H755=4,"Good")</f>
        <v>balanced</v>
      </c>
    </row>
    <row r="756" spans="1:9" x14ac:dyDescent="0.3">
      <c r="A756" s="14">
        <v>1</v>
      </c>
      <c r="B756" t="str" cm="1">
        <f t="array" ref="B756">_xlfn.IFS(Datasets!Q756=1,"LoW",Table1[[#This Row],[JobSatisfaction]]=2,"Medium",Table1[[#This Row],[JobSatisfaction]]=3,"High",Table1[[#This Row],[JobSatisfaction]]=4,"Very High")</f>
        <v>LoW</v>
      </c>
      <c r="H756" s="5">
        <v>3</v>
      </c>
      <c r="I756" t="str" cm="1">
        <f t="array" ref="I756">_xlfn.IFS(H756=1,"low",H756=2,"medium",H756=3,"balanced",H756=4,"Good")</f>
        <v>balanced</v>
      </c>
    </row>
    <row r="757" spans="1:9" x14ac:dyDescent="0.3">
      <c r="A757" s="13">
        <v>3</v>
      </c>
      <c r="B757" t="str" cm="1">
        <f t="array" ref="B757">_xlfn.IFS(Datasets!Q757=1,"LoW",Table1[[#This Row],[JobSatisfaction]]=2,"Medium",Table1[[#This Row],[JobSatisfaction]]=3,"High",Table1[[#This Row],[JobSatisfaction]]=4,"Very High")</f>
        <v>High</v>
      </c>
      <c r="H757" s="5">
        <v>1</v>
      </c>
      <c r="I757" t="str" cm="1">
        <f t="array" ref="I757">_xlfn.IFS(H757=1,"low",H757=2,"medium",H757=3,"balanced",H757=4,"Good")</f>
        <v>low</v>
      </c>
    </row>
    <row r="758" spans="1:9" x14ac:dyDescent="0.3">
      <c r="A758" s="14">
        <v>4</v>
      </c>
      <c r="B758" t="str" cm="1">
        <f t="array" ref="B758">_xlfn.IFS(Datasets!Q758=1,"LoW",Table1[[#This Row],[JobSatisfaction]]=2,"Medium",Table1[[#This Row],[JobSatisfaction]]=3,"High",Table1[[#This Row],[JobSatisfaction]]=4,"Very High")</f>
        <v>Very High</v>
      </c>
      <c r="H758" s="5">
        <v>2</v>
      </c>
      <c r="I758" t="str" cm="1">
        <f t="array" ref="I758">_xlfn.IFS(H758=1,"low",H758=2,"medium",H758=3,"balanced",H758=4,"Good")</f>
        <v>medium</v>
      </c>
    </row>
    <row r="759" spans="1:9" x14ac:dyDescent="0.3">
      <c r="A759" s="13">
        <v>4</v>
      </c>
      <c r="B759" t="str" cm="1">
        <f t="array" ref="B759">_xlfn.IFS(Datasets!Q759=1,"LoW",Table1[[#This Row],[JobSatisfaction]]=2,"Medium",Table1[[#This Row],[JobSatisfaction]]=3,"High",Table1[[#This Row],[JobSatisfaction]]=4,"Very High")</f>
        <v>Very High</v>
      </c>
      <c r="H759" s="5">
        <v>2</v>
      </c>
      <c r="I759" t="str" cm="1">
        <f t="array" ref="I759">_xlfn.IFS(H759=1,"low",H759=2,"medium",H759=3,"balanced",H759=4,"Good")</f>
        <v>medium</v>
      </c>
    </row>
    <row r="760" spans="1:9" x14ac:dyDescent="0.3">
      <c r="A760" s="14">
        <v>3</v>
      </c>
      <c r="B760" t="str" cm="1">
        <f t="array" ref="B760">_xlfn.IFS(Datasets!Q760=1,"LoW",Table1[[#This Row],[JobSatisfaction]]=2,"Medium",Table1[[#This Row],[JobSatisfaction]]=3,"High",Table1[[#This Row],[JobSatisfaction]]=4,"Very High")</f>
        <v>High</v>
      </c>
      <c r="H760" s="5">
        <v>2</v>
      </c>
      <c r="I760" t="str" cm="1">
        <f t="array" ref="I760">_xlfn.IFS(H760=1,"low",H760=2,"medium",H760=3,"balanced",H760=4,"Good")</f>
        <v>medium</v>
      </c>
    </row>
    <row r="761" spans="1:9" x14ac:dyDescent="0.3">
      <c r="A761" s="13">
        <v>3</v>
      </c>
      <c r="B761" t="str" cm="1">
        <f t="array" ref="B761">_xlfn.IFS(Datasets!Q761=1,"LoW",Table1[[#This Row],[JobSatisfaction]]=2,"Medium",Table1[[#This Row],[JobSatisfaction]]=3,"High",Table1[[#This Row],[JobSatisfaction]]=4,"Very High")</f>
        <v>High</v>
      </c>
      <c r="H761" s="5">
        <v>4</v>
      </c>
      <c r="I761" t="str" cm="1">
        <f t="array" ref="I761">_xlfn.IFS(H761=1,"low",H761=2,"medium",H761=3,"balanced",H761=4,"Good")</f>
        <v>Good</v>
      </c>
    </row>
    <row r="762" spans="1:9" x14ac:dyDescent="0.3">
      <c r="A762" s="14">
        <v>4</v>
      </c>
      <c r="B762" t="str" cm="1">
        <f t="array" ref="B762">_xlfn.IFS(Datasets!Q762=1,"LoW",Table1[[#This Row],[JobSatisfaction]]=2,"Medium",Table1[[#This Row],[JobSatisfaction]]=3,"High",Table1[[#This Row],[JobSatisfaction]]=4,"Very High")</f>
        <v>Very High</v>
      </c>
      <c r="H762" s="5">
        <v>3</v>
      </c>
      <c r="I762" t="str" cm="1">
        <f t="array" ref="I762">_xlfn.IFS(H762=1,"low",H762=2,"medium",H762=3,"balanced",H762=4,"Good")</f>
        <v>balanced</v>
      </c>
    </row>
    <row r="763" spans="1:9" x14ac:dyDescent="0.3">
      <c r="A763" s="13">
        <v>4</v>
      </c>
      <c r="B763" t="str" cm="1">
        <f t="array" ref="B763">_xlfn.IFS(Datasets!Q763=1,"LoW",Table1[[#This Row],[JobSatisfaction]]=2,"Medium",Table1[[#This Row],[JobSatisfaction]]=3,"High",Table1[[#This Row],[JobSatisfaction]]=4,"Very High")</f>
        <v>Very High</v>
      </c>
      <c r="H763" s="5">
        <v>3</v>
      </c>
      <c r="I763" t="str" cm="1">
        <f t="array" ref="I763">_xlfn.IFS(H763=1,"low",H763=2,"medium",H763=3,"balanced",H763=4,"Good")</f>
        <v>balanced</v>
      </c>
    </row>
    <row r="764" spans="1:9" x14ac:dyDescent="0.3">
      <c r="A764" s="14">
        <v>4</v>
      </c>
      <c r="B764" t="str" cm="1">
        <f t="array" ref="B764">_xlfn.IFS(Datasets!Q764=1,"LoW",Table1[[#This Row],[JobSatisfaction]]=2,"Medium",Table1[[#This Row],[JobSatisfaction]]=3,"High",Table1[[#This Row],[JobSatisfaction]]=4,"Very High")</f>
        <v>Very High</v>
      </c>
      <c r="H764" s="5">
        <v>3</v>
      </c>
      <c r="I764" t="str" cm="1">
        <f t="array" ref="I764">_xlfn.IFS(H764=1,"low",H764=2,"medium",H764=3,"balanced",H764=4,"Good")</f>
        <v>balanced</v>
      </c>
    </row>
    <row r="765" spans="1:9" x14ac:dyDescent="0.3">
      <c r="A765" s="13">
        <v>4</v>
      </c>
      <c r="B765" t="str" cm="1">
        <f t="array" ref="B765">_xlfn.IFS(Datasets!Q765=1,"LoW",Table1[[#This Row],[JobSatisfaction]]=2,"Medium",Table1[[#This Row],[JobSatisfaction]]=3,"High",Table1[[#This Row],[JobSatisfaction]]=4,"Very High")</f>
        <v>Very High</v>
      </c>
      <c r="H765" s="5">
        <v>3</v>
      </c>
      <c r="I765" t="str" cm="1">
        <f t="array" ref="I765">_xlfn.IFS(H765=1,"low",H765=2,"medium",H765=3,"balanced",H765=4,"Good")</f>
        <v>balanced</v>
      </c>
    </row>
    <row r="766" spans="1:9" x14ac:dyDescent="0.3">
      <c r="A766" s="14">
        <v>1</v>
      </c>
      <c r="B766" t="str" cm="1">
        <f t="array" ref="B766">_xlfn.IFS(Datasets!Q766=1,"LoW",Table1[[#This Row],[JobSatisfaction]]=2,"Medium",Table1[[#This Row],[JobSatisfaction]]=3,"High",Table1[[#This Row],[JobSatisfaction]]=4,"Very High")</f>
        <v>LoW</v>
      </c>
      <c r="H766" s="5">
        <v>4</v>
      </c>
      <c r="I766" t="str" cm="1">
        <f t="array" ref="I766">_xlfn.IFS(H766=1,"low",H766=2,"medium",H766=3,"balanced",H766=4,"Good")</f>
        <v>Good</v>
      </c>
    </row>
    <row r="767" spans="1:9" x14ac:dyDescent="0.3">
      <c r="A767" s="13">
        <v>3</v>
      </c>
      <c r="B767" t="str" cm="1">
        <f t="array" ref="B767">_xlfn.IFS(Datasets!Q767=1,"LoW",Table1[[#This Row],[JobSatisfaction]]=2,"Medium",Table1[[#This Row],[JobSatisfaction]]=3,"High",Table1[[#This Row],[JobSatisfaction]]=4,"Very High")</f>
        <v>High</v>
      </c>
      <c r="H767" s="5">
        <v>3</v>
      </c>
      <c r="I767" t="str" cm="1">
        <f t="array" ref="I767">_xlfn.IFS(H767=1,"low",H767=2,"medium",H767=3,"balanced",H767=4,"Good")</f>
        <v>balanced</v>
      </c>
    </row>
    <row r="768" spans="1:9" x14ac:dyDescent="0.3">
      <c r="A768" s="14">
        <v>3</v>
      </c>
      <c r="B768" t="str" cm="1">
        <f t="array" ref="B768">_xlfn.IFS(Datasets!Q768=1,"LoW",Table1[[#This Row],[JobSatisfaction]]=2,"Medium",Table1[[#This Row],[JobSatisfaction]]=3,"High",Table1[[#This Row],[JobSatisfaction]]=4,"Very High")</f>
        <v>High</v>
      </c>
      <c r="H768" s="5">
        <v>3</v>
      </c>
      <c r="I768" t="str" cm="1">
        <f t="array" ref="I768">_xlfn.IFS(H768=1,"low",H768=2,"medium",H768=3,"balanced",H768=4,"Good")</f>
        <v>balanced</v>
      </c>
    </row>
    <row r="769" spans="1:9" x14ac:dyDescent="0.3">
      <c r="A769" s="13">
        <v>1</v>
      </c>
      <c r="B769" t="str" cm="1">
        <f t="array" ref="B769">_xlfn.IFS(Datasets!Q769=1,"LoW",Table1[[#This Row],[JobSatisfaction]]=2,"Medium",Table1[[#This Row],[JobSatisfaction]]=3,"High",Table1[[#This Row],[JobSatisfaction]]=4,"Very High")</f>
        <v>LoW</v>
      </c>
      <c r="H769" s="5">
        <v>3</v>
      </c>
      <c r="I769" t="str" cm="1">
        <f t="array" ref="I769">_xlfn.IFS(H769=1,"low",H769=2,"medium",H769=3,"balanced",H769=4,"Good")</f>
        <v>balanced</v>
      </c>
    </row>
    <row r="770" spans="1:9" x14ac:dyDescent="0.3">
      <c r="A770" s="14">
        <v>4</v>
      </c>
      <c r="B770" t="str" cm="1">
        <f t="array" ref="B770">_xlfn.IFS(Datasets!Q770=1,"LoW",Table1[[#This Row],[JobSatisfaction]]=2,"Medium",Table1[[#This Row],[JobSatisfaction]]=3,"High",Table1[[#This Row],[JobSatisfaction]]=4,"Very High")</f>
        <v>Very High</v>
      </c>
      <c r="H770" s="5">
        <v>2</v>
      </c>
      <c r="I770" t="str" cm="1">
        <f t="array" ref="I770">_xlfn.IFS(H770=1,"low",H770=2,"medium",H770=3,"balanced",H770=4,"Good")</f>
        <v>medium</v>
      </c>
    </row>
    <row r="771" spans="1:9" x14ac:dyDescent="0.3">
      <c r="A771" s="13">
        <v>2</v>
      </c>
      <c r="B771" t="str" cm="1">
        <f t="array" ref="B771">_xlfn.IFS(Datasets!Q771=1,"LoW",Table1[[#This Row],[JobSatisfaction]]=2,"Medium",Table1[[#This Row],[JobSatisfaction]]=3,"High",Table1[[#This Row],[JobSatisfaction]]=4,"Very High")</f>
        <v>Medium</v>
      </c>
      <c r="H771" s="5">
        <v>3</v>
      </c>
      <c r="I771" t="str" cm="1">
        <f t="array" ref="I771">_xlfn.IFS(H771=1,"low",H771=2,"medium",H771=3,"balanced",H771=4,"Good")</f>
        <v>balanced</v>
      </c>
    </row>
    <row r="772" spans="1:9" x14ac:dyDescent="0.3">
      <c r="A772" s="14">
        <v>2</v>
      </c>
      <c r="B772" t="str" cm="1">
        <f t="array" ref="B772">_xlfn.IFS(Datasets!Q772=1,"LoW",Table1[[#This Row],[JobSatisfaction]]=2,"Medium",Table1[[#This Row],[JobSatisfaction]]=3,"High",Table1[[#This Row],[JobSatisfaction]]=4,"Very High")</f>
        <v>Medium</v>
      </c>
      <c r="H772" s="5">
        <v>3</v>
      </c>
      <c r="I772" t="str" cm="1">
        <f t="array" ref="I772">_xlfn.IFS(H772=1,"low",H772=2,"medium",H772=3,"balanced",H772=4,"Good")</f>
        <v>balanced</v>
      </c>
    </row>
    <row r="773" spans="1:9" x14ac:dyDescent="0.3">
      <c r="A773" s="13">
        <v>2</v>
      </c>
      <c r="B773" t="str" cm="1">
        <f t="array" ref="B773">_xlfn.IFS(Datasets!Q773=1,"LoW",Table1[[#This Row],[JobSatisfaction]]=2,"Medium",Table1[[#This Row],[JobSatisfaction]]=3,"High",Table1[[#This Row],[JobSatisfaction]]=4,"Very High")</f>
        <v>Medium</v>
      </c>
      <c r="H773" s="5">
        <v>2</v>
      </c>
      <c r="I773" t="str" cm="1">
        <f t="array" ref="I773">_xlfn.IFS(H773=1,"low",H773=2,"medium",H773=3,"balanced",H773=4,"Good")</f>
        <v>medium</v>
      </c>
    </row>
    <row r="774" spans="1:9" x14ac:dyDescent="0.3">
      <c r="A774" s="14">
        <v>1</v>
      </c>
      <c r="B774" t="str" cm="1">
        <f t="array" ref="B774">_xlfn.IFS(Datasets!Q774=1,"LoW",Table1[[#This Row],[JobSatisfaction]]=2,"Medium",Table1[[#This Row],[JobSatisfaction]]=3,"High",Table1[[#This Row],[JobSatisfaction]]=4,"Very High")</f>
        <v>LoW</v>
      </c>
      <c r="H774" s="5">
        <v>3</v>
      </c>
      <c r="I774" t="str" cm="1">
        <f t="array" ref="I774">_xlfn.IFS(H774=1,"low",H774=2,"medium",H774=3,"balanced",H774=4,"Good")</f>
        <v>balanced</v>
      </c>
    </row>
    <row r="775" spans="1:9" x14ac:dyDescent="0.3">
      <c r="A775" s="13">
        <v>3</v>
      </c>
      <c r="B775" t="str" cm="1">
        <f t="array" ref="B775">_xlfn.IFS(Datasets!Q775=1,"LoW",Table1[[#This Row],[JobSatisfaction]]=2,"Medium",Table1[[#This Row],[JobSatisfaction]]=3,"High",Table1[[#This Row],[JobSatisfaction]]=4,"Very High")</f>
        <v>High</v>
      </c>
      <c r="H775" s="5">
        <v>4</v>
      </c>
      <c r="I775" t="str" cm="1">
        <f t="array" ref="I775">_xlfn.IFS(H775=1,"low",H775=2,"medium",H775=3,"balanced",H775=4,"Good")</f>
        <v>Good</v>
      </c>
    </row>
    <row r="776" spans="1:9" x14ac:dyDescent="0.3">
      <c r="A776" s="14">
        <v>1</v>
      </c>
      <c r="B776" t="str" cm="1">
        <f t="array" ref="B776">_xlfn.IFS(Datasets!Q776=1,"LoW",Table1[[#This Row],[JobSatisfaction]]=2,"Medium",Table1[[#This Row],[JobSatisfaction]]=3,"High",Table1[[#This Row],[JobSatisfaction]]=4,"Very High")</f>
        <v>LoW</v>
      </c>
      <c r="H776" s="5">
        <v>4</v>
      </c>
      <c r="I776" t="str" cm="1">
        <f t="array" ref="I776">_xlfn.IFS(H776=1,"low",H776=2,"medium",H776=3,"balanced",H776=4,"Good")</f>
        <v>Good</v>
      </c>
    </row>
    <row r="777" spans="1:9" x14ac:dyDescent="0.3">
      <c r="A777" s="13">
        <v>4</v>
      </c>
      <c r="B777" t="str" cm="1">
        <f t="array" ref="B777">_xlfn.IFS(Datasets!Q777=1,"LoW",Table1[[#This Row],[JobSatisfaction]]=2,"Medium",Table1[[#This Row],[JobSatisfaction]]=3,"High",Table1[[#This Row],[JobSatisfaction]]=4,"Very High")</f>
        <v>Very High</v>
      </c>
      <c r="H777" s="5">
        <v>2</v>
      </c>
      <c r="I777" t="str" cm="1">
        <f t="array" ref="I777">_xlfn.IFS(H777=1,"low",H777=2,"medium",H777=3,"balanced",H777=4,"Good")</f>
        <v>medium</v>
      </c>
    </row>
    <row r="778" spans="1:9" x14ac:dyDescent="0.3">
      <c r="A778" s="14">
        <v>4</v>
      </c>
      <c r="B778" t="str" cm="1">
        <f t="array" ref="B778">_xlfn.IFS(Datasets!Q778=1,"LoW",Table1[[#This Row],[JobSatisfaction]]=2,"Medium",Table1[[#This Row],[JobSatisfaction]]=3,"High",Table1[[#This Row],[JobSatisfaction]]=4,"Very High")</f>
        <v>Very High</v>
      </c>
      <c r="H778" s="5">
        <v>4</v>
      </c>
      <c r="I778" t="str" cm="1">
        <f t="array" ref="I778">_xlfn.IFS(H778=1,"low",H778=2,"medium",H778=3,"balanced",H778=4,"Good")</f>
        <v>Good</v>
      </c>
    </row>
    <row r="779" spans="1:9" x14ac:dyDescent="0.3">
      <c r="A779" s="13">
        <v>4</v>
      </c>
      <c r="B779" t="str" cm="1">
        <f t="array" ref="B779">_xlfn.IFS(Datasets!Q779=1,"LoW",Table1[[#This Row],[JobSatisfaction]]=2,"Medium",Table1[[#This Row],[JobSatisfaction]]=3,"High",Table1[[#This Row],[JobSatisfaction]]=4,"Very High")</f>
        <v>Very High</v>
      </c>
      <c r="H779" s="5">
        <v>3</v>
      </c>
      <c r="I779" t="str" cm="1">
        <f t="array" ref="I779">_xlfn.IFS(H779=1,"low",H779=2,"medium",H779=3,"balanced",H779=4,"Good")</f>
        <v>balanced</v>
      </c>
    </row>
    <row r="780" spans="1:9" x14ac:dyDescent="0.3">
      <c r="A780" s="14">
        <v>3</v>
      </c>
      <c r="B780" t="str" cm="1">
        <f t="array" ref="B780">_xlfn.IFS(Datasets!Q780=1,"LoW",Table1[[#This Row],[JobSatisfaction]]=2,"Medium",Table1[[#This Row],[JobSatisfaction]]=3,"High",Table1[[#This Row],[JobSatisfaction]]=4,"Very High")</f>
        <v>High</v>
      </c>
      <c r="H780" s="5">
        <v>2</v>
      </c>
      <c r="I780" t="str" cm="1">
        <f t="array" ref="I780">_xlfn.IFS(H780=1,"low",H780=2,"medium",H780=3,"balanced",H780=4,"Good")</f>
        <v>medium</v>
      </c>
    </row>
    <row r="781" spans="1:9" x14ac:dyDescent="0.3">
      <c r="A781" s="13">
        <v>4</v>
      </c>
      <c r="B781" t="str" cm="1">
        <f t="array" ref="B781">_xlfn.IFS(Datasets!Q781=1,"LoW",Table1[[#This Row],[JobSatisfaction]]=2,"Medium",Table1[[#This Row],[JobSatisfaction]]=3,"High",Table1[[#This Row],[JobSatisfaction]]=4,"Very High")</f>
        <v>Very High</v>
      </c>
      <c r="H781" s="5">
        <v>3</v>
      </c>
      <c r="I781" t="str" cm="1">
        <f t="array" ref="I781">_xlfn.IFS(H781=1,"low",H781=2,"medium",H781=3,"balanced",H781=4,"Good")</f>
        <v>balanced</v>
      </c>
    </row>
    <row r="782" spans="1:9" x14ac:dyDescent="0.3">
      <c r="A782" s="14">
        <v>4</v>
      </c>
      <c r="B782" t="str" cm="1">
        <f t="array" ref="B782">_xlfn.IFS(Datasets!Q782=1,"LoW",Table1[[#This Row],[JobSatisfaction]]=2,"Medium",Table1[[#This Row],[JobSatisfaction]]=3,"High",Table1[[#This Row],[JobSatisfaction]]=4,"Very High")</f>
        <v>Very High</v>
      </c>
      <c r="H782" s="5">
        <v>3</v>
      </c>
      <c r="I782" t="str" cm="1">
        <f t="array" ref="I782">_xlfn.IFS(H782=1,"low",H782=2,"medium",H782=3,"balanced",H782=4,"Good")</f>
        <v>balanced</v>
      </c>
    </row>
    <row r="783" spans="1:9" x14ac:dyDescent="0.3">
      <c r="A783" s="13">
        <v>3</v>
      </c>
      <c r="B783" t="str" cm="1">
        <f t="array" ref="B783">_xlfn.IFS(Datasets!Q783=1,"LoW",Table1[[#This Row],[JobSatisfaction]]=2,"Medium",Table1[[#This Row],[JobSatisfaction]]=3,"High",Table1[[#This Row],[JobSatisfaction]]=4,"Very High")</f>
        <v>High</v>
      </c>
      <c r="H783" s="5">
        <v>3</v>
      </c>
      <c r="I783" t="str" cm="1">
        <f t="array" ref="I783">_xlfn.IFS(H783=1,"low",H783=2,"medium",H783=3,"balanced",H783=4,"Good")</f>
        <v>balanced</v>
      </c>
    </row>
    <row r="784" spans="1:9" x14ac:dyDescent="0.3">
      <c r="A784" s="14">
        <v>3</v>
      </c>
      <c r="B784" t="str" cm="1">
        <f t="array" ref="B784">_xlfn.IFS(Datasets!Q784=1,"LoW",Table1[[#This Row],[JobSatisfaction]]=2,"Medium",Table1[[#This Row],[JobSatisfaction]]=3,"High",Table1[[#This Row],[JobSatisfaction]]=4,"Very High")</f>
        <v>High</v>
      </c>
      <c r="H784" s="5">
        <v>3</v>
      </c>
      <c r="I784" t="str" cm="1">
        <f t="array" ref="I784">_xlfn.IFS(H784=1,"low",H784=2,"medium",H784=3,"balanced",H784=4,"Good")</f>
        <v>balanced</v>
      </c>
    </row>
    <row r="785" spans="1:9" x14ac:dyDescent="0.3">
      <c r="A785" s="13">
        <v>1</v>
      </c>
      <c r="B785" t="str" cm="1">
        <f t="array" ref="B785">_xlfn.IFS(Datasets!Q785=1,"LoW",Table1[[#This Row],[JobSatisfaction]]=2,"Medium",Table1[[#This Row],[JobSatisfaction]]=3,"High",Table1[[#This Row],[JobSatisfaction]]=4,"Very High")</f>
        <v>LoW</v>
      </c>
      <c r="H785" s="5">
        <v>3</v>
      </c>
      <c r="I785" t="str" cm="1">
        <f t="array" ref="I785">_xlfn.IFS(H785=1,"low",H785=2,"medium",H785=3,"balanced",H785=4,"Good")</f>
        <v>balanced</v>
      </c>
    </row>
    <row r="786" spans="1:9" x14ac:dyDescent="0.3">
      <c r="A786" s="14">
        <v>2</v>
      </c>
      <c r="B786" t="str" cm="1">
        <f t="array" ref="B786">_xlfn.IFS(Datasets!Q786=1,"LoW",Table1[[#This Row],[JobSatisfaction]]=2,"Medium",Table1[[#This Row],[JobSatisfaction]]=3,"High",Table1[[#This Row],[JobSatisfaction]]=4,"Very High")</f>
        <v>Medium</v>
      </c>
      <c r="H786" s="5">
        <v>2</v>
      </c>
      <c r="I786" t="str" cm="1">
        <f t="array" ref="I786">_xlfn.IFS(H786=1,"low",H786=2,"medium",H786=3,"balanced",H786=4,"Good")</f>
        <v>medium</v>
      </c>
    </row>
    <row r="787" spans="1:9" x14ac:dyDescent="0.3">
      <c r="A787" s="13">
        <v>1</v>
      </c>
      <c r="B787" t="str" cm="1">
        <f t="array" ref="B787">_xlfn.IFS(Datasets!Q787=1,"LoW",Table1[[#This Row],[JobSatisfaction]]=2,"Medium",Table1[[#This Row],[JobSatisfaction]]=3,"High",Table1[[#This Row],[JobSatisfaction]]=4,"Very High")</f>
        <v>LoW</v>
      </c>
      <c r="H787" s="5">
        <v>3</v>
      </c>
      <c r="I787" t="str" cm="1">
        <f t="array" ref="I787">_xlfn.IFS(H787=1,"low",H787=2,"medium",H787=3,"balanced",H787=4,"Good")</f>
        <v>balanced</v>
      </c>
    </row>
    <row r="788" spans="1:9" x14ac:dyDescent="0.3">
      <c r="A788" s="14">
        <v>4</v>
      </c>
      <c r="B788" t="str" cm="1">
        <f t="array" ref="B788">_xlfn.IFS(Datasets!Q788=1,"LoW",Table1[[#This Row],[JobSatisfaction]]=2,"Medium",Table1[[#This Row],[JobSatisfaction]]=3,"High",Table1[[#This Row],[JobSatisfaction]]=4,"Very High")</f>
        <v>Very High</v>
      </c>
      <c r="H788" s="5">
        <v>3</v>
      </c>
      <c r="I788" t="str" cm="1">
        <f t="array" ref="I788">_xlfn.IFS(H788=1,"low",H788=2,"medium",H788=3,"balanced",H788=4,"Good")</f>
        <v>balanced</v>
      </c>
    </row>
    <row r="789" spans="1:9" x14ac:dyDescent="0.3">
      <c r="A789" s="13">
        <v>2</v>
      </c>
      <c r="B789" t="str" cm="1">
        <f t="array" ref="B789">_xlfn.IFS(Datasets!Q789=1,"LoW",Table1[[#This Row],[JobSatisfaction]]=2,"Medium",Table1[[#This Row],[JobSatisfaction]]=3,"High",Table1[[#This Row],[JobSatisfaction]]=4,"Very High")</f>
        <v>Medium</v>
      </c>
      <c r="H789" s="5">
        <v>3</v>
      </c>
      <c r="I789" t="str" cm="1">
        <f t="array" ref="I789">_xlfn.IFS(H789=1,"low",H789=2,"medium",H789=3,"balanced",H789=4,"Good")</f>
        <v>balanced</v>
      </c>
    </row>
    <row r="790" spans="1:9" x14ac:dyDescent="0.3">
      <c r="A790" s="14">
        <v>2</v>
      </c>
      <c r="B790" t="str" cm="1">
        <f t="array" ref="B790">_xlfn.IFS(Datasets!Q790=1,"LoW",Table1[[#This Row],[JobSatisfaction]]=2,"Medium",Table1[[#This Row],[JobSatisfaction]]=3,"High",Table1[[#This Row],[JobSatisfaction]]=4,"Very High")</f>
        <v>Medium</v>
      </c>
      <c r="H790" s="5">
        <v>3</v>
      </c>
      <c r="I790" t="str" cm="1">
        <f t="array" ref="I790">_xlfn.IFS(H790=1,"low",H790=2,"medium",H790=3,"balanced",H790=4,"Good")</f>
        <v>balanced</v>
      </c>
    </row>
    <row r="791" spans="1:9" x14ac:dyDescent="0.3">
      <c r="A791" s="13">
        <v>4</v>
      </c>
      <c r="B791" t="str" cm="1">
        <f t="array" ref="B791">_xlfn.IFS(Datasets!Q791=1,"LoW",Table1[[#This Row],[JobSatisfaction]]=2,"Medium",Table1[[#This Row],[JobSatisfaction]]=3,"High",Table1[[#This Row],[JobSatisfaction]]=4,"Very High")</f>
        <v>Very High</v>
      </c>
      <c r="H791" s="5">
        <v>2</v>
      </c>
      <c r="I791" t="str" cm="1">
        <f t="array" ref="I791">_xlfn.IFS(H791=1,"low",H791=2,"medium",H791=3,"balanced",H791=4,"Good")</f>
        <v>medium</v>
      </c>
    </row>
    <row r="792" spans="1:9" x14ac:dyDescent="0.3">
      <c r="A792" s="14">
        <v>3</v>
      </c>
      <c r="B792" t="str" cm="1">
        <f t="array" ref="B792">_xlfn.IFS(Datasets!Q792=1,"LoW",Table1[[#This Row],[JobSatisfaction]]=2,"Medium",Table1[[#This Row],[JobSatisfaction]]=3,"High",Table1[[#This Row],[JobSatisfaction]]=4,"Very High")</f>
        <v>High</v>
      </c>
      <c r="H792" s="5">
        <v>2</v>
      </c>
      <c r="I792" t="str" cm="1">
        <f t="array" ref="I792">_xlfn.IFS(H792=1,"low",H792=2,"medium",H792=3,"balanced",H792=4,"Good")</f>
        <v>medium</v>
      </c>
    </row>
    <row r="793" spans="1:9" x14ac:dyDescent="0.3">
      <c r="A793" s="13">
        <v>3</v>
      </c>
      <c r="B793" t="str" cm="1">
        <f t="array" ref="B793">_xlfn.IFS(Datasets!Q793=1,"LoW",Table1[[#This Row],[JobSatisfaction]]=2,"Medium",Table1[[#This Row],[JobSatisfaction]]=3,"High",Table1[[#This Row],[JobSatisfaction]]=4,"Very High")</f>
        <v>High</v>
      </c>
      <c r="H793" s="5">
        <v>2</v>
      </c>
      <c r="I793" t="str" cm="1">
        <f t="array" ref="I793">_xlfn.IFS(H793=1,"low",H793=2,"medium",H793=3,"balanced",H793=4,"Good")</f>
        <v>medium</v>
      </c>
    </row>
    <row r="794" spans="1:9" x14ac:dyDescent="0.3">
      <c r="A794" s="14">
        <v>4</v>
      </c>
      <c r="B794" t="str" cm="1">
        <f t="array" ref="B794">_xlfn.IFS(Datasets!Q794=1,"LoW",Table1[[#This Row],[JobSatisfaction]]=2,"Medium",Table1[[#This Row],[JobSatisfaction]]=3,"High",Table1[[#This Row],[JobSatisfaction]]=4,"Very High")</f>
        <v>Very High</v>
      </c>
      <c r="H794" s="5">
        <v>2</v>
      </c>
      <c r="I794" t="str" cm="1">
        <f t="array" ref="I794">_xlfn.IFS(H794=1,"low",H794=2,"medium",H794=3,"balanced",H794=4,"Good")</f>
        <v>medium</v>
      </c>
    </row>
    <row r="795" spans="1:9" x14ac:dyDescent="0.3">
      <c r="A795" s="13">
        <v>4</v>
      </c>
      <c r="B795" t="str" cm="1">
        <f t="array" ref="B795">_xlfn.IFS(Datasets!Q795=1,"LoW",Table1[[#This Row],[JobSatisfaction]]=2,"Medium",Table1[[#This Row],[JobSatisfaction]]=3,"High",Table1[[#This Row],[JobSatisfaction]]=4,"Very High")</f>
        <v>Very High</v>
      </c>
      <c r="H795" s="5">
        <v>3</v>
      </c>
      <c r="I795" t="str" cm="1">
        <f t="array" ref="I795">_xlfn.IFS(H795=1,"low",H795=2,"medium",H795=3,"balanced",H795=4,"Good")</f>
        <v>balanced</v>
      </c>
    </row>
    <row r="796" spans="1:9" x14ac:dyDescent="0.3">
      <c r="A796" s="14">
        <v>4</v>
      </c>
      <c r="B796" t="str" cm="1">
        <f t="array" ref="B796">_xlfn.IFS(Datasets!Q796=1,"LoW",Table1[[#This Row],[JobSatisfaction]]=2,"Medium",Table1[[#This Row],[JobSatisfaction]]=3,"High",Table1[[#This Row],[JobSatisfaction]]=4,"Very High")</f>
        <v>Very High</v>
      </c>
      <c r="H796" s="5">
        <v>3</v>
      </c>
      <c r="I796" t="str" cm="1">
        <f t="array" ref="I796">_xlfn.IFS(H796=1,"low",H796=2,"medium",H796=3,"balanced",H796=4,"Good")</f>
        <v>balanced</v>
      </c>
    </row>
    <row r="797" spans="1:9" x14ac:dyDescent="0.3">
      <c r="A797" s="13">
        <v>3</v>
      </c>
      <c r="B797" t="str" cm="1">
        <f t="array" ref="B797">_xlfn.IFS(Datasets!Q797=1,"LoW",Table1[[#This Row],[JobSatisfaction]]=2,"Medium",Table1[[#This Row],[JobSatisfaction]]=3,"High",Table1[[#This Row],[JobSatisfaction]]=4,"Very High")</f>
        <v>High</v>
      </c>
      <c r="H797" s="5">
        <v>4</v>
      </c>
      <c r="I797" t="str" cm="1">
        <f t="array" ref="I797">_xlfn.IFS(H797=1,"low",H797=2,"medium",H797=3,"balanced",H797=4,"Good")</f>
        <v>Good</v>
      </c>
    </row>
    <row r="798" spans="1:9" x14ac:dyDescent="0.3">
      <c r="A798" s="14">
        <v>3</v>
      </c>
      <c r="B798" t="str" cm="1">
        <f t="array" ref="B798">_xlfn.IFS(Datasets!Q798=1,"LoW",Table1[[#This Row],[JobSatisfaction]]=2,"Medium",Table1[[#This Row],[JobSatisfaction]]=3,"High",Table1[[#This Row],[JobSatisfaction]]=4,"Very High")</f>
        <v>High</v>
      </c>
      <c r="H798" s="5">
        <v>4</v>
      </c>
      <c r="I798" t="str" cm="1">
        <f t="array" ref="I798">_xlfn.IFS(H798=1,"low",H798=2,"medium",H798=3,"balanced",H798=4,"Good")</f>
        <v>Good</v>
      </c>
    </row>
    <row r="799" spans="1:9" x14ac:dyDescent="0.3">
      <c r="A799" s="13">
        <v>3</v>
      </c>
      <c r="B799" t="str" cm="1">
        <f t="array" ref="B799">_xlfn.IFS(Datasets!Q799=1,"LoW",Table1[[#This Row],[JobSatisfaction]]=2,"Medium",Table1[[#This Row],[JobSatisfaction]]=3,"High",Table1[[#This Row],[JobSatisfaction]]=4,"Very High")</f>
        <v>High</v>
      </c>
      <c r="H799" s="5">
        <v>3</v>
      </c>
      <c r="I799" t="str" cm="1">
        <f t="array" ref="I799">_xlfn.IFS(H799=1,"low",H799=2,"medium",H799=3,"balanced",H799=4,"Good")</f>
        <v>balanced</v>
      </c>
    </row>
    <row r="800" spans="1:9" x14ac:dyDescent="0.3">
      <c r="A800" s="14">
        <v>3</v>
      </c>
      <c r="B800" t="str" cm="1">
        <f t="array" ref="B800">_xlfn.IFS(Datasets!Q800=1,"LoW",Table1[[#This Row],[JobSatisfaction]]=2,"Medium",Table1[[#This Row],[JobSatisfaction]]=3,"High",Table1[[#This Row],[JobSatisfaction]]=4,"Very High")</f>
        <v>High</v>
      </c>
      <c r="H800" s="5">
        <v>3</v>
      </c>
      <c r="I800" t="str" cm="1">
        <f t="array" ref="I800">_xlfn.IFS(H800=1,"low",H800=2,"medium",H800=3,"balanced",H800=4,"Good")</f>
        <v>balanced</v>
      </c>
    </row>
    <row r="801" spans="1:9" x14ac:dyDescent="0.3">
      <c r="A801" s="13">
        <v>2</v>
      </c>
      <c r="B801" t="str" cm="1">
        <f t="array" ref="B801">_xlfn.IFS(Datasets!Q801=1,"LoW",Table1[[#This Row],[JobSatisfaction]]=2,"Medium",Table1[[#This Row],[JobSatisfaction]]=3,"High",Table1[[#This Row],[JobSatisfaction]]=4,"Very High")</f>
        <v>Medium</v>
      </c>
      <c r="H801" s="5">
        <v>3</v>
      </c>
      <c r="I801" t="str" cm="1">
        <f t="array" ref="I801">_xlfn.IFS(H801=1,"low",H801=2,"medium",H801=3,"balanced",H801=4,"Good")</f>
        <v>balanced</v>
      </c>
    </row>
    <row r="802" spans="1:9" x14ac:dyDescent="0.3">
      <c r="A802" s="14">
        <v>3</v>
      </c>
      <c r="B802" t="str" cm="1">
        <f t="array" ref="B802">_xlfn.IFS(Datasets!Q802=1,"LoW",Table1[[#This Row],[JobSatisfaction]]=2,"Medium",Table1[[#This Row],[JobSatisfaction]]=3,"High",Table1[[#This Row],[JobSatisfaction]]=4,"Very High")</f>
        <v>High</v>
      </c>
      <c r="H802" s="5">
        <v>3</v>
      </c>
      <c r="I802" t="str" cm="1">
        <f t="array" ref="I802">_xlfn.IFS(H802=1,"low",H802=2,"medium",H802=3,"balanced",H802=4,"Good")</f>
        <v>balanced</v>
      </c>
    </row>
    <row r="803" spans="1:9" x14ac:dyDescent="0.3">
      <c r="A803" s="13">
        <v>3</v>
      </c>
      <c r="B803" t="str" cm="1">
        <f t="array" ref="B803">_xlfn.IFS(Datasets!Q803=1,"LoW",Table1[[#This Row],[JobSatisfaction]]=2,"Medium",Table1[[#This Row],[JobSatisfaction]]=3,"High",Table1[[#This Row],[JobSatisfaction]]=4,"Very High")</f>
        <v>High</v>
      </c>
      <c r="H803" s="5">
        <v>2</v>
      </c>
      <c r="I803" t="str" cm="1">
        <f t="array" ref="I803">_xlfn.IFS(H803=1,"low",H803=2,"medium",H803=3,"balanced",H803=4,"Good")</f>
        <v>medium</v>
      </c>
    </row>
    <row r="804" spans="1:9" x14ac:dyDescent="0.3">
      <c r="A804" s="14">
        <v>4</v>
      </c>
      <c r="B804" t="str" cm="1">
        <f t="array" ref="B804">_xlfn.IFS(Datasets!Q804=1,"LoW",Table1[[#This Row],[JobSatisfaction]]=2,"Medium",Table1[[#This Row],[JobSatisfaction]]=3,"High",Table1[[#This Row],[JobSatisfaction]]=4,"Very High")</f>
        <v>Very High</v>
      </c>
      <c r="H804" s="5">
        <v>2</v>
      </c>
      <c r="I804" t="str" cm="1">
        <f t="array" ref="I804">_xlfn.IFS(H804=1,"low",H804=2,"medium",H804=3,"balanced",H804=4,"Good")</f>
        <v>medium</v>
      </c>
    </row>
    <row r="805" spans="1:9" x14ac:dyDescent="0.3">
      <c r="A805" s="13">
        <v>4</v>
      </c>
      <c r="B805" t="str" cm="1">
        <f t="array" ref="B805">_xlfn.IFS(Datasets!Q805=1,"LoW",Table1[[#This Row],[JobSatisfaction]]=2,"Medium",Table1[[#This Row],[JobSatisfaction]]=3,"High",Table1[[#This Row],[JobSatisfaction]]=4,"Very High")</f>
        <v>Very High</v>
      </c>
      <c r="H805" s="5">
        <v>2</v>
      </c>
      <c r="I805" t="str" cm="1">
        <f t="array" ref="I805">_xlfn.IFS(H805=1,"low",H805=2,"medium",H805=3,"balanced",H805=4,"Good")</f>
        <v>medium</v>
      </c>
    </row>
    <row r="806" spans="1:9" x14ac:dyDescent="0.3">
      <c r="A806" s="14">
        <v>4</v>
      </c>
      <c r="B806" t="str" cm="1">
        <f t="array" ref="B806">_xlfn.IFS(Datasets!Q806=1,"LoW",Table1[[#This Row],[JobSatisfaction]]=2,"Medium",Table1[[#This Row],[JobSatisfaction]]=3,"High",Table1[[#This Row],[JobSatisfaction]]=4,"Very High")</f>
        <v>Very High</v>
      </c>
      <c r="H806" s="5">
        <v>3</v>
      </c>
      <c r="I806" t="str" cm="1">
        <f t="array" ref="I806">_xlfn.IFS(H806=1,"low",H806=2,"medium",H806=3,"balanced",H806=4,"Good")</f>
        <v>balanced</v>
      </c>
    </row>
    <row r="807" spans="1:9" x14ac:dyDescent="0.3">
      <c r="A807" s="13">
        <v>3</v>
      </c>
      <c r="B807" t="str" cm="1">
        <f t="array" ref="B807">_xlfn.IFS(Datasets!Q807=1,"LoW",Table1[[#This Row],[JobSatisfaction]]=2,"Medium",Table1[[#This Row],[JobSatisfaction]]=3,"High",Table1[[#This Row],[JobSatisfaction]]=4,"Very High")</f>
        <v>High</v>
      </c>
      <c r="H807" s="5">
        <v>3</v>
      </c>
      <c r="I807" t="str" cm="1">
        <f t="array" ref="I807">_xlfn.IFS(H807=1,"low",H807=2,"medium",H807=3,"balanced",H807=4,"Good")</f>
        <v>balanced</v>
      </c>
    </row>
    <row r="808" spans="1:9" x14ac:dyDescent="0.3">
      <c r="A808" s="14">
        <v>1</v>
      </c>
      <c r="B808" t="str" cm="1">
        <f t="array" ref="B808">_xlfn.IFS(Datasets!Q808=1,"LoW",Table1[[#This Row],[JobSatisfaction]]=2,"Medium",Table1[[#This Row],[JobSatisfaction]]=3,"High",Table1[[#This Row],[JobSatisfaction]]=4,"Very High")</f>
        <v>LoW</v>
      </c>
      <c r="H808" s="5">
        <v>3</v>
      </c>
      <c r="I808" t="str" cm="1">
        <f t="array" ref="I808">_xlfn.IFS(H808=1,"low",H808=2,"medium",H808=3,"balanced",H808=4,"Good")</f>
        <v>balanced</v>
      </c>
    </row>
    <row r="809" spans="1:9" x14ac:dyDescent="0.3">
      <c r="A809" s="13">
        <v>1</v>
      </c>
      <c r="B809" t="str" cm="1">
        <f t="array" ref="B809">_xlfn.IFS(Datasets!Q809=1,"LoW",Table1[[#This Row],[JobSatisfaction]]=2,"Medium",Table1[[#This Row],[JobSatisfaction]]=3,"High",Table1[[#This Row],[JobSatisfaction]]=4,"Very High")</f>
        <v>LoW</v>
      </c>
      <c r="H809" s="5">
        <v>2</v>
      </c>
      <c r="I809" t="str" cm="1">
        <f t="array" ref="I809">_xlfn.IFS(H809=1,"low",H809=2,"medium",H809=3,"balanced",H809=4,"Good")</f>
        <v>medium</v>
      </c>
    </row>
    <row r="810" spans="1:9" x14ac:dyDescent="0.3">
      <c r="A810" s="14">
        <v>4</v>
      </c>
      <c r="B810" t="str" cm="1">
        <f t="array" ref="B810">_xlfn.IFS(Datasets!Q810=1,"LoW",Table1[[#This Row],[JobSatisfaction]]=2,"Medium",Table1[[#This Row],[JobSatisfaction]]=3,"High",Table1[[#This Row],[JobSatisfaction]]=4,"Very High")</f>
        <v>Very High</v>
      </c>
      <c r="H810" s="5">
        <v>3</v>
      </c>
      <c r="I810" t="str" cm="1">
        <f t="array" ref="I810">_xlfn.IFS(H810=1,"low",H810=2,"medium",H810=3,"balanced",H810=4,"Good")</f>
        <v>balanced</v>
      </c>
    </row>
    <row r="811" spans="1:9" x14ac:dyDescent="0.3">
      <c r="A811" s="13">
        <v>1</v>
      </c>
      <c r="B811" t="str" cm="1">
        <f t="array" ref="B811">_xlfn.IFS(Datasets!Q811=1,"LoW",Table1[[#This Row],[JobSatisfaction]]=2,"Medium",Table1[[#This Row],[JobSatisfaction]]=3,"High",Table1[[#This Row],[JobSatisfaction]]=4,"Very High")</f>
        <v>LoW</v>
      </c>
      <c r="H811" s="5">
        <v>3</v>
      </c>
      <c r="I811" t="str" cm="1">
        <f t="array" ref="I811">_xlfn.IFS(H811=1,"low",H811=2,"medium",H811=3,"balanced",H811=4,"Good")</f>
        <v>balanced</v>
      </c>
    </row>
    <row r="812" spans="1:9" x14ac:dyDescent="0.3">
      <c r="A812" s="14">
        <v>4</v>
      </c>
      <c r="B812" t="str" cm="1">
        <f t="array" ref="B812">_xlfn.IFS(Datasets!Q812=1,"LoW",Table1[[#This Row],[JobSatisfaction]]=2,"Medium",Table1[[#This Row],[JobSatisfaction]]=3,"High",Table1[[#This Row],[JobSatisfaction]]=4,"Very High")</f>
        <v>Very High</v>
      </c>
      <c r="H812" s="5">
        <v>3</v>
      </c>
      <c r="I812" t="str" cm="1">
        <f t="array" ref="I812">_xlfn.IFS(H812=1,"low",H812=2,"medium",H812=3,"balanced",H812=4,"Good")</f>
        <v>balanced</v>
      </c>
    </row>
    <row r="813" spans="1:9" x14ac:dyDescent="0.3">
      <c r="A813" s="13">
        <v>1</v>
      </c>
      <c r="B813" t="str" cm="1">
        <f t="array" ref="B813">_xlfn.IFS(Datasets!Q813=1,"LoW",Table1[[#This Row],[JobSatisfaction]]=2,"Medium",Table1[[#This Row],[JobSatisfaction]]=3,"High",Table1[[#This Row],[JobSatisfaction]]=4,"Very High")</f>
        <v>LoW</v>
      </c>
      <c r="H813" s="5">
        <v>3</v>
      </c>
      <c r="I813" t="str" cm="1">
        <f t="array" ref="I813">_xlfn.IFS(H813=1,"low",H813=2,"medium",H813=3,"balanced",H813=4,"Good")</f>
        <v>balanced</v>
      </c>
    </row>
    <row r="814" spans="1:9" x14ac:dyDescent="0.3">
      <c r="A814" s="14">
        <v>4</v>
      </c>
      <c r="B814" t="str" cm="1">
        <f t="array" ref="B814">_xlfn.IFS(Datasets!Q814=1,"LoW",Table1[[#This Row],[JobSatisfaction]]=2,"Medium",Table1[[#This Row],[JobSatisfaction]]=3,"High",Table1[[#This Row],[JobSatisfaction]]=4,"Very High")</f>
        <v>Very High</v>
      </c>
      <c r="H814" s="5">
        <v>3</v>
      </c>
      <c r="I814" t="str" cm="1">
        <f t="array" ref="I814">_xlfn.IFS(H814=1,"low",H814=2,"medium",H814=3,"balanced",H814=4,"Good")</f>
        <v>balanced</v>
      </c>
    </row>
    <row r="815" spans="1:9" x14ac:dyDescent="0.3">
      <c r="A815" s="13">
        <v>3</v>
      </c>
      <c r="B815" t="str" cm="1">
        <f t="array" ref="B815">_xlfn.IFS(Datasets!Q815=1,"LoW",Table1[[#This Row],[JobSatisfaction]]=2,"Medium",Table1[[#This Row],[JobSatisfaction]]=3,"High",Table1[[#This Row],[JobSatisfaction]]=4,"Very High")</f>
        <v>High</v>
      </c>
      <c r="H815" s="5">
        <v>2</v>
      </c>
      <c r="I815" t="str" cm="1">
        <f t="array" ref="I815">_xlfn.IFS(H815=1,"low",H815=2,"medium",H815=3,"balanced",H815=4,"Good")</f>
        <v>medium</v>
      </c>
    </row>
    <row r="816" spans="1:9" x14ac:dyDescent="0.3">
      <c r="A816" s="14">
        <v>1</v>
      </c>
      <c r="B816" t="str" cm="1">
        <f t="array" ref="B816">_xlfn.IFS(Datasets!Q816=1,"LoW",Table1[[#This Row],[JobSatisfaction]]=2,"Medium",Table1[[#This Row],[JobSatisfaction]]=3,"High",Table1[[#This Row],[JobSatisfaction]]=4,"Very High")</f>
        <v>LoW</v>
      </c>
      <c r="H816" s="5">
        <v>2</v>
      </c>
      <c r="I816" t="str" cm="1">
        <f t="array" ref="I816">_xlfn.IFS(H816=1,"low",H816=2,"medium",H816=3,"balanced",H816=4,"Good")</f>
        <v>medium</v>
      </c>
    </row>
    <row r="817" spans="1:9" x14ac:dyDescent="0.3">
      <c r="A817" s="13">
        <v>3</v>
      </c>
      <c r="B817" t="str" cm="1">
        <f t="array" ref="B817">_xlfn.IFS(Datasets!Q817=1,"LoW",Table1[[#This Row],[JobSatisfaction]]=2,"Medium",Table1[[#This Row],[JobSatisfaction]]=3,"High",Table1[[#This Row],[JobSatisfaction]]=4,"Very High")</f>
        <v>High</v>
      </c>
      <c r="H817" s="5">
        <v>2</v>
      </c>
      <c r="I817" t="str" cm="1">
        <f t="array" ref="I817">_xlfn.IFS(H817=1,"low",H817=2,"medium",H817=3,"balanced",H817=4,"Good")</f>
        <v>medium</v>
      </c>
    </row>
    <row r="818" spans="1:9" x14ac:dyDescent="0.3">
      <c r="A818" s="14">
        <v>4</v>
      </c>
      <c r="B818" t="str" cm="1">
        <f t="array" ref="B818">_xlfn.IFS(Datasets!Q818=1,"LoW",Table1[[#This Row],[JobSatisfaction]]=2,"Medium",Table1[[#This Row],[JobSatisfaction]]=3,"High",Table1[[#This Row],[JobSatisfaction]]=4,"Very High")</f>
        <v>Very High</v>
      </c>
      <c r="H818" s="5">
        <v>3</v>
      </c>
      <c r="I818" t="str" cm="1">
        <f t="array" ref="I818">_xlfn.IFS(H818=1,"low",H818=2,"medium",H818=3,"balanced",H818=4,"Good")</f>
        <v>balanced</v>
      </c>
    </row>
    <row r="819" spans="1:9" x14ac:dyDescent="0.3">
      <c r="A819" s="13">
        <v>4</v>
      </c>
      <c r="B819" t="str" cm="1">
        <f t="array" ref="B819">_xlfn.IFS(Datasets!Q819=1,"LoW",Table1[[#This Row],[JobSatisfaction]]=2,"Medium",Table1[[#This Row],[JobSatisfaction]]=3,"High",Table1[[#This Row],[JobSatisfaction]]=4,"Very High")</f>
        <v>Very High</v>
      </c>
      <c r="H819" s="5">
        <v>3</v>
      </c>
      <c r="I819" t="str" cm="1">
        <f t="array" ref="I819">_xlfn.IFS(H819=1,"low",H819=2,"medium",H819=3,"balanced",H819=4,"Good")</f>
        <v>balanced</v>
      </c>
    </row>
    <row r="820" spans="1:9" x14ac:dyDescent="0.3">
      <c r="A820" s="14">
        <v>1</v>
      </c>
      <c r="B820" t="str" cm="1">
        <f t="array" ref="B820">_xlfn.IFS(Datasets!Q820=1,"LoW",Table1[[#This Row],[JobSatisfaction]]=2,"Medium",Table1[[#This Row],[JobSatisfaction]]=3,"High",Table1[[#This Row],[JobSatisfaction]]=4,"Very High")</f>
        <v>LoW</v>
      </c>
      <c r="H820" s="5">
        <v>2</v>
      </c>
      <c r="I820" t="str" cm="1">
        <f t="array" ref="I820">_xlfn.IFS(H820=1,"low",H820=2,"medium",H820=3,"balanced",H820=4,"Good")</f>
        <v>medium</v>
      </c>
    </row>
    <row r="821" spans="1:9" x14ac:dyDescent="0.3">
      <c r="A821" s="13">
        <v>1</v>
      </c>
      <c r="B821" t="str" cm="1">
        <f t="array" ref="B821">_xlfn.IFS(Datasets!Q821=1,"LoW",Table1[[#This Row],[JobSatisfaction]]=2,"Medium",Table1[[#This Row],[JobSatisfaction]]=3,"High",Table1[[#This Row],[JobSatisfaction]]=4,"Very High")</f>
        <v>LoW</v>
      </c>
      <c r="H821" s="5">
        <v>3</v>
      </c>
      <c r="I821" t="str" cm="1">
        <f t="array" ref="I821">_xlfn.IFS(H821=1,"low",H821=2,"medium",H821=3,"balanced",H821=4,"Good")</f>
        <v>balanced</v>
      </c>
    </row>
    <row r="822" spans="1:9" x14ac:dyDescent="0.3">
      <c r="A822" s="14">
        <v>1</v>
      </c>
      <c r="B822" t="str" cm="1">
        <f t="array" ref="B822">_xlfn.IFS(Datasets!Q822=1,"LoW",Table1[[#This Row],[JobSatisfaction]]=2,"Medium",Table1[[#This Row],[JobSatisfaction]]=3,"High",Table1[[#This Row],[JobSatisfaction]]=4,"Very High")</f>
        <v>LoW</v>
      </c>
      <c r="H822" s="5">
        <v>3</v>
      </c>
      <c r="I822" t="str" cm="1">
        <f t="array" ref="I822">_xlfn.IFS(H822=1,"low",H822=2,"medium",H822=3,"balanced",H822=4,"Good")</f>
        <v>balanced</v>
      </c>
    </row>
    <row r="823" spans="1:9" x14ac:dyDescent="0.3">
      <c r="A823" s="13">
        <v>1</v>
      </c>
      <c r="B823" t="str" cm="1">
        <f t="array" ref="B823">_xlfn.IFS(Datasets!Q823=1,"LoW",Table1[[#This Row],[JobSatisfaction]]=2,"Medium",Table1[[#This Row],[JobSatisfaction]]=3,"High",Table1[[#This Row],[JobSatisfaction]]=4,"Very High")</f>
        <v>LoW</v>
      </c>
      <c r="H823" s="5">
        <v>3</v>
      </c>
      <c r="I823" t="str" cm="1">
        <f t="array" ref="I823">_xlfn.IFS(H823=1,"low",H823=2,"medium",H823=3,"balanced",H823=4,"Good")</f>
        <v>balanced</v>
      </c>
    </row>
    <row r="824" spans="1:9" x14ac:dyDescent="0.3">
      <c r="A824" s="14">
        <v>3</v>
      </c>
      <c r="B824" t="str" cm="1">
        <f t="array" ref="B824">_xlfn.IFS(Datasets!Q824=1,"LoW",Table1[[#This Row],[JobSatisfaction]]=2,"Medium",Table1[[#This Row],[JobSatisfaction]]=3,"High",Table1[[#This Row],[JobSatisfaction]]=4,"Very High")</f>
        <v>High</v>
      </c>
      <c r="H824" s="5">
        <v>3</v>
      </c>
      <c r="I824" t="str" cm="1">
        <f t="array" ref="I824">_xlfn.IFS(H824=1,"low",H824=2,"medium",H824=3,"balanced",H824=4,"Good")</f>
        <v>balanced</v>
      </c>
    </row>
    <row r="825" spans="1:9" x14ac:dyDescent="0.3">
      <c r="A825" s="13">
        <v>2</v>
      </c>
      <c r="B825" t="str" cm="1">
        <f t="array" ref="B825">_xlfn.IFS(Datasets!Q825=1,"LoW",Table1[[#This Row],[JobSatisfaction]]=2,"Medium",Table1[[#This Row],[JobSatisfaction]]=3,"High",Table1[[#This Row],[JobSatisfaction]]=4,"Very High")</f>
        <v>Medium</v>
      </c>
      <c r="H825" s="5">
        <v>2</v>
      </c>
      <c r="I825" t="str" cm="1">
        <f t="array" ref="I825">_xlfn.IFS(H825=1,"low",H825=2,"medium",H825=3,"balanced",H825=4,"Good")</f>
        <v>medium</v>
      </c>
    </row>
    <row r="826" spans="1:9" x14ac:dyDescent="0.3">
      <c r="A826" s="14">
        <v>4</v>
      </c>
      <c r="B826" t="str" cm="1">
        <f t="array" ref="B826">_xlfn.IFS(Datasets!Q826=1,"LoW",Table1[[#This Row],[JobSatisfaction]]=2,"Medium",Table1[[#This Row],[JobSatisfaction]]=3,"High",Table1[[#This Row],[JobSatisfaction]]=4,"Very High")</f>
        <v>Very High</v>
      </c>
      <c r="H826" s="5">
        <v>2</v>
      </c>
      <c r="I826" t="str" cm="1">
        <f t="array" ref="I826">_xlfn.IFS(H826=1,"low",H826=2,"medium",H826=3,"balanced",H826=4,"Good")</f>
        <v>medium</v>
      </c>
    </row>
    <row r="827" spans="1:9" x14ac:dyDescent="0.3">
      <c r="A827" s="13">
        <v>3</v>
      </c>
      <c r="B827" t="str" cm="1">
        <f t="array" ref="B827">_xlfn.IFS(Datasets!Q827=1,"LoW",Table1[[#This Row],[JobSatisfaction]]=2,"Medium",Table1[[#This Row],[JobSatisfaction]]=3,"High",Table1[[#This Row],[JobSatisfaction]]=4,"Very High")</f>
        <v>High</v>
      </c>
      <c r="H827" s="5">
        <v>3</v>
      </c>
      <c r="I827" t="str" cm="1">
        <f t="array" ref="I827">_xlfn.IFS(H827=1,"low",H827=2,"medium",H827=3,"balanced",H827=4,"Good")</f>
        <v>balanced</v>
      </c>
    </row>
    <row r="828" spans="1:9" x14ac:dyDescent="0.3">
      <c r="A828" s="14">
        <v>1</v>
      </c>
      <c r="B828" t="str" cm="1">
        <f t="array" ref="B828">_xlfn.IFS(Datasets!Q828=1,"LoW",Table1[[#This Row],[JobSatisfaction]]=2,"Medium",Table1[[#This Row],[JobSatisfaction]]=3,"High",Table1[[#This Row],[JobSatisfaction]]=4,"Very High")</f>
        <v>LoW</v>
      </c>
      <c r="H828" s="5">
        <v>3</v>
      </c>
      <c r="I828" t="str" cm="1">
        <f t="array" ref="I828">_xlfn.IFS(H828=1,"low",H828=2,"medium",H828=3,"balanced",H828=4,"Good")</f>
        <v>balanced</v>
      </c>
    </row>
    <row r="829" spans="1:9" x14ac:dyDescent="0.3">
      <c r="A829" s="13">
        <v>4</v>
      </c>
      <c r="B829" t="str" cm="1">
        <f t="array" ref="B829">_xlfn.IFS(Datasets!Q829=1,"LoW",Table1[[#This Row],[JobSatisfaction]]=2,"Medium",Table1[[#This Row],[JobSatisfaction]]=3,"High",Table1[[#This Row],[JobSatisfaction]]=4,"Very High")</f>
        <v>Very High</v>
      </c>
      <c r="H829" s="5">
        <v>2</v>
      </c>
      <c r="I829" t="str" cm="1">
        <f t="array" ref="I829">_xlfn.IFS(H829=1,"low",H829=2,"medium",H829=3,"balanced",H829=4,"Good")</f>
        <v>medium</v>
      </c>
    </row>
    <row r="830" spans="1:9" x14ac:dyDescent="0.3">
      <c r="A830" s="14">
        <v>4</v>
      </c>
      <c r="B830" t="str" cm="1">
        <f t="array" ref="B830">_xlfn.IFS(Datasets!Q830=1,"LoW",Table1[[#This Row],[JobSatisfaction]]=2,"Medium",Table1[[#This Row],[JobSatisfaction]]=3,"High",Table1[[#This Row],[JobSatisfaction]]=4,"Very High")</f>
        <v>Very High</v>
      </c>
      <c r="H830" s="5">
        <v>2</v>
      </c>
      <c r="I830" t="str" cm="1">
        <f t="array" ref="I830">_xlfn.IFS(H830=1,"low",H830=2,"medium",H830=3,"balanced",H830=4,"Good")</f>
        <v>medium</v>
      </c>
    </row>
    <row r="831" spans="1:9" x14ac:dyDescent="0.3">
      <c r="A831" s="13">
        <v>2</v>
      </c>
      <c r="B831" t="str" cm="1">
        <f t="array" ref="B831">_xlfn.IFS(Datasets!Q831=1,"LoW",Table1[[#This Row],[JobSatisfaction]]=2,"Medium",Table1[[#This Row],[JobSatisfaction]]=3,"High",Table1[[#This Row],[JobSatisfaction]]=4,"Very High")</f>
        <v>Medium</v>
      </c>
      <c r="H831" s="5">
        <v>3</v>
      </c>
      <c r="I831" t="str" cm="1">
        <f t="array" ref="I831">_xlfn.IFS(H831=1,"low",H831=2,"medium",H831=3,"balanced",H831=4,"Good")</f>
        <v>balanced</v>
      </c>
    </row>
    <row r="832" spans="1:9" x14ac:dyDescent="0.3">
      <c r="A832" s="14">
        <v>1</v>
      </c>
      <c r="B832" t="str" cm="1">
        <f t="array" ref="B832">_xlfn.IFS(Datasets!Q832=1,"LoW",Table1[[#This Row],[JobSatisfaction]]=2,"Medium",Table1[[#This Row],[JobSatisfaction]]=3,"High",Table1[[#This Row],[JobSatisfaction]]=4,"Very High")</f>
        <v>LoW</v>
      </c>
      <c r="H832" s="5">
        <v>2</v>
      </c>
      <c r="I832" t="str" cm="1">
        <f t="array" ref="I832">_xlfn.IFS(H832=1,"low",H832=2,"medium",H832=3,"balanced",H832=4,"Good")</f>
        <v>medium</v>
      </c>
    </row>
    <row r="833" spans="1:9" x14ac:dyDescent="0.3">
      <c r="A833" s="13">
        <v>4</v>
      </c>
      <c r="B833" t="str" cm="1">
        <f t="array" ref="B833">_xlfn.IFS(Datasets!Q833=1,"LoW",Table1[[#This Row],[JobSatisfaction]]=2,"Medium",Table1[[#This Row],[JobSatisfaction]]=3,"High",Table1[[#This Row],[JobSatisfaction]]=4,"Very High")</f>
        <v>Very High</v>
      </c>
      <c r="H833" s="5">
        <v>3</v>
      </c>
      <c r="I833" t="str" cm="1">
        <f t="array" ref="I833">_xlfn.IFS(H833=1,"low",H833=2,"medium",H833=3,"balanced",H833=4,"Good")</f>
        <v>balanced</v>
      </c>
    </row>
    <row r="834" spans="1:9" x14ac:dyDescent="0.3">
      <c r="A834" s="14">
        <v>3</v>
      </c>
      <c r="B834" t="str" cm="1">
        <f t="array" ref="B834">_xlfn.IFS(Datasets!Q834=1,"LoW",Table1[[#This Row],[JobSatisfaction]]=2,"Medium",Table1[[#This Row],[JobSatisfaction]]=3,"High",Table1[[#This Row],[JobSatisfaction]]=4,"Very High")</f>
        <v>High</v>
      </c>
      <c r="H834" s="5">
        <v>3</v>
      </c>
      <c r="I834" t="str" cm="1">
        <f t="array" ref="I834">_xlfn.IFS(H834=1,"low",H834=2,"medium",H834=3,"balanced",H834=4,"Good")</f>
        <v>balanced</v>
      </c>
    </row>
    <row r="835" spans="1:9" x14ac:dyDescent="0.3">
      <c r="A835" s="13">
        <v>2</v>
      </c>
      <c r="B835" t="str" cm="1">
        <f t="array" ref="B835">_xlfn.IFS(Datasets!Q835=1,"LoW",Table1[[#This Row],[JobSatisfaction]]=2,"Medium",Table1[[#This Row],[JobSatisfaction]]=3,"High",Table1[[#This Row],[JobSatisfaction]]=4,"Very High")</f>
        <v>Medium</v>
      </c>
      <c r="H835" s="5">
        <v>3</v>
      </c>
      <c r="I835" t="str" cm="1">
        <f t="array" ref="I835">_xlfn.IFS(H835=1,"low",H835=2,"medium",H835=3,"balanced",H835=4,"Good")</f>
        <v>balanced</v>
      </c>
    </row>
    <row r="836" spans="1:9" x14ac:dyDescent="0.3">
      <c r="A836" s="14">
        <v>4</v>
      </c>
      <c r="B836" t="str" cm="1">
        <f t="array" ref="B836">_xlfn.IFS(Datasets!Q836=1,"LoW",Table1[[#This Row],[JobSatisfaction]]=2,"Medium",Table1[[#This Row],[JobSatisfaction]]=3,"High",Table1[[#This Row],[JobSatisfaction]]=4,"Very High")</f>
        <v>Very High</v>
      </c>
      <c r="H836" s="5">
        <v>2</v>
      </c>
      <c r="I836" t="str" cm="1">
        <f t="array" ref="I836">_xlfn.IFS(H836=1,"low",H836=2,"medium",H836=3,"balanced",H836=4,"Good")</f>
        <v>medium</v>
      </c>
    </row>
    <row r="837" spans="1:9" x14ac:dyDescent="0.3">
      <c r="A837" s="13">
        <v>4</v>
      </c>
      <c r="B837" t="str" cm="1">
        <f t="array" ref="B837">_xlfn.IFS(Datasets!Q837=1,"LoW",Table1[[#This Row],[JobSatisfaction]]=2,"Medium",Table1[[#This Row],[JobSatisfaction]]=3,"High",Table1[[#This Row],[JobSatisfaction]]=4,"Very High")</f>
        <v>Very High</v>
      </c>
      <c r="H837" s="5">
        <v>1</v>
      </c>
      <c r="I837" t="str" cm="1">
        <f t="array" ref="I837">_xlfn.IFS(H837=1,"low",H837=2,"medium",H837=3,"balanced",H837=4,"Good")</f>
        <v>low</v>
      </c>
    </row>
    <row r="838" spans="1:9" x14ac:dyDescent="0.3">
      <c r="A838" s="14">
        <v>1</v>
      </c>
      <c r="B838" t="str" cm="1">
        <f t="array" ref="B838">_xlfn.IFS(Datasets!Q838=1,"LoW",Table1[[#This Row],[JobSatisfaction]]=2,"Medium",Table1[[#This Row],[JobSatisfaction]]=3,"High",Table1[[#This Row],[JobSatisfaction]]=4,"Very High")</f>
        <v>LoW</v>
      </c>
      <c r="H838" s="5">
        <v>2</v>
      </c>
      <c r="I838" t="str" cm="1">
        <f t="array" ref="I838">_xlfn.IFS(H838=1,"low",H838=2,"medium",H838=3,"balanced",H838=4,"Good")</f>
        <v>medium</v>
      </c>
    </row>
    <row r="839" spans="1:9" x14ac:dyDescent="0.3">
      <c r="A839" s="13">
        <v>4</v>
      </c>
      <c r="B839" t="str" cm="1">
        <f t="array" ref="B839">_xlfn.IFS(Datasets!Q839=1,"LoW",Table1[[#This Row],[JobSatisfaction]]=2,"Medium",Table1[[#This Row],[JobSatisfaction]]=3,"High",Table1[[#This Row],[JobSatisfaction]]=4,"Very High")</f>
        <v>Very High</v>
      </c>
      <c r="H839" s="5">
        <v>4</v>
      </c>
      <c r="I839" t="str" cm="1">
        <f t="array" ref="I839">_xlfn.IFS(H839=1,"low",H839=2,"medium",H839=3,"balanced",H839=4,"Good")</f>
        <v>Good</v>
      </c>
    </row>
    <row r="840" spans="1:9" x14ac:dyDescent="0.3">
      <c r="A840" s="14">
        <v>4</v>
      </c>
      <c r="B840" t="str" cm="1">
        <f t="array" ref="B840">_xlfn.IFS(Datasets!Q840=1,"LoW",Table1[[#This Row],[JobSatisfaction]]=2,"Medium",Table1[[#This Row],[JobSatisfaction]]=3,"High",Table1[[#This Row],[JobSatisfaction]]=4,"Very High")</f>
        <v>Very High</v>
      </c>
      <c r="H840" s="5">
        <v>2</v>
      </c>
      <c r="I840" t="str" cm="1">
        <f t="array" ref="I840">_xlfn.IFS(H840=1,"low",H840=2,"medium",H840=3,"balanced",H840=4,"Good")</f>
        <v>medium</v>
      </c>
    </row>
    <row r="841" spans="1:9" x14ac:dyDescent="0.3">
      <c r="A841" s="13">
        <v>2</v>
      </c>
      <c r="B841" t="str" cm="1">
        <f t="array" ref="B841">_xlfn.IFS(Datasets!Q841=1,"LoW",Table1[[#This Row],[JobSatisfaction]]=2,"Medium",Table1[[#This Row],[JobSatisfaction]]=3,"High",Table1[[#This Row],[JobSatisfaction]]=4,"Very High")</f>
        <v>Medium</v>
      </c>
      <c r="H841" s="5">
        <v>4</v>
      </c>
      <c r="I841" t="str" cm="1">
        <f t="array" ref="I841">_xlfn.IFS(H841=1,"low",H841=2,"medium",H841=3,"balanced",H841=4,"Good")</f>
        <v>Good</v>
      </c>
    </row>
    <row r="842" spans="1:9" x14ac:dyDescent="0.3">
      <c r="A842" s="14">
        <v>4</v>
      </c>
      <c r="B842" t="str" cm="1">
        <f t="array" ref="B842">_xlfn.IFS(Datasets!Q842=1,"LoW",Table1[[#This Row],[JobSatisfaction]]=2,"Medium",Table1[[#This Row],[JobSatisfaction]]=3,"High",Table1[[#This Row],[JobSatisfaction]]=4,"Very High")</f>
        <v>Very High</v>
      </c>
      <c r="H842" s="5">
        <v>3</v>
      </c>
      <c r="I842" t="str" cm="1">
        <f t="array" ref="I842">_xlfn.IFS(H842=1,"low",H842=2,"medium",H842=3,"balanced",H842=4,"Good")</f>
        <v>balanced</v>
      </c>
    </row>
    <row r="843" spans="1:9" x14ac:dyDescent="0.3">
      <c r="A843" s="13">
        <v>2</v>
      </c>
      <c r="B843" t="str" cm="1">
        <f t="array" ref="B843">_xlfn.IFS(Datasets!Q843=1,"LoW",Table1[[#This Row],[JobSatisfaction]]=2,"Medium",Table1[[#This Row],[JobSatisfaction]]=3,"High",Table1[[#This Row],[JobSatisfaction]]=4,"Very High")</f>
        <v>Medium</v>
      </c>
      <c r="H843" s="5">
        <v>2</v>
      </c>
      <c r="I843" t="str" cm="1">
        <f t="array" ref="I843">_xlfn.IFS(H843=1,"low",H843=2,"medium",H843=3,"balanced",H843=4,"Good")</f>
        <v>medium</v>
      </c>
    </row>
    <row r="844" spans="1:9" x14ac:dyDescent="0.3">
      <c r="A844" s="14">
        <v>4</v>
      </c>
      <c r="B844" t="str" cm="1">
        <f t="array" ref="B844">_xlfn.IFS(Datasets!Q844=1,"LoW",Table1[[#This Row],[JobSatisfaction]]=2,"Medium",Table1[[#This Row],[JobSatisfaction]]=3,"High",Table1[[#This Row],[JobSatisfaction]]=4,"Very High")</f>
        <v>Very High</v>
      </c>
      <c r="H844" s="5">
        <v>3</v>
      </c>
      <c r="I844" t="str" cm="1">
        <f t="array" ref="I844">_xlfn.IFS(H844=1,"low",H844=2,"medium",H844=3,"balanced",H844=4,"Good")</f>
        <v>balanced</v>
      </c>
    </row>
    <row r="845" spans="1:9" x14ac:dyDescent="0.3">
      <c r="A845" s="13">
        <v>3</v>
      </c>
      <c r="B845" t="str" cm="1">
        <f t="array" ref="B845">_xlfn.IFS(Datasets!Q845=1,"LoW",Table1[[#This Row],[JobSatisfaction]]=2,"Medium",Table1[[#This Row],[JobSatisfaction]]=3,"High",Table1[[#This Row],[JobSatisfaction]]=4,"Very High")</f>
        <v>High</v>
      </c>
      <c r="H845" s="5">
        <v>2</v>
      </c>
      <c r="I845" t="str" cm="1">
        <f t="array" ref="I845">_xlfn.IFS(H845=1,"low",H845=2,"medium",H845=3,"balanced",H845=4,"Good")</f>
        <v>medium</v>
      </c>
    </row>
    <row r="846" spans="1:9" x14ac:dyDescent="0.3">
      <c r="A846" s="14">
        <v>1</v>
      </c>
      <c r="B846" t="str" cm="1">
        <f t="array" ref="B846">_xlfn.IFS(Datasets!Q846=1,"LoW",Table1[[#This Row],[JobSatisfaction]]=2,"Medium",Table1[[#This Row],[JobSatisfaction]]=3,"High",Table1[[#This Row],[JobSatisfaction]]=4,"Very High")</f>
        <v>LoW</v>
      </c>
      <c r="H846" s="5">
        <v>4</v>
      </c>
      <c r="I846" t="str" cm="1">
        <f t="array" ref="I846">_xlfn.IFS(H846=1,"low",H846=2,"medium",H846=3,"balanced",H846=4,"Good")</f>
        <v>Good</v>
      </c>
    </row>
    <row r="847" spans="1:9" x14ac:dyDescent="0.3">
      <c r="A847" s="13">
        <v>4</v>
      </c>
      <c r="B847" t="str" cm="1">
        <f t="array" ref="B847">_xlfn.IFS(Datasets!Q847=1,"LoW",Table1[[#This Row],[JobSatisfaction]]=2,"Medium",Table1[[#This Row],[JobSatisfaction]]=3,"High",Table1[[#This Row],[JobSatisfaction]]=4,"Very High")</f>
        <v>Very High</v>
      </c>
      <c r="H847" s="5">
        <v>3</v>
      </c>
      <c r="I847" t="str" cm="1">
        <f t="array" ref="I847">_xlfn.IFS(H847=1,"low",H847=2,"medium",H847=3,"balanced",H847=4,"Good")</f>
        <v>balanced</v>
      </c>
    </row>
    <row r="848" spans="1:9" x14ac:dyDescent="0.3">
      <c r="A848" s="14">
        <v>2</v>
      </c>
      <c r="B848" t="str" cm="1">
        <f t="array" ref="B848">_xlfn.IFS(Datasets!Q848=1,"LoW",Table1[[#This Row],[JobSatisfaction]]=2,"Medium",Table1[[#This Row],[JobSatisfaction]]=3,"High",Table1[[#This Row],[JobSatisfaction]]=4,"Very High")</f>
        <v>Medium</v>
      </c>
      <c r="H848" s="5">
        <v>3</v>
      </c>
      <c r="I848" t="str" cm="1">
        <f t="array" ref="I848">_xlfn.IFS(H848=1,"low",H848=2,"medium",H848=3,"balanced",H848=4,"Good")</f>
        <v>balanced</v>
      </c>
    </row>
    <row r="849" spans="1:9" x14ac:dyDescent="0.3">
      <c r="A849" s="13">
        <v>3</v>
      </c>
      <c r="B849" t="str" cm="1">
        <f t="array" ref="B849">_xlfn.IFS(Datasets!Q849=1,"LoW",Table1[[#This Row],[JobSatisfaction]]=2,"Medium",Table1[[#This Row],[JobSatisfaction]]=3,"High",Table1[[#This Row],[JobSatisfaction]]=4,"Very High")</f>
        <v>High</v>
      </c>
      <c r="H849" s="5">
        <v>2</v>
      </c>
      <c r="I849" t="str" cm="1">
        <f t="array" ref="I849">_xlfn.IFS(H849=1,"low",H849=2,"medium",H849=3,"balanced",H849=4,"Good")</f>
        <v>medium</v>
      </c>
    </row>
    <row r="850" spans="1:9" x14ac:dyDescent="0.3">
      <c r="A850" s="14">
        <v>4</v>
      </c>
      <c r="B850" t="str" cm="1">
        <f t="array" ref="B850">_xlfn.IFS(Datasets!Q850=1,"LoW",Table1[[#This Row],[JobSatisfaction]]=2,"Medium",Table1[[#This Row],[JobSatisfaction]]=3,"High",Table1[[#This Row],[JobSatisfaction]]=4,"Very High")</f>
        <v>Very High</v>
      </c>
      <c r="H850" s="5">
        <v>2</v>
      </c>
      <c r="I850" t="str" cm="1">
        <f t="array" ref="I850">_xlfn.IFS(H850=1,"low",H850=2,"medium",H850=3,"balanced",H850=4,"Good")</f>
        <v>medium</v>
      </c>
    </row>
    <row r="851" spans="1:9" x14ac:dyDescent="0.3">
      <c r="A851" s="13">
        <v>1</v>
      </c>
      <c r="B851" t="str" cm="1">
        <f t="array" ref="B851">_xlfn.IFS(Datasets!Q851=1,"LoW",Table1[[#This Row],[JobSatisfaction]]=2,"Medium",Table1[[#This Row],[JobSatisfaction]]=3,"High",Table1[[#This Row],[JobSatisfaction]]=4,"Very High")</f>
        <v>LoW</v>
      </c>
      <c r="H851" s="5">
        <v>3</v>
      </c>
      <c r="I851" t="str" cm="1">
        <f t="array" ref="I851">_xlfn.IFS(H851=1,"low",H851=2,"medium",H851=3,"balanced",H851=4,"Good")</f>
        <v>balanced</v>
      </c>
    </row>
    <row r="852" spans="1:9" x14ac:dyDescent="0.3">
      <c r="A852" s="14">
        <v>1</v>
      </c>
      <c r="B852" t="str" cm="1">
        <f t="array" ref="B852">_xlfn.IFS(Datasets!Q852=1,"LoW",Table1[[#This Row],[JobSatisfaction]]=2,"Medium",Table1[[#This Row],[JobSatisfaction]]=3,"High",Table1[[#This Row],[JobSatisfaction]]=4,"Very High")</f>
        <v>LoW</v>
      </c>
      <c r="H852" s="5">
        <v>3</v>
      </c>
      <c r="I852" t="str" cm="1">
        <f t="array" ref="I852">_xlfn.IFS(H852=1,"low",H852=2,"medium",H852=3,"balanced",H852=4,"Good")</f>
        <v>balanced</v>
      </c>
    </row>
    <row r="853" spans="1:9" x14ac:dyDescent="0.3">
      <c r="A853" s="13">
        <v>3</v>
      </c>
      <c r="B853" t="str" cm="1">
        <f t="array" ref="B853">_xlfn.IFS(Datasets!Q853=1,"LoW",Table1[[#This Row],[JobSatisfaction]]=2,"Medium",Table1[[#This Row],[JobSatisfaction]]=3,"High",Table1[[#This Row],[JobSatisfaction]]=4,"Very High")</f>
        <v>High</v>
      </c>
      <c r="H853" s="5">
        <v>2</v>
      </c>
      <c r="I853" t="str" cm="1">
        <f t="array" ref="I853">_xlfn.IFS(H853=1,"low",H853=2,"medium",H853=3,"balanced",H853=4,"Good")</f>
        <v>medium</v>
      </c>
    </row>
    <row r="854" spans="1:9" x14ac:dyDescent="0.3">
      <c r="A854" s="14">
        <v>2</v>
      </c>
      <c r="B854" t="str" cm="1">
        <f t="array" ref="B854">_xlfn.IFS(Datasets!Q854=1,"LoW",Table1[[#This Row],[JobSatisfaction]]=2,"Medium",Table1[[#This Row],[JobSatisfaction]]=3,"High",Table1[[#This Row],[JobSatisfaction]]=4,"Very High")</f>
        <v>Medium</v>
      </c>
      <c r="H854" s="5">
        <v>3</v>
      </c>
      <c r="I854" t="str" cm="1">
        <f t="array" ref="I854">_xlfn.IFS(H854=1,"low",H854=2,"medium",H854=3,"balanced",H854=4,"Good")</f>
        <v>balanced</v>
      </c>
    </row>
    <row r="855" spans="1:9" x14ac:dyDescent="0.3">
      <c r="A855" s="13">
        <v>4</v>
      </c>
      <c r="B855" t="str" cm="1">
        <f t="array" ref="B855">_xlfn.IFS(Datasets!Q855=1,"LoW",Table1[[#This Row],[JobSatisfaction]]=2,"Medium",Table1[[#This Row],[JobSatisfaction]]=3,"High",Table1[[#This Row],[JobSatisfaction]]=4,"Very High")</f>
        <v>Very High</v>
      </c>
      <c r="H855" s="5">
        <v>3</v>
      </c>
      <c r="I855" t="str" cm="1">
        <f t="array" ref="I855">_xlfn.IFS(H855=1,"low",H855=2,"medium",H855=3,"balanced",H855=4,"Good")</f>
        <v>balanced</v>
      </c>
    </row>
    <row r="856" spans="1:9" x14ac:dyDescent="0.3">
      <c r="A856" s="14">
        <v>2</v>
      </c>
      <c r="B856" t="str" cm="1">
        <f t="array" ref="B856">_xlfn.IFS(Datasets!Q856=1,"LoW",Table1[[#This Row],[JobSatisfaction]]=2,"Medium",Table1[[#This Row],[JobSatisfaction]]=3,"High",Table1[[#This Row],[JobSatisfaction]]=4,"Very High")</f>
        <v>Medium</v>
      </c>
      <c r="H856" s="5">
        <v>1</v>
      </c>
      <c r="I856" t="str" cm="1">
        <f t="array" ref="I856">_xlfn.IFS(H856=1,"low",H856=2,"medium",H856=3,"balanced",H856=4,"Good")</f>
        <v>low</v>
      </c>
    </row>
    <row r="857" spans="1:9" x14ac:dyDescent="0.3">
      <c r="A857" s="13">
        <v>1</v>
      </c>
      <c r="B857" t="str" cm="1">
        <f t="array" ref="B857">_xlfn.IFS(Datasets!Q857=1,"LoW",Table1[[#This Row],[JobSatisfaction]]=2,"Medium",Table1[[#This Row],[JobSatisfaction]]=3,"High",Table1[[#This Row],[JobSatisfaction]]=4,"Very High")</f>
        <v>LoW</v>
      </c>
      <c r="H857" s="5">
        <v>2</v>
      </c>
      <c r="I857" t="str" cm="1">
        <f t="array" ref="I857">_xlfn.IFS(H857=1,"low",H857=2,"medium",H857=3,"balanced",H857=4,"Good")</f>
        <v>medium</v>
      </c>
    </row>
    <row r="858" spans="1:9" x14ac:dyDescent="0.3">
      <c r="A858" s="14">
        <v>3</v>
      </c>
      <c r="B858" t="str" cm="1">
        <f t="array" ref="B858">_xlfn.IFS(Datasets!Q858=1,"LoW",Table1[[#This Row],[JobSatisfaction]]=2,"Medium",Table1[[#This Row],[JobSatisfaction]]=3,"High",Table1[[#This Row],[JobSatisfaction]]=4,"Very High")</f>
        <v>High</v>
      </c>
      <c r="H858" s="5">
        <v>2</v>
      </c>
      <c r="I858" t="str" cm="1">
        <f t="array" ref="I858">_xlfn.IFS(H858=1,"low",H858=2,"medium",H858=3,"balanced",H858=4,"Good")</f>
        <v>medium</v>
      </c>
    </row>
    <row r="859" spans="1:9" x14ac:dyDescent="0.3">
      <c r="A859" s="13">
        <v>1</v>
      </c>
      <c r="B859" t="str" cm="1">
        <f t="array" ref="B859">_xlfn.IFS(Datasets!Q859=1,"LoW",Table1[[#This Row],[JobSatisfaction]]=2,"Medium",Table1[[#This Row],[JobSatisfaction]]=3,"High",Table1[[#This Row],[JobSatisfaction]]=4,"Very High")</f>
        <v>LoW</v>
      </c>
      <c r="H859" s="5">
        <v>1</v>
      </c>
      <c r="I859" t="str" cm="1">
        <f t="array" ref="I859">_xlfn.IFS(H859=1,"low",H859=2,"medium",H859=3,"balanced",H859=4,"Good")</f>
        <v>low</v>
      </c>
    </row>
    <row r="860" spans="1:9" x14ac:dyDescent="0.3">
      <c r="A860" s="14">
        <v>4</v>
      </c>
      <c r="B860" t="str" cm="1">
        <f t="array" ref="B860">_xlfn.IFS(Datasets!Q860=1,"LoW",Table1[[#This Row],[JobSatisfaction]]=2,"Medium",Table1[[#This Row],[JobSatisfaction]]=3,"High",Table1[[#This Row],[JobSatisfaction]]=4,"Very High")</f>
        <v>Very High</v>
      </c>
      <c r="H860" s="5">
        <v>2</v>
      </c>
      <c r="I860" t="str" cm="1">
        <f t="array" ref="I860">_xlfn.IFS(H860=1,"low",H860=2,"medium",H860=3,"balanced",H860=4,"Good")</f>
        <v>medium</v>
      </c>
    </row>
    <row r="861" spans="1:9" x14ac:dyDescent="0.3">
      <c r="A861" s="13">
        <v>1</v>
      </c>
      <c r="B861" t="str" cm="1">
        <f t="array" ref="B861">_xlfn.IFS(Datasets!Q861=1,"LoW",Table1[[#This Row],[JobSatisfaction]]=2,"Medium",Table1[[#This Row],[JobSatisfaction]]=3,"High",Table1[[#This Row],[JobSatisfaction]]=4,"Very High")</f>
        <v>LoW</v>
      </c>
      <c r="H861" s="5">
        <v>3</v>
      </c>
      <c r="I861" t="str" cm="1">
        <f t="array" ref="I861">_xlfn.IFS(H861=1,"low",H861=2,"medium",H861=3,"balanced",H861=4,"Good")</f>
        <v>balanced</v>
      </c>
    </row>
    <row r="862" spans="1:9" x14ac:dyDescent="0.3">
      <c r="A862" s="14">
        <v>2</v>
      </c>
      <c r="B862" t="str" cm="1">
        <f t="array" ref="B862">_xlfn.IFS(Datasets!Q862=1,"LoW",Table1[[#This Row],[JobSatisfaction]]=2,"Medium",Table1[[#This Row],[JobSatisfaction]]=3,"High",Table1[[#This Row],[JobSatisfaction]]=4,"Very High")</f>
        <v>Medium</v>
      </c>
      <c r="H862" s="5">
        <v>3</v>
      </c>
      <c r="I862" t="str" cm="1">
        <f t="array" ref="I862">_xlfn.IFS(H862=1,"low",H862=2,"medium",H862=3,"balanced",H862=4,"Good")</f>
        <v>balanced</v>
      </c>
    </row>
    <row r="863" spans="1:9" x14ac:dyDescent="0.3">
      <c r="A863" s="13">
        <v>1</v>
      </c>
      <c r="B863" t="str" cm="1">
        <f t="array" ref="B863">_xlfn.IFS(Datasets!Q863=1,"LoW",Table1[[#This Row],[JobSatisfaction]]=2,"Medium",Table1[[#This Row],[JobSatisfaction]]=3,"High",Table1[[#This Row],[JobSatisfaction]]=4,"Very High")</f>
        <v>LoW</v>
      </c>
      <c r="H863" s="5">
        <v>3</v>
      </c>
      <c r="I863" t="str" cm="1">
        <f t="array" ref="I863">_xlfn.IFS(H863=1,"low",H863=2,"medium",H863=3,"balanced",H863=4,"Good")</f>
        <v>balanced</v>
      </c>
    </row>
    <row r="864" spans="1:9" x14ac:dyDescent="0.3">
      <c r="A864" s="14">
        <v>4</v>
      </c>
      <c r="B864" t="str" cm="1">
        <f t="array" ref="B864">_xlfn.IFS(Datasets!Q864=1,"LoW",Table1[[#This Row],[JobSatisfaction]]=2,"Medium",Table1[[#This Row],[JobSatisfaction]]=3,"High",Table1[[#This Row],[JobSatisfaction]]=4,"Very High")</f>
        <v>Very High</v>
      </c>
      <c r="H864" s="5">
        <v>3</v>
      </c>
      <c r="I864" t="str" cm="1">
        <f t="array" ref="I864">_xlfn.IFS(H864=1,"low",H864=2,"medium",H864=3,"balanced",H864=4,"Good")</f>
        <v>balanced</v>
      </c>
    </row>
    <row r="865" spans="1:9" x14ac:dyDescent="0.3">
      <c r="A865" s="13">
        <v>3</v>
      </c>
      <c r="B865" t="str" cm="1">
        <f t="array" ref="B865">_xlfn.IFS(Datasets!Q865=1,"LoW",Table1[[#This Row],[JobSatisfaction]]=2,"Medium",Table1[[#This Row],[JobSatisfaction]]=3,"High",Table1[[#This Row],[JobSatisfaction]]=4,"Very High")</f>
        <v>High</v>
      </c>
      <c r="H865" s="5">
        <v>3</v>
      </c>
      <c r="I865" t="str" cm="1">
        <f t="array" ref="I865">_xlfn.IFS(H865=1,"low",H865=2,"medium",H865=3,"balanced",H865=4,"Good")</f>
        <v>balanced</v>
      </c>
    </row>
    <row r="866" spans="1:9" x14ac:dyDescent="0.3">
      <c r="A866" s="14">
        <v>2</v>
      </c>
      <c r="B866" t="str" cm="1">
        <f t="array" ref="B866">_xlfn.IFS(Datasets!Q866=1,"LoW",Table1[[#This Row],[JobSatisfaction]]=2,"Medium",Table1[[#This Row],[JobSatisfaction]]=3,"High",Table1[[#This Row],[JobSatisfaction]]=4,"Very High")</f>
        <v>Medium</v>
      </c>
      <c r="H866" s="5">
        <v>3</v>
      </c>
      <c r="I866" t="str" cm="1">
        <f t="array" ref="I866">_xlfn.IFS(H866=1,"low",H866=2,"medium",H866=3,"balanced",H866=4,"Good")</f>
        <v>balanced</v>
      </c>
    </row>
    <row r="867" spans="1:9" x14ac:dyDescent="0.3">
      <c r="A867" s="13">
        <v>1</v>
      </c>
      <c r="B867" t="str" cm="1">
        <f t="array" ref="B867">_xlfn.IFS(Datasets!Q867=1,"LoW",Table1[[#This Row],[JobSatisfaction]]=2,"Medium",Table1[[#This Row],[JobSatisfaction]]=3,"High",Table1[[#This Row],[JobSatisfaction]]=4,"Very High")</f>
        <v>LoW</v>
      </c>
      <c r="H867" s="5">
        <v>3</v>
      </c>
      <c r="I867" t="str" cm="1">
        <f t="array" ref="I867">_xlfn.IFS(H867=1,"low",H867=2,"medium",H867=3,"balanced",H867=4,"Good")</f>
        <v>balanced</v>
      </c>
    </row>
    <row r="868" spans="1:9" x14ac:dyDescent="0.3">
      <c r="A868" s="14">
        <v>4</v>
      </c>
      <c r="B868" t="str" cm="1">
        <f t="array" ref="B868">_xlfn.IFS(Datasets!Q868=1,"LoW",Table1[[#This Row],[JobSatisfaction]]=2,"Medium",Table1[[#This Row],[JobSatisfaction]]=3,"High",Table1[[#This Row],[JobSatisfaction]]=4,"Very High")</f>
        <v>Very High</v>
      </c>
      <c r="H868" s="5">
        <v>3</v>
      </c>
      <c r="I868" t="str" cm="1">
        <f t="array" ref="I868">_xlfn.IFS(H868=1,"low",H868=2,"medium",H868=3,"balanced",H868=4,"Good")</f>
        <v>balanced</v>
      </c>
    </row>
    <row r="869" spans="1:9" x14ac:dyDescent="0.3">
      <c r="A869" s="13">
        <v>1</v>
      </c>
      <c r="B869" t="str" cm="1">
        <f t="array" ref="B869">_xlfn.IFS(Datasets!Q869=1,"LoW",Table1[[#This Row],[JobSatisfaction]]=2,"Medium",Table1[[#This Row],[JobSatisfaction]]=3,"High",Table1[[#This Row],[JobSatisfaction]]=4,"Very High")</f>
        <v>LoW</v>
      </c>
      <c r="H869" s="5">
        <v>2</v>
      </c>
      <c r="I869" t="str" cm="1">
        <f t="array" ref="I869">_xlfn.IFS(H869=1,"low",H869=2,"medium",H869=3,"balanced",H869=4,"Good")</f>
        <v>medium</v>
      </c>
    </row>
    <row r="870" spans="1:9" x14ac:dyDescent="0.3">
      <c r="A870" s="14">
        <v>3</v>
      </c>
      <c r="B870" t="str" cm="1">
        <f t="array" ref="B870">_xlfn.IFS(Datasets!Q870=1,"LoW",Table1[[#This Row],[JobSatisfaction]]=2,"Medium",Table1[[#This Row],[JobSatisfaction]]=3,"High",Table1[[#This Row],[JobSatisfaction]]=4,"Very High")</f>
        <v>High</v>
      </c>
      <c r="H870" s="5">
        <v>3</v>
      </c>
      <c r="I870" t="str" cm="1">
        <f t="array" ref="I870">_xlfn.IFS(H870=1,"low",H870=2,"medium",H870=3,"balanced",H870=4,"Good")</f>
        <v>balanced</v>
      </c>
    </row>
    <row r="871" spans="1:9" x14ac:dyDescent="0.3">
      <c r="A871" s="13">
        <v>1</v>
      </c>
      <c r="B871" t="str" cm="1">
        <f t="array" ref="B871">_xlfn.IFS(Datasets!Q871=1,"LoW",Table1[[#This Row],[JobSatisfaction]]=2,"Medium",Table1[[#This Row],[JobSatisfaction]]=3,"High",Table1[[#This Row],[JobSatisfaction]]=4,"Very High")</f>
        <v>LoW</v>
      </c>
      <c r="H871" s="5">
        <v>3</v>
      </c>
      <c r="I871" t="str" cm="1">
        <f t="array" ref="I871">_xlfn.IFS(H871=1,"low",H871=2,"medium",H871=3,"balanced",H871=4,"Good")</f>
        <v>balanced</v>
      </c>
    </row>
    <row r="872" spans="1:9" x14ac:dyDescent="0.3">
      <c r="A872" s="14">
        <v>4</v>
      </c>
      <c r="B872" t="str" cm="1">
        <f t="array" ref="B872">_xlfn.IFS(Datasets!Q872=1,"LoW",Table1[[#This Row],[JobSatisfaction]]=2,"Medium",Table1[[#This Row],[JobSatisfaction]]=3,"High",Table1[[#This Row],[JobSatisfaction]]=4,"Very High")</f>
        <v>Very High</v>
      </c>
      <c r="H872" s="5">
        <v>3</v>
      </c>
      <c r="I872" t="str" cm="1">
        <f t="array" ref="I872">_xlfn.IFS(H872=1,"low",H872=2,"medium",H872=3,"balanced",H872=4,"Good")</f>
        <v>balanced</v>
      </c>
    </row>
    <row r="873" spans="1:9" x14ac:dyDescent="0.3">
      <c r="A873" s="13">
        <v>3</v>
      </c>
      <c r="B873" t="str" cm="1">
        <f t="array" ref="B873">_xlfn.IFS(Datasets!Q873=1,"LoW",Table1[[#This Row],[JobSatisfaction]]=2,"Medium",Table1[[#This Row],[JobSatisfaction]]=3,"High",Table1[[#This Row],[JobSatisfaction]]=4,"Very High")</f>
        <v>High</v>
      </c>
      <c r="H873" s="5">
        <v>3</v>
      </c>
      <c r="I873" t="str" cm="1">
        <f t="array" ref="I873">_xlfn.IFS(H873=1,"low",H873=2,"medium",H873=3,"balanced",H873=4,"Good")</f>
        <v>balanced</v>
      </c>
    </row>
    <row r="874" spans="1:9" x14ac:dyDescent="0.3">
      <c r="A874" s="14">
        <v>2</v>
      </c>
      <c r="B874" t="str" cm="1">
        <f t="array" ref="B874">_xlfn.IFS(Datasets!Q874=1,"LoW",Table1[[#This Row],[JobSatisfaction]]=2,"Medium",Table1[[#This Row],[JobSatisfaction]]=3,"High",Table1[[#This Row],[JobSatisfaction]]=4,"Very High")</f>
        <v>Medium</v>
      </c>
      <c r="H874" s="5">
        <v>3</v>
      </c>
      <c r="I874" t="str" cm="1">
        <f t="array" ref="I874">_xlfn.IFS(H874=1,"low",H874=2,"medium",H874=3,"balanced",H874=4,"Good")</f>
        <v>balanced</v>
      </c>
    </row>
    <row r="875" spans="1:9" x14ac:dyDescent="0.3">
      <c r="A875" s="13">
        <v>4</v>
      </c>
      <c r="B875" t="str" cm="1">
        <f t="array" ref="B875">_xlfn.IFS(Datasets!Q875=1,"LoW",Table1[[#This Row],[JobSatisfaction]]=2,"Medium",Table1[[#This Row],[JobSatisfaction]]=3,"High",Table1[[#This Row],[JobSatisfaction]]=4,"Very High")</f>
        <v>Very High</v>
      </c>
      <c r="H875" s="5">
        <v>3</v>
      </c>
      <c r="I875" t="str" cm="1">
        <f t="array" ref="I875">_xlfn.IFS(H875=1,"low",H875=2,"medium",H875=3,"balanced",H875=4,"Good")</f>
        <v>balanced</v>
      </c>
    </row>
    <row r="876" spans="1:9" x14ac:dyDescent="0.3">
      <c r="A876" s="14">
        <v>2</v>
      </c>
      <c r="B876" t="str" cm="1">
        <f t="array" ref="B876">_xlfn.IFS(Datasets!Q876=1,"LoW",Table1[[#This Row],[JobSatisfaction]]=2,"Medium",Table1[[#This Row],[JobSatisfaction]]=3,"High",Table1[[#This Row],[JobSatisfaction]]=4,"Very High")</f>
        <v>Medium</v>
      </c>
      <c r="H876" s="5">
        <v>3</v>
      </c>
      <c r="I876" t="str" cm="1">
        <f t="array" ref="I876">_xlfn.IFS(H876=1,"low",H876=2,"medium",H876=3,"balanced",H876=4,"Good")</f>
        <v>balanced</v>
      </c>
    </row>
    <row r="877" spans="1:9" x14ac:dyDescent="0.3">
      <c r="A877" s="13">
        <v>3</v>
      </c>
      <c r="B877" t="str" cm="1">
        <f t="array" ref="B877">_xlfn.IFS(Datasets!Q877=1,"LoW",Table1[[#This Row],[JobSatisfaction]]=2,"Medium",Table1[[#This Row],[JobSatisfaction]]=3,"High",Table1[[#This Row],[JobSatisfaction]]=4,"Very High")</f>
        <v>High</v>
      </c>
      <c r="H877" s="5">
        <v>3</v>
      </c>
      <c r="I877" t="str" cm="1">
        <f t="array" ref="I877">_xlfn.IFS(H877=1,"low",H877=2,"medium",H877=3,"balanced",H877=4,"Good")</f>
        <v>balanced</v>
      </c>
    </row>
    <row r="878" spans="1:9" x14ac:dyDescent="0.3">
      <c r="A878" s="14">
        <v>3</v>
      </c>
      <c r="B878" t="str" cm="1">
        <f t="array" ref="B878">_xlfn.IFS(Datasets!Q878=1,"LoW",Table1[[#This Row],[JobSatisfaction]]=2,"Medium",Table1[[#This Row],[JobSatisfaction]]=3,"High",Table1[[#This Row],[JobSatisfaction]]=4,"Very High")</f>
        <v>High</v>
      </c>
      <c r="H878" s="5">
        <v>4</v>
      </c>
      <c r="I878" t="str" cm="1">
        <f t="array" ref="I878">_xlfn.IFS(H878=1,"low",H878=2,"medium",H878=3,"balanced",H878=4,"Good")</f>
        <v>Good</v>
      </c>
    </row>
    <row r="879" spans="1:9" x14ac:dyDescent="0.3">
      <c r="A879" s="13">
        <v>3</v>
      </c>
      <c r="B879" t="str" cm="1">
        <f t="array" ref="B879">_xlfn.IFS(Datasets!Q879=1,"LoW",Table1[[#This Row],[JobSatisfaction]]=2,"Medium",Table1[[#This Row],[JobSatisfaction]]=3,"High",Table1[[#This Row],[JobSatisfaction]]=4,"Very High")</f>
        <v>High</v>
      </c>
      <c r="H879" s="5">
        <v>2</v>
      </c>
      <c r="I879" t="str" cm="1">
        <f t="array" ref="I879">_xlfn.IFS(H879=1,"low",H879=2,"medium",H879=3,"balanced",H879=4,"Good")</f>
        <v>medium</v>
      </c>
    </row>
    <row r="880" spans="1:9" x14ac:dyDescent="0.3">
      <c r="A880" s="14">
        <v>2</v>
      </c>
      <c r="B880" t="str" cm="1">
        <f t="array" ref="B880">_xlfn.IFS(Datasets!Q880=1,"LoW",Table1[[#This Row],[JobSatisfaction]]=2,"Medium",Table1[[#This Row],[JobSatisfaction]]=3,"High",Table1[[#This Row],[JobSatisfaction]]=4,"Very High")</f>
        <v>Medium</v>
      </c>
      <c r="H880" s="5">
        <v>3</v>
      </c>
      <c r="I880" t="str" cm="1">
        <f t="array" ref="I880">_xlfn.IFS(H880=1,"low",H880=2,"medium",H880=3,"balanced",H880=4,"Good")</f>
        <v>balanced</v>
      </c>
    </row>
    <row r="881" spans="1:9" x14ac:dyDescent="0.3">
      <c r="A881" s="13">
        <v>4</v>
      </c>
      <c r="B881" t="str" cm="1">
        <f t="array" ref="B881">_xlfn.IFS(Datasets!Q881=1,"LoW",Table1[[#This Row],[JobSatisfaction]]=2,"Medium",Table1[[#This Row],[JobSatisfaction]]=3,"High",Table1[[#This Row],[JobSatisfaction]]=4,"Very High")</f>
        <v>Very High</v>
      </c>
      <c r="H881" s="5">
        <v>3</v>
      </c>
      <c r="I881" t="str" cm="1">
        <f t="array" ref="I881">_xlfn.IFS(H881=1,"low",H881=2,"medium",H881=3,"balanced",H881=4,"Good")</f>
        <v>balanced</v>
      </c>
    </row>
    <row r="882" spans="1:9" x14ac:dyDescent="0.3">
      <c r="A882" s="14">
        <v>3</v>
      </c>
      <c r="B882" t="str" cm="1">
        <f t="array" ref="B882">_xlfn.IFS(Datasets!Q882=1,"LoW",Table1[[#This Row],[JobSatisfaction]]=2,"Medium",Table1[[#This Row],[JobSatisfaction]]=3,"High",Table1[[#This Row],[JobSatisfaction]]=4,"Very High")</f>
        <v>High</v>
      </c>
      <c r="H882" s="5">
        <v>3</v>
      </c>
      <c r="I882" t="str" cm="1">
        <f t="array" ref="I882">_xlfn.IFS(H882=1,"low",H882=2,"medium",H882=3,"balanced",H882=4,"Good")</f>
        <v>balanced</v>
      </c>
    </row>
    <row r="883" spans="1:9" x14ac:dyDescent="0.3">
      <c r="A883" s="13">
        <v>4</v>
      </c>
      <c r="B883" t="str" cm="1">
        <f t="array" ref="B883">_xlfn.IFS(Datasets!Q883=1,"LoW",Table1[[#This Row],[JobSatisfaction]]=2,"Medium",Table1[[#This Row],[JobSatisfaction]]=3,"High",Table1[[#This Row],[JobSatisfaction]]=4,"Very High")</f>
        <v>Very High</v>
      </c>
      <c r="H883" s="5">
        <v>3</v>
      </c>
      <c r="I883" t="str" cm="1">
        <f t="array" ref="I883">_xlfn.IFS(H883=1,"low",H883=2,"medium",H883=3,"balanced",H883=4,"Good")</f>
        <v>balanced</v>
      </c>
    </row>
    <row r="884" spans="1:9" x14ac:dyDescent="0.3">
      <c r="A884" s="14">
        <v>3</v>
      </c>
      <c r="B884" t="str" cm="1">
        <f t="array" ref="B884">_xlfn.IFS(Datasets!Q884=1,"LoW",Table1[[#This Row],[JobSatisfaction]]=2,"Medium",Table1[[#This Row],[JobSatisfaction]]=3,"High",Table1[[#This Row],[JobSatisfaction]]=4,"Very High")</f>
        <v>High</v>
      </c>
      <c r="H884" s="5">
        <v>3</v>
      </c>
      <c r="I884" t="str" cm="1">
        <f t="array" ref="I884">_xlfn.IFS(H884=1,"low",H884=2,"medium",H884=3,"balanced",H884=4,"Good")</f>
        <v>balanced</v>
      </c>
    </row>
    <row r="885" spans="1:9" x14ac:dyDescent="0.3">
      <c r="A885" s="13">
        <v>4</v>
      </c>
      <c r="B885" t="str" cm="1">
        <f t="array" ref="B885">_xlfn.IFS(Datasets!Q885=1,"LoW",Table1[[#This Row],[JobSatisfaction]]=2,"Medium",Table1[[#This Row],[JobSatisfaction]]=3,"High",Table1[[#This Row],[JobSatisfaction]]=4,"Very High")</f>
        <v>Very High</v>
      </c>
      <c r="H885" s="5">
        <v>3</v>
      </c>
      <c r="I885" t="str" cm="1">
        <f t="array" ref="I885">_xlfn.IFS(H885=1,"low",H885=2,"medium",H885=3,"balanced",H885=4,"Good")</f>
        <v>balanced</v>
      </c>
    </row>
    <row r="886" spans="1:9" x14ac:dyDescent="0.3">
      <c r="A886" s="14">
        <v>4</v>
      </c>
      <c r="B886" t="str" cm="1">
        <f t="array" ref="B886">_xlfn.IFS(Datasets!Q886=1,"LoW",Table1[[#This Row],[JobSatisfaction]]=2,"Medium",Table1[[#This Row],[JobSatisfaction]]=3,"High",Table1[[#This Row],[JobSatisfaction]]=4,"Very High")</f>
        <v>Very High</v>
      </c>
      <c r="H886" s="5">
        <v>3</v>
      </c>
      <c r="I886" t="str" cm="1">
        <f t="array" ref="I886">_xlfn.IFS(H886=1,"low",H886=2,"medium",H886=3,"balanced",H886=4,"Good")</f>
        <v>balanced</v>
      </c>
    </row>
    <row r="887" spans="1:9" x14ac:dyDescent="0.3">
      <c r="A887" s="13">
        <v>4</v>
      </c>
      <c r="B887" t="str" cm="1">
        <f t="array" ref="B887">_xlfn.IFS(Datasets!Q887=1,"LoW",Table1[[#This Row],[JobSatisfaction]]=2,"Medium",Table1[[#This Row],[JobSatisfaction]]=3,"High",Table1[[#This Row],[JobSatisfaction]]=4,"Very High")</f>
        <v>Very High</v>
      </c>
      <c r="H887" s="5">
        <v>3</v>
      </c>
      <c r="I887" t="str" cm="1">
        <f t="array" ref="I887">_xlfn.IFS(H887=1,"low",H887=2,"medium",H887=3,"balanced",H887=4,"Good")</f>
        <v>balanced</v>
      </c>
    </row>
    <row r="888" spans="1:9" x14ac:dyDescent="0.3">
      <c r="A888" s="14">
        <v>2</v>
      </c>
      <c r="B888" t="str" cm="1">
        <f t="array" ref="B888">_xlfn.IFS(Datasets!Q888=1,"LoW",Table1[[#This Row],[JobSatisfaction]]=2,"Medium",Table1[[#This Row],[JobSatisfaction]]=3,"High",Table1[[#This Row],[JobSatisfaction]]=4,"Very High")</f>
        <v>Medium</v>
      </c>
      <c r="H888" s="5">
        <v>1</v>
      </c>
      <c r="I888" t="str" cm="1">
        <f t="array" ref="I888">_xlfn.IFS(H888=1,"low",H888=2,"medium",H888=3,"balanced",H888=4,"Good")</f>
        <v>low</v>
      </c>
    </row>
    <row r="889" spans="1:9" x14ac:dyDescent="0.3">
      <c r="A889" s="13">
        <v>3</v>
      </c>
      <c r="B889" t="str" cm="1">
        <f t="array" ref="B889">_xlfn.IFS(Datasets!Q889=1,"LoW",Table1[[#This Row],[JobSatisfaction]]=2,"Medium",Table1[[#This Row],[JobSatisfaction]]=3,"High",Table1[[#This Row],[JobSatisfaction]]=4,"Very High")</f>
        <v>High</v>
      </c>
      <c r="H889" s="5">
        <v>2</v>
      </c>
      <c r="I889" t="str" cm="1">
        <f t="array" ref="I889">_xlfn.IFS(H889=1,"low",H889=2,"medium",H889=3,"balanced",H889=4,"Good")</f>
        <v>medium</v>
      </c>
    </row>
    <row r="890" spans="1:9" x14ac:dyDescent="0.3">
      <c r="A890" s="14">
        <v>4</v>
      </c>
      <c r="B890" t="str" cm="1">
        <f t="array" ref="B890">_xlfn.IFS(Datasets!Q890=1,"LoW",Table1[[#This Row],[JobSatisfaction]]=2,"Medium",Table1[[#This Row],[JobSatisfaction]]=3,"High",Table1[[#This Row],[JobSatisfaction]]=4,"Very High")</f>
        <v>Very High</v>
      </c>
      <c r="H890" s="5">
        <v>3</v>
      </c>
      <c r="I890" t="str" cm="1">
        <f t="array" ref="I890">_xlfn.IFS(H890=1,"low",H890=2,"medium",H890=3,"balanced",H890=4,"Good")</f>
        <v>balanced</v>
      </c>
    </row>
    <row r="891" spans="1:9" x14ac:dyDescent="0.3">
      <c r="A891" s="13">
        <v>1</v>
      </c>
      <c r="B891" t="str" cm="1">
        <f t="array" ref="B891">_xlfn.IFS(Datasets!Q891=1,"LoW",Table1[[#This Row],[JobSatisfaction]]=2,"Medium",Table1[[#This Row],[JobSatisfaction]]=3,"High",Table1[[#This Row],[JobSatisfaction]]=4,"Very High")</f>
        <v>LoW</v>
      </c>
      <c r="H891" s="5">
        <v>3</v>
      </c>
      <c r="I891" t="str" cm="1">
        <f t="array" ref="I891">_xlfn.IFS(H891=1,"low",H891=2,"medium",H891=3,"balanced",H891=4,"Good")</f>
        <v>balanced</v>
      </c>
    </row>
    <row r="892" spans="1:9" x14ac:dyDescent="0.3">
      <c r="A892" s="14">
        <v>4</v>
      </c>
      <c r="B892" t="str" cm="1">
        <f t="array" ref="B892">_xlfn.IFS(Datasets!Q892=1,"LoW",Table1[[#This Row],[JobSatisfaction]]=2,"Medium",Table1[[#This Row],[JobSatisfaction]]=3,"High",Table1[[#This Row],[JobSatisfaction]]=4,"Very High")</f>
        <v>Very High</v>
      </c>
      <c r="H892" s="5">
        <v>3</v>
      </c>
      <c r="I892" t="str" cm="1">
        <f t="array" ref="I892">_xlfn.IFS(H892=1,"low",H892=2,"medium",H892=3,"balanced",H892=4,"Good")</f>
        <v>balanced</v>
      </c>
    </row>
    <row r="893" spans="1:9" x14ac:dyDescent="0.3">
      <c r="A893" s="13">
        <v>4</v>
      </c>
      <c r="B893" t="str" cm="1">
        <f t="array" ref="B893">_xlfn.IFS(Datasets!Q893=1,"LoW",Table1[[#This Row],[JobSatisfaction]]=2,"Medium",Table1[[#This Row],[JobSatisfaction]]=3,"High",Table1[[#This Row],[JobSatisfaction]]=4,"Very High")</f>
        <v>Very High</v>
      </c>
      <c r="H893" s="5">
        <v>3</v>
      </c>
      <c r="I893" t="str" cm="1">
        <f t="array" ref="I893">_xlfn.IFS(H893=1,"low",H893=2,"medium",H893=3,"balanced",H893=4,"Good")</f>
        <v>balanced</v>
      </c>
    </row>
    <row r="894" spans="1:9" x14ac:dyDescent="0.3">
      <c r="A894" s="14">
        <v>4</v>
      </c>
      <c r="B894" t="str" cm="1">
        <f t="array" ref="B894">_xlfn.IFS(Datasets!Q894=1,"LoW",Table1[[#This Row],[JobSatisfaction]]=2,"Medium",Table1[[#This Row],[JobSatisfaction]]=3,"High",Table1[[#This Row],[JobSatisfaction]]=4,"Very High")</f>
        <v>Very High</v>
      </c>
      <c r="H894" s="5">
        <v>3</v>
      </c>
      <c r="I894" t="str" cm="1">
        <f t="array" ref="I894">_xlfn.IFS(H894=1,"low",H894=2,"medium",H894=3,"balanced",H894=4,"Good")</f>
        <v>balanced</v>
      </c>
    </row>
    <row r="895" spans="1:9" x14ac:dyDescent="0.3">
      <c r="A895" s="13">
        <v>4</v>
      </c>
      <c r="B895" t="str" cm="1">
        <f t="array" ref="B895">_xlfn.IFS(Datasets!Q895=1,"LoW",Table1[[#This Row],[JobSatisfaction]]=2,"Medium",Table1[[#This Row],[JobSatisfaction]]=3,"High",Table1[[#This Row],[JobSatisfaction]]=4,"Very High")</f>
        <v>Very High</v>
      </c>
      <c r="H895" s="5">
        <v>2</v>
      </c>
      <c r="I895" t="str" cm="1">
        <f t="array" ref="I895">_xlfn.IFS(H895=1,"low",H895=2,"medium",H895=3,"balanced",H895=4,"Good")</f>
        <v>medium</v>
      </c>
    </row>
    <row r="896" spans="1:9" x14ac:dyDescent="0.3">
      <c r="A896" s="14">
        <v>4</v>
      </c>
      <c r="B896" t="str" cm="1">
        <f t="array" ref="B896">_xlfn.IFS(Datasets!Q896=1,"LoW",Table1[[#This Row],[JobSatisfaction]]=2,"Medium",Table1[[#This Row],[JobSatisfaction]]=3,"High",Table1[[#This Row],[JobSatisfaction]]=4,"Very High")</f>
        <v>Very High</v>
      </c>
      <c r="H896" s="5">
        <v>3</v>
      </c>
      <c r="I896" t="str" cm="1">
        <f t="array" ref="I896">_xlfn.IFS(H896=1,"low",H896=2,"medium",H896=3,"balanced",H896=4,"Good")</f>
        <v>balanced</v>
      </c>
    </row>
    <row r="897" spans="1:9" x14ac:dyDescent="0.3">
      <c r="A897" s="13">
        <v>4</v>
      </c>
      <c r="B897" t="str" cm="1">
        <f t="array" ref="B897">_xlfn.IFS(Datasets!Q897=1,"LoW",Table1[[#This Row],[JobSatisfaction]]=2,"Medium",Table1[[#This Row],[JobSatisfaction]]=3,"High",Table1[[#This Row],[JobSatisfaction]]=4,"Very High")</f>
        <v>Very High</v>
      </c>
      <c r="H897" s="5">
        <v>3</v>
      </c>
      <c r="I897" t="str" cm="1">
        <f t="array" ref="I897">_xlfn.IFS(H897=1,"low",H897=2,"medium",H897=3,"balanced",H897=4,"Good")</f>
        <v>balanced</v>
      </c>
    </row>
    <row r="898" spans="1:9" x14ac:dyDescent="0.3">
      <c r="A898" s="14">
        <v>4</v>
      </c>
      <c r="B898" t="str" cm="1">
        <f t="array" ref="B898">_xlfn.IFS(Datasets!Q898=1,"LoW",Table1[[#This Row],[JobSatisfaction]]=2,"Medium",Table1[[#This Row],[JobSatisfaction]]=3,"High",Table1[[#This Row],[JobSatisfaction]]=4,"Very High")</f>
        <v>Very High</v>
      </c>
      <c r="H898" s="5">
        <v>3</v>
      </c>
      <c r="I898" t="str" cm="1">
        <f t="array" ref="I898">_xlfn.IFS(H898=1,"low",H898=2,"medium",H898=3,"balanced",H898=4,"Good")</f>
        <v>balanced</v>
      </c>
    </row>
    <row r="899" spans="1:9" x14ac:dyDescent="0.3">
      <c r="A899" s="13">
        <v>4</v>
      </c>
      <c r="B899" t="str" cm="1">
        <f t="array" ref="B899">_xlfn.IFS(Datasets!Q899=1,"LoW",Table1[[#This Row],[JobSatisfaction]]=2,"Medium",Table1[[#This Row],[JobSatisfaction]]=3,"High",Table1[[#This Row],[JobSatisfaction]]=4,"Very High")</f>
        <v>Very High</v>
      </c>
      <c r="H899" s="5">
        <v>1</v>
      </c>
      <c r="I899" t="str" cm="1">
        <f t="array" ref="I899">_xlfn.IFS(H899=1,"low",H899=2,"medium",H899=3,"balanced",H899=4,"Good")</f>
        <v>low</v>
      </c>
    </row>
    <row r="900" spans="1:9" x14ac:dyDescent="0.3">
      <c r="A900" s="14">
        <v>3</v>
      </c>
      <c r="B900" t="str" cm="1">
        <f t="array" ref="B900">_xlfn.IFS(Datasets!Q900=1,"LoW",Table1[[#This Row],[JobSatisfaction]]=2,"Medium",Table1[[#This Row],[JobSatisfaction]]=3,"High",Table1[[#This Row],[JobSatisfaction]]=4,"Very High")</f>
        <v>High</v>
      </c>
      <c r="H900" s="5">
        <v>3</v>
      </c>
      <c r="I900" t="str" cm="1">
        <f t="array" ref="I900">_xlfn.IFS(H900=1,"low",H900=2,"medium",H900=3,"balanced",H900=4,"Good")</f>
        <v>balanced</v>
      </c>
    </row>
    <row r="901" spans="1:9" x14ac:dyDescent="0.3">
      <c r="A901" s="13">
        <v>2</v>
      </c>
      <c r="B901" t="str" cm="1">
        <f t="array" ref="B901">_xlfn.IFS(Datasets!Q901=1,"LoW",Table1[[#This Row],[JobSatisfaction]]=2,"Medium",Table1[[#This Row],[JobSatisfaction]]=3,"High",Table1[[#This Row],[JobSatisfaction]]=4,"Very High")</f>
        <v>Medium</v>
      </c>
      <c r="H901" s="5">
        <v>3</v>
      </c>
      <c r="I901" t="str" cm="1">
        <f t="array" ref="I901">_xlfn.IFS(H901=1,"low",H901=2,"medium",H901=3,"balanced",H901=4,"Good")</f>
        <v>balanced</v>
      </c>
    </row>
    <row r="902" spans="1:9" x14ac:dyDescent="0.3">
      <c r="A902" s="14">
        <v>3</v>
      </c>
      <c r="B902" t="str" cm="1">
        <f t="array" ref="B902">_xlfn.IFS(Datasets!Q902=1,"LoW",Table1[[#This Row],[JobSatisfaction]]=2,"Medium",Table1[[#This Row],[JobSatisfaction]]=3,"High",Table1[[#This Row],[JobSatisfaction]]=4,"Very High")</f>
        <v>High</v>
      </c>
      <c r="H902" s="5">
        <v>4</v>
      </c>
      <c r="I902" t="str" cm="1">
        <f t="array" ref="I902">_xlfn.IFS(H902=1,"low",H902=2,"medium",H902=3,"balanced",H902=4,"Good")</f>
        <v>Good</v>
      </c>
    </row>
    <row r="903" spans="1:9" x14ac:dyDescent="0.3">
      <c r="A903" s="13">
        <v>4</v>
      </c>
      <c r="B903" t="str" cm="1">
        <f t="array" ref="B903">_xlfn.IFS(Datasets!Q903=1,"LoW",Table1[[#This Row],[JobSatisfaction]]=2,"Medium",Table1[[#This Row],[JobSatisfaction]]=3,"High",Table1[[#This Row],[JobSatisfaction]]=4,"Very High")</f>
        <v>Very High</v>
      </c>
      <c r="H903" s="5">
        <v>2</v>
      </c>
      <c r="I903" t="str" cm="1">
        <f t="array" ref="I903">_xlfn.IFS(H903=1,"low",H903=2,"medium",H903=3,"balanced",H903=4,"Good")</f>
        <v>medium</v>
      </c>
    </row>
    <row r="904" spans="1:9" x14ac:dyDescent="0.3">
      <c r="A904" s="14">
        <v>2</v>
      </c>
      <c r="B904" t="str" cm="1">
        <f t="array" ref="B904">_xlfn.IFS(Datasets!Q904=1,"LoW",Table1[[#This Row],[JobSatisfaction]]=2,"Medium",Table1[[#This Row],[JobSatisfaction]]=3,"High",Table1[[#This Row],[JobSatisfaction]]=4,"Very High")</f>
        <v>Medium</v>
      </c>
      <c r="H904" s="5">
        <v>4</v>
      </c>
      <c r="I904" t="str" cm="1">
        <f t="array" ref="I904">_xlfn.IFS(H904=1,"low",H904=2,"medium",H904=3,"balanced",H904=4,"Good")</f>
        <v>Good</v>
      </c>
    </row>
    <row r="905" spans="1:9" x14ac:dyDescent="0.3">
      <c r="A905" s="13">
        <v>4</v>
      </c>
      <c r="B905" t="str" cm="1">
        <f t="array" ref="B905">_xlfn.IFS(Datasets!Q905=1,"LoW",Table1[[#This Row],[JobSatisfaction]]=2,"Medium",Table1[[#This Row],[JobSatisfaction]]=3,"High",Table1[[#This Row],[JobSatisfaction]]=4,"Very High")</f>
        <v>Very High</v>
      </c>
      <c r="H905" s="5">
        <v>2</v>
      </c>
      <c r="I905" t="str" cm="1">
        <f t="array" ref="I905">_xlfn.IFS(H905=1,"low",H905=2,"medium",H905=3,"balanced",H905=4,"Good")</f>
        <v>medium</v>
      </c>
    </row>
    <row r="906" spans="1:9" x14ac:dyDescent="0.3">
      <c r="A906" s="14">
        <v>3</v>
      </c>
      <c r="B906" t="str" cm="1">
        <f t="array" ref="B906">_xlfn.IFS(Datasets!Q906=1,"LoW",Table1[[#This Row],[JobSatisfaction]]=2,"Medium",Table1[[#This Row],[JobSatisfaction]]=3,"High",Table1[[#This Row],[JobSatisfaction]]=4,"Very High")</f>
        <v>High</v>
      </c>
      <c r="H906" s="5">
        <v>3</v>
      </c>
      <c r="I906" t="str" cm="1">
        <f t="array" ref="I906">_xlfn.IFS(H906=1,"low",H906=2,"medium",H906=3,"balanced",H906=4,"Good")</f>
        <v>balanced</v>
      </c>
    </row>
    <row r="907" spans="1:9" x14ac:dyDescent="0.3">
      <c r="A907" s="13">
        <v>2</v>
      </c>
      <c r="B907" t="str" cm="1">
        <f t="array" ref="B907">_xlfn.IFS(Datasets!Q907=1,"LoW",Table1[[#This Row],[JobSatisfaction]]=2,"Medium",Table1[[#This Row],[JobSatisfaction]]=3,"High",Table1[[#This Row],[JobSatisfaction]]=4,"Very High")</f>
        <v>Medium</v>
      </c>
      <c r="H907" s="5">
        <v>2</v>
      </c>
      <c r="I907" t="str" cm="1">
        <f t="array" ref="I907">_xlfn.IFS(H907=1,"low",H907=2,"medium",H907=3,"balanced",H907=4,"Good")</f>
        <v>medium</v>
      </c>
    </row>
    <row r="908" spans="1:9" x14ac:dyDescent="0.3">
      <c r="A908" s="14">
        <v>1</v>
      </c>
      <c r="B908" t="str" cm="1">
        <f t="array" ref="B908">_xlfn.IFS(Datasets!Q908=1,"LoW",Table1[[#This Row],[JobSatisfaction]]=2,"Medium",Table1[[#This Row],[JobSatisfaction]]=3,"High",Table1[[#This Row],[JobSatisfaction]]=4,"Very High")</f>
        <v>LoW</v>
      </c>
      <c r="H908" s="5">
        <v>3</v>
      </c>
      <c r="I908" t="str" cm="1">
        <f t="array" ref="I908">_xlfn.IFS(H908=1,"low",H908=2,"medium",H908=3,"balanced",H908=4,"Good")</f>
        <v>balanced</v>
      </c>
    </row>
    <row r="909" spans="1:9" x14ac:dyDescent="0.3">
      <c r="A909" s="13">
        <v>1</v>
      </c>
      <c r="B909" t="str" cm="1">
        <f t="array" ref="B909">_xlfn.IFS(Datasets!Q909=1,"LoW",Table1[[#This Row],[JobSatisfaction]]=2,"Medium",Table1[[#This Row],[JobSatisfaction]]=3,"High",Table1[[#This Row],[JobSatisfaction]]=4,"Very High")</f>
        <v>LoW</v>
      </c>
      <c r="H909" s="5">
        <v>3</v>
      </c>
      <c r="I909" t="str" cm="1">
        <f t="array" ref="I909">_xlfn.IFS(H909=1,"low",H909=2,"medium",H909=3,"balanced",H909=4,"Good")</f>
        <v>balanced</v>
      </c>
    </row>
    <row r="910" spans="1:9" x14ac:dyDescent="0.3">
      <c r="A910" s="14">
        <v>3</v>
      </c>
      <c r="B910" t="str" cm="1">
        <f t="array" ref="B910">_xlfn.IFS(Datasets!Q910=1,"LoW",Table1[[#This Row],[JobSatisfaction]]=2,"Medium",Table1[[#This Row],[JobSatisfaction]]=3,"High",Table1[[#This Row],[JobSatisfaction]]=4,"Very High")</f>
        <v>High</v>
      </c>
      <c r="H910" s="5">
        <v>3</v>
      </c>
      <c r="I910" t="str" cm="1">
        <f t="array" ref="I910">_xlfn.IFS(H910=1,"low",H910=2,"medium",H910=3,"balanced",H910=4,"Good")</f>
        <v>balanced</v>
      </c>
    </row>
    <row r="911" spans="1:9" x14ac:dyDescent="0.3">
      <c r="A911" s="13">
        <v>1</v>
      </c>
      <c r="B911" t="str" cm="1">
        <f t="array" ref="B911">_xlfn.IFS(Datasets!Q911=1,"LoW",Table1[[#This Row],[JobSatisfaction]]=2,"Medium",Table1[[#This Row],[JobSatisfaction]]=3,"High",Table1[[#This Row],[JobSatisfaction]]=4,"Very High")</f>
        <v>LoW</v>
      </c>
      <c r="H911" s="5">
        <v>3</v>
      </c>
      <c r="I911" t="str" cm="1">
        <f t="array" ref="I911">_xlfn.IFS(H911=1,"low",H911=2,"medium",H911=3,"balanced",H911=4,"Good")</f>
        <v>balanced</v>
      </c>
    </row>
    <row r="912" spans="1:9" x14ac:dyDescent="0.3">
      <c r="A912" s="14">
        <v>1</v>
      </c>
      <c r="B912" t="str" cm="1">
        <f t="array" ref="B912">_xlfn.IFS(Datasets!Q912=1,"LoW",Table1[[#This Row],[JobSatisfaction]]=2,"Medium",Table1[[#This Row],[JobSatisfaction]]=3,"High",Table1[[#This Row],[JobSatisfaction]]=4,"Very High")</f>
        <v>LoW</v>
      </c>
      <c r="H912" s="5">
        <v>3</v>
      </c>
      <c r="I912" t="str" cm="1">
        <f t="array" ref="I912">_xlfn.IFS(H912=1,"low",H912=2,"medium",H912=3,"balanced",H912=4,"Good")</f>
        <v>balanced</v>
      </c>
    </row>
    <row r="913" spans="1:9" x14ac:dyDescent="0.3">
      <c r="A913" s="13">
        <v>3</v>
      </c>
      <c r="B913" t="str" cm="1">
        <f t="array" ref="B913">_xlfn.IFS(Datasets!Q913=1,"LoW",Table1[[#This Row],[JobSatisfaction]]=2,"Medium",Table1[[#This Row],[JobSatisfaction]]=3,"High",Table1[[#This Row],[JobSatisfaction]]=4,"Very High")</f>
        <v>High</v>
      </c>
      <c r="H913" s="5">
        <v>4</v>
      </c>
      <c r="I913" t="str" cm="1">
        <f t="array" ref="I913">_xlfn.IFS(H913=1,"low",H913=2,"medium",H913=3,"balanced",H913=4,"Good")</f>
        <v>Good</v>
      </c>
    </row>
    <row r="914" spans="1:9" x14ac:dyDescent="0.3">
      <c r="A914" s="14">
        <v>4</v>
      </c>
      <c r="B914" t="str" cm="1">
        <f t="array" ref="B914">_xlfn.IFS(Datasets!Q914=1,"LoW",Table1[[#This Row],[JobSatisfaction]]=2,"Medium",Table1[[#This Row],[JobSatisfaction]]=3,"High",Table1[[#This Row],[JobSatisfaction]]=4,"Very High")</f>
        <v>Very High</v>
      </c>
      <c r="H914" s="5">
        <v>1</v>
      </c>
      <c r="I914" t="str" cm="1">
        <f t="array" ref="I914">_xlfn.IFS(H914=1,"low",H914=2,"medium",H914=3,"balanced",H914=4,"Good")</f>
        <v>low</v>
      </c>
    </row>
    <row r="915" spans="1:9" x14ac:dyDescent="0.3">
      <c r="A915" s="13">
        <v>3</v>
      </c>
      <c r="B915" t="str" cm="1">
        <f t="array" ref="B915">_xlfn.IFS(Datasets!Q915=1,"LoW",Table1[[#This Row],[JobSatisfaction]]=2,"Medium",Table1[[#This Row],[JobSatisfaction]]=3,"High",Table1[[#This Row],[JobSatisfaction]]=4,"Very High")</f>
        <v>High</v>
      </c>
      <c r="H915" s="5">
        <v>4</v>
      </c>
      <c r="I915" t="str" cm="1">
        <f t="array" ref="I915">_xlfn.IFS(H915=1,"low",H915=2,"medium",H915=3,"balanced",H915=4,"Good")</f>
        <v>Good</v>
      </c>
    </row>
    <row r="916" spans="1:9" x14ac:dyDescent="0.3">
      <c r="A916" s="14">
        <v>4</v>
      </c>
      <c r="B916" t="str" cm="1">
        <f t="array" ref="B916">_xlfn.IFS(Datasets!Q916=1,"LoW",Table1[[#This Row],[JobSatisfaction]]=2,"Medium",Table1[[#This Row],[JobSatisfaction]]=3,"High",Table1[[#This Row],[JobSatisfaction]]=4,"Very High")</f>
        <v>Very High</v>
      </c>
      <c r="H916" s="5">
        <v>3</v>
      </c>
      <c r="I916" t="str" cm="1">
        <f t="array" ref="I916">_xlfn.IFS(H916=1,"low",H916=2,"medium",H916=3,"balanced",H916=4,"Good")</f>
        <v>balanced</v>
      </c>
    </row>
    <row r="917" spans="1:9" x14ac:dyDescent="0.3">
      <c r="A917" s="13">
        <v>2</v>
      </c>
      <c r="B917" t="str" cm="1">
        <f t="array" ref="B917">_xlfn.IFS(Datasets!Q917=1,"LoW",Table1[[#This Row],[JobSatisfaction]]=2,"Medium",Table1[[#This Row],[JobSatisfaction]]=3,"High",Table1[[#This Row],[JobSatisfaction]]=4,"Very High")</f>
        <v>Medium</v>
      </c>
      <c r="H917" s="5">
        <v>3</v>
      </c>
      <c r="I917" t="str" cm="1">
        <f t="array" ref="I917">_xlfn.IFS(H917=1,"low",H917=2,"medium",H917=3,"balanced",H917=4,"Good")</f>
        <v>balanced</v>
      </c>
    </row>
    <row r="918" spans="1:9" x14ac:dyDescent="0.3">
      <c r="A918" s="14">
        <v>4</v>
      </c>
      <c r="B918" t="str" cm="1">
        <f t="array" ref="B918">_xlfn.IFS(Datasets!Q918=1,"LoW",Table1[[#This Row],[JobSatisfaction]]=2,"Medium",Table1[[#This Row],[JobSatisfaction]]=3,"High",Table1[[#This Row],[JobSatisfaction]]=4,"Very High")</f>
        <v>Very High</v>
      </c>
      <c r="H918" s="5">
        <v>3</v>
      </c>
      <c r="I918" t="str" cm="1">
        <f t="array" ref="I918">_xlfn.IFS(H918=1,"low",H918=2,"medium",H918=3,"balanced",H918=4,"Good")</f>
        <v>balanced</v>
      </c>
    </row>
    <row r="919" spans="1:9" x14ac:dyDescent="0.3">
      <c r="A919" s="13">
        <v>3</v>
      </c>
      <c r="B919" t="str" cm="1">
        <f t="array" ref="B919">_xlfn.IFS(Datasets!Q919=1,"LoW",Table1[[#This Row],[JobSatisfaction]]=2,"Medium",Table1[[#This Row],[JobSatisfaction]]=3,"High",Table1[[#This Row],[JobSatisfaction]]=4,"Very High")</f>
        <v>High</v>
      </c>
      <c r="H919" s="5">
        <v>3</v>
      </c>
      <c r="I919" t="str" cm="1">
        <f t="array" ref="I919">_xlfn.IFS(H919=1,"low",H919=2,"medium",H919=3,"balanced",H919=4,"Good")</f>
        <v>balanced</v>
      </c>
    </row>
    <row r="920" spans="1:9" x14ac:dyDescent="0.3">
      <c r="A920" s="14">
        <v>3</v>
      </c>
      <c r="B920" t="str" cm="1">
        <f t="array" ref="B920">_xlfn.IFS(Datasets!Q920=1,"LoW",Table1[[#This Row],[JobSatisfaction]]=2,"Medium",Table1[[#This Row],[JobSatisfaction]]=3,"High",Table1[[#This Row],[JobSatisfaction]]=4,"Very High")</f>
        <v>High</v>
      </c>
      <c r="H920" s="5">
        <v>3</v>
      </c>
      <c r="I920" t="str" cm="1">
        <f t="array" ref="I920">_xlfn.IFS(H920=1,"low",H920=2,"medium",H920=3,"balanced",H920=4,"Good")</f>
        <v>balanced</v>
      </c>
    </row>
    <row r="921" spans="1:9" x14ac:dyDescent="0.3">
      <c r="A921" s="13">
        <v>4</v>
      </c>
      <c r="B921" t="str" cm="1">
        <f t="array" ref="B921">_xlfn.IFS(Datasets!Q921=1,"LoW",Table1[[#This Row],[JobSatisfaction]]=2,"Medium",Table1[[#This Row],[JobSatisfaction]]=3,"High",Table1[[#This Row],[JobSatisfaction]]=4,"Very High")</f>
        <v>Very High</v>
      </c>
      <c r="H921" s="5">
        <v>3</v>
      </c>
      <c r="I921" t="str" cm="1">
        <f t="array" ref="I921">_xlfn.IFS(H921=1,"low",H921=2,"medium",H921=3,"balanced",H921=4,"Good")</f>
        <v>balanced</v>
      </c>
    </row>
    <row r="922" spans="1:9" x14ac:dyDescent="0.3">
      <c r="A922" s="14">
        <v>3</v>
      </c>
      <c r="B922" t="str" cm="1">
        <f t="array" ref="B922">_xlfn.IFS(Datasets!Q922=1,"LoW",Table1[[#This Row],[JobSatisfaction]]=2,"Medium",Table1[[#This Row],[JobSatisfaction]]=3,"High",Table1[[#This Row],[JobSatisfaction]]=4,"Very High")</f>
        <v>High</v>
      </c>
      <c r="H922" s="5">
        <v>3</v>
      </c>
      <c r="I922" t="str" cm="1">
        <f t="array" ref="I922">_xlfn.IFS(H922=1,"low",H922=2,"medium",H922=3,"balanced",H922=4,"Good")</f>
        <v>balanced</v>
      </c>
    </row>
    <row r="923" spans="1:9" x14ac:dyDescent="0.3">
      <c r="A923" s="13">
        <v>4</v>
      </c>
      <c r="B923" t="str" cm="1">
        <f t="array" ref="B923">_xlfn.IFS(Datasets!Q923=1,"LoW",Table1[[#This Row],[JobSatisfaction]]=2,"Medium",Table1[[#This Row],[JobSatisfaction]]=3,"High",Table1[[#This Row],[JobSatisfaction]]=4,"Very High")</f>
        <v>Very High</v>
      </c>
      <c r="H923" s="5">
        <v>4</v>
      </c>
      <c r="I923" t="str" cm="1">
        <f t="array" ref="I923">_xlfn.IFS(H923=1,"low",H923=2,"medium",H923=3,"balanced",H923=4,"Good")</f>
        <v>Good</v>
      </c>
    </row>
    <row r="924" spans="1:9" x14ac:dyDescent="0.3">
      <c r="A924" s="14">
        <v>1</v>
      </c>
      <c r="B924" t="str" cm="1">
        <f t="array" ref="B924">_xlfn.IFS(Datasets!Q924=1,"LoW",Table1[[#This Row],[JobSatisfaction]]=2,"Medium",Table1[[#This Row],[JobSatisfaction]]=3,"High",Table1[[#This Row],[JobSatisfaction]]=4,"Very High")</f>
        <v>LoW</v>
      </c>
      <c r="H924" s="5">
        <v>4</v>
      </c>
      <c r="I924" t="str" cm="1">
        <f t="array" ref="I924">_xlfn.IFS(H924=1,"low",H924=2,"medium",H924=3,"balanced",H924=4,"Good")</f>
        <v>Good</v>
      </c>
    </row>
    <row r="925" spans="1:9" x14ac:dyDescent="0.3">
      <c r="A925" s="13">
        <v>3</v>
      </c>
      <c r="B925" t="str" cm="1">
        <f t="array" ref="B925">_xlfn.IFS(Datasets!Q925=1,"LoW",Table1[[#This Row],[JobSatisfaction]]=2,"Medium",Table1[[#This Row],[JobSatisfaction]]=3,"High",Table1[[#This Row],[JobSatisfaction]]=4,"Very High")</f>
        <v>High</v>
      </c>
      <c r="H925" s="5">
        <v>3</v>
      </c>
      <c r="I925" t="str" cm="1">
        <f t="array" ref="I925">_xlfn.IFS(H925=1,"low",H925=2,"medium",H925=3,"balanced",H925=4,"Good")</f>
        <v>balanced</v>
      </c>
    </row>
    <row r="926" spans="1:9" x14ac:dyDescent="0.3">
      <c r="A926" s="14">
        <v>1</v>
      </c>
      <c r="B926" t="str" cm="1">
        <f t="array" ref="B926">_xlfn.IFS(Datasets!Q926=1,"LoW",Table1[[#This Row],[JobSatisfaction]]=2,"Medium",Table1[[#This Row],[JobSatisfaction]]=3,"High",Table1[[#This Row],[JobSatisfaction]]=4,"Very High")</f>
        <v>LoW</v>
      </c>
      <c r="H926" s="5">
        <v>3</v>
      </c>
      <c r="I926" t="str" cm="1">
        <f t="array" ref="I926">_xlfn.IFS(H926=1,"low",H926=2,"medium",H926=3,"balanced",H926=4,"Good")</f>
        <v>balanced</v>
      </c>
    </row>
    <row r="927" spans="1:9" x14ac:dyDescent="0.3">
      <c r="A927" s="13">
        <v>3</v>
      </c>
      <c r="B927" t="str" cm="1">
        <f t="array" ref="B927">_xlfn.IFS(Datasets!Q927=1,"LoW",Table1[[#This Row],[JobSatisfaction]]=2,"Medium",Table1[[#This Row],[JobSatisfaction]]=3,"High",Table1[[#This Row],[JobSatisfaction]]=4,"Very High")</f>
        <v>High</v>
      </c>
      <c r="H927" s="5">
        <v>3</v>
      </c>
      <c r="I927" t="str" cm="1">
        <f t="array" ref="I927">_xlfn.IFS(H927=1,"low",H927=2,"medium",H927=3,"balanced",H927=4,"Good")</f>
        <v>balanced</v>
      </c>
    </row>
    <row r="928" spans="1:9" x14ac:dyDescent="0.3">
      <c r="A928" s="14">
        <v>3</v>
      </c>
      <c r="B928" t="str" cm="1">
        <f t="array" ref="B928">_xlfn.IFS(Datasets!Q928=1,"LoW",Table1[[#This Row],[JobSatisfaction]]=2,"Medium",Table1[[#This Row],[JobSatisfaction]]=3,"High",Table1[[#This Row],[JobSatisfaction]]=4,"Very High")</f>
        <v>High</v>
      </c>
      <c r="H928" s="5">
        <v>3</v>
      </c>
      <c r="I928" t="str" cm="1">
        <f t="array" ref="I928">_xlfn.IFS(H928=1,"low",H928=2,"medium",H928=3,"balanced",H928=4,"Good")</f>
        <v>balanced</v>
      </c>
    </row>
    <row r="929" spans="1:9" x14ac:dyDescent="0.3">
      <c r="A929" s="13">
        <v>2</v>
      </c>
      <c r="B929" t="str" cm="1">
        <f t="array" ref="B929">_xlfn.IFS(Datasets!Q929=1,"LoW",Table1[[#This Row],[JobSatisfaction]]=2,"Medium",Table1[[#This Row],[JobSatisfaction]]=3,"High",Table1[[#This Row],[JobSatisfaction]]=4,"Very High")</f>
        <v>Medium</v>
      </c>
      <c r="H929" s="5">
        <v>3</v>
      </c>
      <c r="I929" t="str" cm="1">
        <f t="array" ref="I929">_xlfn.IFS(H929=1,"low",H929=2,"medium",H929=3,"balanced",H929=4,"Good")</f>
        <v>balanced</v>
      </c>
    </row>
    <row r="930" spans="1:9" x14ac:dyDescent="0.3">
      <c r="A930" s="14">
        <v>2</v>
      </c>
      <c r="B930" t="str" cm="1">
        <f t="array" ref="B930">_xlfn.IFS(Datasets!Q930=1,"LoW",Table1[[#This Row],[JobSatisfaction]]=2,"Medium",Table1[[#This Row],[JobSatisfaction]]=3,"High",Table1[[#This Row],[JobSatisfaction]]=4,"Very High")</f>
        <v>Medium</v>
      </c>
      <c r="H930" s="5">
        <v>4</v>
      </c>
      <c r="I930" t="str" cm="1">
        <f t="array" ref="I930">_xlfn.IFS(H930=1,"low",H930=2,"medium",H930=3,"balanced",H930=4,"Good")</f>
        <v>Good</v>
      </c>
    </row>
    <row r="931" spans="1:9" x14ac:dyDescent="0.3">
      <c r="A931" s="13">
        <v>2</v>
      </c>
      <c r="B931" t="str" cm="1">
        <f t="array" ref="B931">_xlfn.IFS(Datasets!Q931=1,"LoW",Table1[[#This Row],[JobSatisfaction]]=2,"Medium",Table1[[#This Row],[JobSatisfaction]]=3,"High",Table1[[#This Row],[JobSatisfaction]]=4,"Very High")</f>
        <v>Medium</v>
      </c>
      <c r="H931" s="5">
        <v>3</v>
      </c>
      <c r="I931" t="str" cm="1">
        <f t="array" ref="I931">_xlfn.IFS(H931=1,"low",H931=2,"medium",H931=3,"balanced",H931=4,"Good")</f>
        <v>balanced</v>
      </c>
    </row>
    <row r="932" spans="1:9" x14ac:dyDescent="0.3">
      <c r="A932" s="14">
        <v>4</v>
      </c>
      <c r="B932" t="str" cm="1">
        <f t="array" ref="B932">_xlfn.IFS(Datasets!Q932=1,"LoW",Table1[[#This Row],[JobSatisfaction]]=2,"Medium",Table1[[#This Row],[JobSatisfaction]]=3,"High",Table1[[#This Row],[JobSatisfaction]]=4,"Very High")</f>
        <v>Very High</v>
      </c>
      <c r="H932" s="5">
        <v>3</v>
      </c>
      <c r="I932" t="str" cm="1">
        <f t="array" ref="I932">_xlfn.IFS(H932=1,"low",H932=2,"medium",H932=3,"balanced",H932=4,"Good")</f>
        <v>balanced</v>
      </c>
    </row>
    <row r="933" spans="1:9" x14ac:dyDescent="0.3">
      <c r="A933" s="13">
        <v>3</v>
      </c>
      <c r="B933" t="str" cm="1">
        <f t="array" ref="B933">_xlfn.IFS(Datasets!Q933=1,"LoW",Table1[[#This Row],[JobSatisfaction]]=2,"Medium",Table1[[#This Row],[JobSatisfaction]]=3,"High",Table1[[#This Row],[JobSatisfaction]]=4,"Very High")</f>
        <v>High</v>
      </c>
      <c r="H933" s="5">
        <v>3</v>
      </c>
      <c r="I933" t="str" cm="1">
        <f t="array" ref="I933">_xlfn.IFS(H933=1,"low",H933=2,"medium",H933=3,"balanced",H933=4,"Good")</f>
        <v>balanced</v>
      </c>
    </row>
    <row r="934" spans="1:9" x14ac:dyDescent="0.3">
      <c r="A934" s="14">
        <v>3</v>
      </c>
      <c r="B934" t="str" cm="1">
        <f t="array" ref="B934">_xlfn.IFS(Datasets!Q934=1,"LoW",Table1[[#This Row],[JobSatisfaction]]=2,"Medium",Table1[[#This Row],[JobSatisfaction]]=3,"High",Table1[[#This Row],[JobSatisfaction]]=4,"Very High")</f>
        <v>High</v>
      </c>
      <c r="H934" s="5">
        <v>2</v>
      </c>
      <c r="I934" t="str" cm="1">
        <f t="array" ref="I934">_xlfn.IFS(H934=1,"low",H934=2,"medium",H934=3,"balanced",H934=4,"Good")</f>
        <v>medium</v>
      </c>
    </row>
    <row r="935" spans="1:9" x14ac:dyDescent="0.3">
      <c r="A935" s="13">
        <v>3</v>
      </c>
      <c r="B935" t="str" cm="1">
        <f t="array" ref="B935">_xlfn.IFS(Datasets!Q935=1,"LoW",Table1[[#This Row],[JobSatisfaction]]=2,"Medium",Table1[[#This Row],[JobSatisfaction]]=3,"High",Table1[[#This Row],[JobSatisfaction]]=4,"Very High")</f>
        <v>High</v>
      </c>
      <c r="H935" s="5">
        <v>2</v>
      </c>
      <c r="I935" t="str" cm="1">
        <f t="array" ref="I935">_xlfn.IFS(H935=1,"low",H935=2,"medium",H935=3,"balanced",H935=4,"Good")</f>
        <v>medium</v>
      </c>
    </row>
    <row r="936" spans="1:9" x14ac:dyDescent="0.3">
      <c r="A936" s="14">
        <v>4</v>
      </c>
      <c r="B936" t="str" cm="1">
        <f t="array" ref="B936">_xlfn.IFS(Datasets!Q936=1,"LoW",Table1[[#This Row],[JobSatisfaction]]=2,"Medium",Table1[[#This Row],[JobSatisfaction]]=3,"High",Table1[[#This Row],[JobSatisfaction]]=4,"Very High")</f>
        <v>Very High</v>
      </c>
      <c r="H936" s="5">
        <v>2</v>
      </c>
      <c r="I936" t="str" cm="1">
        <f t="array" ref="I936">_xlfn.IFS(H936=1,"low",H936=2,"medium",H936=3,"balanced",H936=4,"Good")</f>
        <v>medium</v>
      </c>
    </row>
    <row r="937" spans="1:9" x14ac:dyDescent="0.3">
      <c r="A937" s="13">
        <v>4</v>
      </c>
      <c r="B937" t="str" cm="1">
        <f t="array" ref="B937">_xlfn.IFS(Datasets!Q937=1,"LoW",Table1[[#This Row],[JobSatisfaction]]=2,"Medium",Table1[[#This Row],[JobSatisfaction]]=3,"High",Table1[[#This Row],[JobSatisfaction]]=4,"Very High")</f>
        <v>Very High</v>
      </c>
      <c r="H937" s="5">
        <v>2</v>
      </c>
      <c r="I937" t="str" cm="1">
        <f t="array" ref="I937">_xlfn.IFS(H937=1,"low",H937=2,"medium",H937=3,"balanced",H937=4,"Good")</f>
        <v>medium</v>
      </c>
    </row>
    <row r="938" spans="1:9" x14ac:dyDescent="0.3">
      <c r="A938" s="14">
        <v>4</v>
      </c>
      <c r="B938" t="str" cm="1">
        <f t="array" ref="B938">_xlfn.IFS(Datasets!Q938=1,"LoW",Table1[[#This Row],[JobSatisfaction]]=2,"Medium",Table1[[#This Row],[JobSatisfaction]]=3,"High",Table1[[#This Row],[JobSatisfaction]]=4,"Very High")</f>
        <v>Very High</v>
      </c>
      <c r="H938" s="5">
        <v>4</v>
      </c>
      <c r="I938" t="str" cm="1">
        <f t="array" ref="I938">_xlfn.IFS(H938=1,"low",H938=2,"medium",H938=3,"balanced",H938=4,"Good")</f>
        <v>Good</v>
      </c>
    </row>
    <row r="939" spans="1:9" x14ac:dyDescent="0.3">
      <c r="A939" s="13">
        <v>2</v>
      </c>
      <c r="B939" t="str" cm="1">
        <f t="array" ref="B939">_xlfn.IFS(Datasets!Q939=1,"LoW",Table1[[#This Row],[JobSatisfaction]]=2,"Medium",Table1[[#This Row],[JobSatisfaction]]=3,"High",Table1[[#This Row],[JobSatisfaction]]=4,"Very High")</f>
        <v>Medium</v>
      </c>
      <c r="H939" s="5">
        <v>3</v>
      </c>
      <c r="I939" t="str" cm="1">
        <f t="array" ref="I939">_xlfn.IFS(H939=1,"low",H939=2,"medium",H939=3,"balanced",H939=4,"Good")</f>
        <v>balanced</v>
      </c>
    </row>
    <row r="940" spans="1:9" x14ac:dyDescent="0.3">
      <c r="A940" s="14">
        <v>2</v>
      </c>
      <c r="B940" t="str" cm="1">
        <f t="array" ref="B940">_xlfn.IFS(Datasets!Q940=1,"LoW",Table1[[#This Row],[JobSatisfaction]]=2,"Medium",Table1[[#This Row],[JobSatisfaction]]=3,"High",Table1[[#This Row],[JobSatisfaction]]=4,"Very High")</f>
        <v>Medium</v>
      </c>
      <c r="H940" s="5">
        <v>3</v>
      </c>
      <c r="I940" t="str" cm="1">
        <f t="array" ref="I940">_xlfn.IFS(H940=1,"low",H940=2,"medium",H940=3,"balanced",H940=4,"Good")</f>
        <v>balanced</v>
      </c>
    </row>
    <row r="941" spans="1:9" x14ac:dyDescent="0.3">
      <c r="A941" s="13">
        <v>4</v>
      </c>
      <c r="B941" t="str" cm="1">
        <f t="array" ref="B941">_xlfn.IFS(Datasets!Q941=1,"LoW",Table1[[#This Row],[JobSatisfaction]]=2,"Medium",Table1[[#This Row],[JobSatisfaction]]=3,"High",Table1[[#This Row],[JobSatisfaction]]=4,"Very High")</f>
        <v>Very High</v>
      </c>
      <c r="H941" s="5">
        <v>3</v>
      </c>
      <c r="I941" t="str" cm="1">
        <f t="array" ref="I941">_xlfn.IFS(H941=1,"low",H941=2,"medium",H941=3,"balanced",H941=4,"Good")</f>
        <v>balanced</v>
      </c>
    </row>
    <row r="942" spans="1:9" x14ac:dyDescent="0.3">
      <c r="A942" s="14">
        <v>3</v>
      </c>
      <c r="B942" t="str" cm="1">
        <f t="array" ref="B942">_xlfn.IFS(Datasets!Q942=1,"LoW",Table1[[#This Row],[JobSatisfaction]]=2,"Medium",Table1[[#This Row],[JobSatisfaction]]=3,"High",Table1[[#This Row],[JobSatisfaction]]=4,"Very High")</f>
        <v>High</v>
      </c>
      <c r="H942" s="5">
        <v>2</v>
      </c>
      <c r="I942" t="str" cm="1">
        <f t="array" ref="I942">_xlfn.IFS(H942=1,"low",H942=2,"medium",H942=3,"balanced",H942=4,"Good")</f>
        <v>medium</v>
      </c>
    </row>
    <row r="943" spans="1:9" x14ac:dyDescent="0.3">
      <c r="A943" s="13">
        <v>3</v>
      </c>
      <c r="B943" t="str" cm="1">
        <f t="array" ref="B943">_xlfn.IFS(Datasets!Q943=1,"LoW",Table1[[#This Row],[JobSatisfaction]]=2,"Medium",Table1[[#This Row],[JobSatisfaction]]=3,"High",Table1[[#This Row],[JobSatisfaction]]=4,"Very High")</f>
        <v>High</v>
      </c>
      <c r="H943" s="5">
        <v>3</v>
      </c>
      <c r="I943" t="str" cm="1">
        <f t="array" ref="I943">_xlfn.IFS(H943=1,"low",H943=2,"medium",H943=3,"balanced",H943=4,"Good")</f>
        <v>balanced</v>
      </c>
    </row>
    <row r="944" spans="1:9" x14ac:dyDescent="0.3">
      <c r="A944" s="14">
        <v>4</v>
      </c>
      <c r="B944" t="str" cm="1">
        <f t="array" ref="B944">_xlfn.IFS(Datasets!Q944=1,"LoW",Table1[[#This Row],[JobSatisfaction]]=2,"Medium",Table1[[#This Row],[JobSatisfaction]]=3,"High",Table1[[#This Row],[JobSatisfaction]]=4,"Very High")</f>
        <v>Very High</v>
      </c>
      <c r="H944" s="5">
        <v>1</v>
      </c>
      <c r="I944" t="str" cm="1">
        <f t="array" ref="I944">_xlfn.IFS(H944=1,"low",H944=2,"medium",H944=3,"balanced",H944=4,"Good")</f>
        <v>low</v>
      </c>
    </row>
    <row r="945" spans="1:9" x14ac:dyDescent="0.3">
      <c r="A945" s="13">
        <v>2</v>
      </c>
      <c r="B945" t="str" cm="1">
        <f t="array" ref="B945">_xlfn.IFS(Datasets!Q945=1,"LoW",Table1[[#This Row],[JobSatisfaction]]=2,"Medium",Table1[[#This Row],[JobSatisfaction]]=3,"High",Table1[[#This Row],[JobSatisfaction]]=4,"Very High")</f>
        <v>Medium</v>
      </c>
      <c r="H945" s="5">
        <v>4</v>
      </c>
      <c r="I945" t="str" cm="1">
        <f t="array" ref="I945">_xlfn.IFS(H945=1,"low",H945=2,"medium",H945=3,"balanced",H945=4,"Good")</f>
        <v>Good</v>
      </c>
    </row>
    <row r="946" spans="1:9" x14ac:dyDescent="0.3">
      <c r="A946" s="14">
        <v>1</v>
      </c>
      <c r="B946" t="str" cm="1">
        <f t="array" ref="B946">_xlfn.IFS(Datasets!Q946=1,"LoW",Table1[[#This Row],[JobSatisfaction]]=2,"Medium",Table1[[#This Row],[JobSatisfaction]]=3,"High",Table1[[#This Row],[JobSatisfaction]]=4,"Very High")</f>
        <v>LoW</v>
      </c>
      <c r="H946" s="5">
        <v>4</v>
      </c>
      <c r="I946" t="str" cm="1">
        <f t="array" ref="I946">_xlfn.IFS(H946=1,"low",H946=2,"medium",H946=3,"balanced",H946=4,"Good")</f>
        <v>Good</v>
      </c>
    </row>
    <row r="947" spans="1:9" x14ac:dyDescent="0.3">
      <c r="A947" s="13">
        <v>4</v>
      </c>
      <c r="B947" t="str" cm="1">
        <f t="array" ref="B947">_xlfn.IFS(Datasets!Q947=1,"LoW",Table1[[#This Row],[JobSatisfaction]]=2,"Medium",Table1[[#This Row],[JobSatisfaction]]=3,"High",Table1[[#This Row],[JobSatisfaction]]=4,"Very High")</f>
        <v>Very High</v>
      </c>
      <c r="H947" s="5">
        <v>3</v>
      </c>
      <c r="I947" t="str" cm="1">
        <f t="array" ref="I947">_xlfn.IFS(H947=1,"low",H947=2,"medium",H947=3,"balanced",H947=4,"Good")</f>
        <v>balanced</v>
      </c>
    </row>
    <row r="948" spans="1:9" x14ac:dyDescent="0.3">
      <c r="A948" s="14">
        <v>1</v>
      </c>
      <c r="B948" t="str" cm="1">
        <f t="array" ref="B948">_xlfn.IFS(Datasets!Q948=1,"LoW",Table1[[#This Row],[JobSatisfaction]]=2,"Medium",Table1[[#This Row],[JobSatisfaction]]=3,"High",Table1[[#This Row],[JobSatisfaction]]=4,"Very High")</f>
        <v>LoW</v>
      </c>
      <c r="H948" s="5">
        <v>2</v>
      </c>
      <c r="I948" t="str" cm="1">
        <f t="array" ref="I948">_xlfn.IFS(H948=1,"low",H948=2,"medium",H948=3,"balanced",H948=4,"Good")</f>
        <v>medium</v>
      </c>
    </row>
    <row r="949" spans="1:9" x14ac:dyDescent="0.3">
      <c r="A949" s="13">
        <v>3</v>
      </c>
      <c r="B949" t="str" cm="1">
        <f t="array" ref="B949">_xlfn.IFS(Datasets!Q949=1,"LoW",Table1[[#This Row],[JobSatisfaction]]=2,"Medium",Table1[[#This Row],[JobSatisfaction]]=3,"High",Table1[[#This Row],[JobSatisfaction]]=4,"Very High")</f>
        <v>High</v>
      </c>
      <c r="H949" s="5">
        <v>4</v>
      </c>
      <c r="I949" t="str" cm="1">
        <f t="array" ref="I949">_xlfn.IFS(H949=1,"low",H949=2,"medium",H949=3,"balanced",H949=4,"Good")</f>
        <v>Good</v>
      </c>
    </row>
    <row r="950" spans="1:9" x14ac:dyDescent="0.3">
      <c r="A950" s="14">
        <v>3</v>
      </c>
      <c r="B950" t="str" cm="1">
        <f t="array" ref="B950">_xlfn.IFS(Datasets!Q950=1,"LoW",Table1[[#This Row],[JobSatisfaction]]=2,"Medium",Table1[[#This Row],[JobSatisfaction]]=3,"High",Table1[[#This Row],[JobSatisfaction]]=4,"Very High")</f>
        <v>High</v>
      </c>
      <c r="H950" s="5">
        <v>2</v>
      </c>
      <c r="I950" t="str" cm="1">
        <f t="array" ref="I950">_xlfn.IFS(H950=1,"low",H950=2,"medium",H950=3,"balanced",H950=4,"Good")</f>
        <v>medium</v>
      </c>
    </row>
    <row r="951" spans="1:9" x14ac:dyDescent="0.3">
      <c r="A951" s="13">
        <v>4</v>
      </c>
      <c r="B951" t="str" cm="1">
        <f t="array" ref="B951">_xlfn.IFS(Datasets!Q951=1,"LoW",Table1[[#This Row],[JobSatisfaction]]=2,"Medium",Table1[[#This Row],[JobSatisfaction]]=3,"High",Table1[[#This Row],[JobSatisfaction]]=4,"Very High")</f>
        <v>Very High</v>
      </c>
      <c r="H951" s="5">
        <v>2</v>
      </c>
      <c r="I951" t="str" cm="1">
        <f t="array" ref="I951">_xlfn.IFS(H951=1,"low",H951=2,"medium",H951=3,"balanced",H951=4,"Good")</f>
        <v>medium</v>
      </c>
    </row>
    <row r="952" spans="1:9" x14ac:dyDescent="0.3">
      <c r="A952" s="14">
        <v>3</v>
      </c>
      <c r="B952" t="str" cm="1">
        <f t="array" ref="B952">_xlfn.IFS(Datasets!Q952=1,"LoW",Table1[[#This Row],[JobSatisfaction]]=2,"Medium",Table1[[#This Row],[JobSatisfaction]]=3,"High",Table1[[#This Row],[JobSatisfaction]]=4,"Very High")</f>
        <v>High</v>
      </c>
      <c r="H952" s="5">
        <v>4</v>
      </c>
      <c r="I952" t="str" cm="1">
        <f t="array" ref="I952">_xlfn.IFS(H952=1,"low",H952=2,"medium",H952=3,"balanced",H952=4,"Good")</f>
        <v>Good</v>
      </c>
    </row>
    <row r="953" spans="1:9" x14ac:dyDescent="0.3">
      <c r="A953" s="13">
        <v>3</v>
      </c>
      <c r="B953" t="str" cm="1">
        <f t="array" ref="B953">_xlfn.IFS(Datasets!Q953=1,"LoW",Table1[[#This Row],[JobSatisfaction]]=2,"Medium",Table1[[#This Row],[JobSatisfaction]]=3,"High",Table1[[#This Row],[JobSatisfaction]]=4,"Very High")</f>
        <v>High</v>
      </c>
      <c r="H953" s="5">
        <v>3</v>
      </c>
      <c r="I953" t="str" cm="1">
        <f t="array" ref="I953">_xlfn.IFS(H953=1,"low",H953=2,"medium",H953=3,"balanced",H953=4,"Good")</f>
        <v>balanced</v>
      </c>
    </row>
    <row r="954" spans="1:9" x14ac:dyDescent="0.3">
      <c r="A954" s="14">
        <v>4</v>
      </c>
      <c r="B954" t="str" cm="1">
        <f t="array" ref="B954">_xlfn.IFS(Datasets!Q954=1,"LoW",Table1[[#This Row],[JobSatisfaction]]=2,"Medium",Table1[[#This Row],[JobSatisfaction]]=3,"High",Table1[[#This Row],[JobSatisfaction]]=4,"Very High")</f>
        <v>Very High</v>
      </c>
      <c r="H954" s="5">
        <v>1</v>
      </c>
      <c r="I954" t="str" cm="1">
        <f t="array" ref="I954">_xlfn.IFS(H954=1,"low",H954=2,"medium",H954=3,"balanced",H954=4,"Good")</f>
        <v>low</v>
      </c>
    </row>
    <row r="955" spans="1:9" x14ac:dyDescent="0.3">
      <c r="A955" s="13">
        <v>4</v>
      </c>
      <c r="B955" t="str" cm="1">
        <f t="array" ref="B955">_xlfn.IFS(Datasets!Q955=1,"LoW",Table1[[#This Row],[JobSatisfaction]]=2,"Medium",Table1[[#This Row],[JobSatisfaction]]=3,"High",Table1[[#This Row],[JobSatisfaction]]=4,"Very High")</f>
        <v>Very High</v>
      </c>
      <c r="H955" s="5">
        <v>2</v>
      </c>
      <c r="I955" t="str" cm="1">
        <f t="array" ref="I955">_xlfn.IFS(H955=1,"low",H955=2,"medium",H955=3,"balanced",H955=4,"Good")</f>
        <v>medium</v>
      </c>
    </row>
    <row r="956" spans="1:9" x14ac:dyDescent="0.3">
      <c r="A956" s="14">
        <v>3</v>
      </c>
      <c r="B956" t="str" cm="1">
        <f t="array" ref="B956">_xlfn.IFS(Datasets!Q956=1,"LoW",Table1[[#This Row],[JobSatisfaction]]=2,"Medium",Table1[[#This Row],[JobSatisfaction]]=3,"High",Table1[[#This Row],[JobSatisfaction]]=4,"Very High")</f>
        <v>High</v>
      </c>
      <c r="H956" s="5">
        <v>3</v>
      </c>
      <c r="I956" t="str" cm="1">
        <f t="array" ref="I956">_xlfn.IFS(H956=1,"low",H956=2,"medium",H956=3,"balanced",H956=4,"Good")</f>
        <v>balanced</v>
      </c>
    </row>
    <row r="957" spans="1:9" x14ac:dyDescent="0.3">
      <c r="A957" s="13">
        <v>2</v>
      </c>
      <c r="B957" t="str" cm="1">
        <f t="array" ref="B957">_xlfn.IFS(Datasets!Q957=1,"LoW",Table1[[#This Row],[JobSatisfaction]]=2,"Medium",Table1[[#This Row],[JobSatisfaction]]=3,"High",Table1[[#This Row],[JobSatisfaction]]=4,"Very High")</f>
        <v>Medium</v>
      </c>
      <c r="H957" s="5">
        <v>3</v>
      </c>
      <c r="I957" t="str" cm="1">
        <f t="array" ref="I957">_xlfn.IFS(H957=1,"low",H957=2,"medium",H957=3,"balanced",H957=4,"Good")</f>
        <v>balanced</v>
      </c>
    </row>
    <row r="958" spans="1:9" x14ac:dyDescent="0.3">
      <c r="A958" s="14">
        <v>3</v>
      </c>
      <c r="B958" t="str" cm="1">
        <f t="array" ref="B958">_xlfn.IFS(Datasets!Q958=1,"LoW",Table1[[#This Row],[JobSatisfaction]]=2,"Medium",Table1[[#This Row],[JobSatisfaction]]=3,"High",Table1[[#This Row],[JobSatisfaction]]=4,"Very High")</f>
        <v>High</v>
      </c>
      <c r="H958" s="5">
        <v>3</v>
      </c>
      <c r="I958" t="str" cm="1">
        <f t="array" ref="I958">_xlfn.IFS(H958=1,"low",H958=2,"medium",H958=3,"balanced",H958=4,"Good")</f>
        <v>balanced</v>
      </c>
    </row>
    <row r="959" spans="1:9" x14ac:dyDescent="0.3">
      <c r="A959" s="13">
        <v>3</v>
      </c>
      <c r="B959" t="str" cm="1">
        <f t="array" ref="B959">_xlfn.IFS(Datasets!Q959=1,"LoW",Table1[[#This Row],[JobSatisfaction]]=2,"Medium",Table1[[#This Row],[JobSatisfaction]]=3,"High",Table1[[#This Row],[JobSatisfaction]]=4,"Very High")</f>
        <v>High</v>
      </c>
      <c r="H959" s="5">
        <v>3</v>
      </c>
      <c r="I959" t="str" cm="1">
        <f t="array" ref="I959">_xlfn.IFS(H959=1,"low",H959=2,"medium",H959=3,"balanced",H959=4,"Good")</f>
        <v>balanced</v>
      </c>
    </row>
    <row r="960" spans="1:9" x14ac:dyDescent="0.3">
      <c r="A960" s="14">
        <v>3</v>
      </c>
      <c r="B960" t="str" cm="1">
        <f t="array" ref="B960">_xlfn.IFS(Datasets!Q960=1,"LoW",Table1[[#This Row],[JobSatisfaction]]=2,"Medium",Table1[[#This Row],[JobSatisfaction]]=3,"High",Table1[[#This Row],[JobSatisfaction]]=4,"Very High")</f>
        <v>High</v>
      </c>
      <c r="H960" s="5">
        <v>3</v>
      </c>
      <c r="I960" t="str" cm="1">
        <f t="array" ref="I960">_xlfn.IFS(H960=1,"low",H960=2,"medium",H960=3,"balanced",H960=4,"Good")</f>
        <v>balanced</v>
      </c>
    </row>
    <row r="961" spans="1:9" x14ac:dyDescent="0.3">
      <c r="A961" s="13">
        <v>2</v>
      </c>
      <c r="B961" t="str" cm="1">
        <f t="array" ref="B961">_xlfn.IFS(Datasets!Q961=1,"LoW",Table1[[#This Row],[JobSatisfaction]]=2,"Medium",Table1[[#This Row],[JobSatisfaction]]=3,"High",Table1[[#This Row],[JobSatisfaction]]=4,"Very High")</f>
        <v>Medium</v>
      </c>
      <c r="H961" s="5">
        <v>3</v>
      </c>
      <c r="I961" t="str" cm="1">
        <f t="array" ref="I961">_xlfn.IFS(H961=1,"low",H961=2,"medium",H961=3,"balanced",H961=4,"Good")</f>
        <v>balanced</v>
      </c>
    </row>
    <row r="962" spans="1:9" x14ac:dyDescent="0.3">
      <c r="A962" s="14">
        <v>3</v>
      </c>
      <c r="B962" t="str" cm="1">
        <f t="array" ref="B962">_xlfn.IFS(Datasets!Q962=1,"LoW",Table1[[#This Row],[JobSatisfaction]]=2,"Medium",Table1[[#This Row],[JobSatisfaction]]=3,"High",Table1[[#This Row],[JobSatisfaction]]=4,"Very High")</f>
        <v>High</v>
      </c>
      <c r="H962" s="5">
        <v>3</v>
      </c>
      <c r="I962" t="str" cm="1">
        <f t="array" ref="I962">_xlfn.IFS(H962=1,"low",H962=2,"medium",H962=3,"balanced",H962=4,"Good")</f>
        <v>balanced</v>
      </c>
    </row>
    <row r="963" spans="1:9" x14ac:dyDescent="0.3">
      <c r="A963" s="13">
        <v>2</v>
      </c>
      <c r="B963" t="str" cm="1">
        <f t="array" ref="B963">_xlfn.IFS(Datasets!Q963=1,"LoW",Table1[[#This Row],[JobSatisfaction]]=2,"Medium",Table1[[#This Row],[JobSatisfaction]]=3,"High",Table1[[#This Row],[JobSatisfaction]]=4,"Very High")</f>
        <v>Medium</v>
      </c>
      <c r="H963" s="5">
        <v>1</v>
      </c>
      <c r="I963" t="str" cm="1">
        <f t="array" ref="I963">_xlfn.IFS(H963=1,"low",H963=2,"medium",H963=3,"balanced",H963=4,"Good")</f>
        <v>low</v>
      </c>
    </row>
    <row r="964" spans="1:9" x14ac:dyDescent="0.3">
      <c r="A964" s="14">
        <v>1</v>
      </c>
      <c r="B964" t="str" cm="1">
        <f t="array" ref="B964">_xlfn.IFS(Datasets!Q964=1,"LoW",Table1[[#This Row],[JobSatisfaction]]=2,"Medium",Table1[[#This Row],[JobSatisfaction]]=3,"High",Table1[[#This Row],[JobSatisfaction]]=4,"Very High")</f>
        <v>LoW</v>
      </c>
      <c r="H964" s="5">
        <v>1</v>
      </c>
      <c r="I964" t="str" cm="1">
        <f t="array" ref="I964">_xlfn.IFS(H964=1,"low",H964=2,"medium",H964=3,"balanced",H964=4,"Good")</f>
        <v>low</v>
      </c>
    </row>
    <row r="965" spans="1:9" x14ac:dyDescent="0.3">
      <c r="A965" s="13">
        <v>2</v>
      </c>
      <c r="B965" t="str" cm="1">
        <f t="array" ref="B965">_xlfn.IFS(Datasets!Q965=1,"LoW",Table1[[#This Row],[JobSatisfaction]]=2,"Medium",Table1[[#This Row],[JobSatisfaction]]=3,"High",Table1[[#This Row],[JobSatisfaction]]=4,"Very High")</f>
        <v>Medium</v>
      </c>
      <c r="H965" s="5">
        <v>1</v>
      </c>
      <c r="I965" t="str" cm="1">
        <f t="array" ref="I965">_xlfn.IFS(H965=1,"low",H965=2,"medium",H965=3,"balanced",H965=4,"Good")</f>
        <v>low</v>
      </c>
    </row>
    <row r="966" spans="1:9" x14ac:dyDescent="0.3">
      <c r="A966" s="14">
        <v>3</v>
      </c>
      <c r="B966" t="str" cm="1">
        <f t="array" ref="B966">_xlfn.IFS(Datasets!Q966=1,"LoW",Table1[[#This Row],[JobSatisfaction]]=2,"Medium",Table1[[#This Row],[JobSatisfaction]]=3,"High",Table1[[#This Row],[JobSatisfaction]]=4,"Very High")</f>
        <v>High</v>
      </c>
      <c r="H966" s="5">
        <v>3</v>
      </c>
      <c r="I966" t="str" cm="1">
        <f t="array" ref="I966">_xlfn.IFS(H966=1,"low",H966=2,"medium",H966=3,"balanced",H966=4,"Good")</f>
        <v>balanced</v>
      </c>
    </row>
    <row r="967" spans="1:9" x14ac:dyDescent="0.3">
      <c r="A967" s="13">
        <v>1</v>
      </c>
      <c r="B967" t="str" cm="1">
        <f t="array" ref="B967">_xlfn.IFS(Datasets!Q967=1,"LoW",Table1[[#This Row],[JobSatisfaction]]=2,"Medium",Table1[[#This Row],[JobSatisfaction]]=3,"High",Table1[[#This Row],[JobSatisfaction]]=4,"Very High")</f>
        <v>LoW</v>
      </c>
      <c r="H967" s="5">
        <v>3</v>
      </c>
      <c r="I967" t="str" cm="1">
        <f t="array" ref="I967">_xlfn.IFS(H967=1,"low",H967=2,"medium",H967=3,"balanced",H967=4,"Good")</f>
        <v>balanced</v>
      </c>
    </row>
    <row r="968" spans="1:9" x14ac:dyDescent="0.3">
      <c r="A968" s="14">
        <v>2</v>
      </c>
      <c r="B968" t="str" cm="1">
        <f t="array" ref="B968">_xlfn.IFS(Datasets!Q968=1,"LoW",Table1[[#This Row],[JobSatisfaction]]=2,"Medium",Table1[[#This Row],[JobSatisfaction]]=3,"High",Table1[[#This Row],[JobSatisfaction]]=4,"Very High")</f>
        <v>Medium</v>
      </c>
      <c r="H968" s="5">
        <v>3</v>
      </c>
      <c r="I968" t="str" cm="1">
        <f t="array" ref="I968">_xlfn.IFS(H968=1,"low",H968=2,"medium",H968=3,"balanced",H968=4,"Good")</f>
        <v>balanced</v>
      </c>
    </row>
    <row r="969" spans="1:9" x14ac:dyDescent="0.3">
      <c r="A969" s="13">
        <v>3</v>
      </c>
      <c r="B969" t="str" cm="1">
        <f t="array" ref="B969">_xlfn.IFS(Datasets!Q969=1,"LoW",Table1[[#This Row],[JobSatisfaction]]=2,"Medium",Table1[[#This Row],[JobSatisfaction]]=3,"High",Table1[[#This Row],[JobSatisfaction]]=4,"Very High")</f>
        <v>High</v>
      </c>
      <c r="H969" s="5">
        <v>3</v>
      </c>
      <c r="I969" t="str" cm="1">
        <f t="array" ref="I969">_xlfn.IFS(H969=1,"low",H969=2,"medium",H969=3,"balanced",H969=4,"Good")</f>
        <v>balanced</v>
      </c>
    </row>
    <row r="970" spans="1:9" x14ac:dyDescent="0.3">
      <c r="A970" s="14">
        <v>3</v>
      </c>
      <c r="B970" t="str" cm="1">
        <f t="array" ref="B970">_xlfn.IFS(Datasets!Q970=1,"LoW",Table1[[#This Row],[JobSatisfaction]]=2,"Medium",Table1[[#This Row],[JobSatisfaction]]=3,"High",Table1[[#This Row],[JobSatisfaction]]=4,"Very High")</f>
        <v>High</v>
      </c>
      <c r="H970" s="5">
        <v>3</v>
      </c>
      <c r="I970" t="str" cm="1">
        <f t="array" ref="I970">_xlfn.IFS(H970=1,"low",H970=2,"medium",H970=3,"balanced",H970=4,"Good")</f>
        <v>balanced</v>
      </c>
    </row>
    <row r="971" spans="1:9" x14ac:dyDescent="0.3">
      <c r="A971" s="13">
        <v>2</v>
      </c>
      <c r="B971" t="str" cm="1">
        <f t="array" ref="B971">_xlfn.IFS(Datasets!Q971=1,"LoW",Table1[[#This Row],[JobSatisfaction]]=2,"Medium",Table1[[#This Row],[JobSatisfaction]]=3,"High",Table1[[#This Row],[JobSatisfaction]]=4,"Very High")</f>
        <v>Medium</v>
      </c>
      <c r="H971" s="5">
        <v>2</v>
      </c>
      <c r="I971" t="str" cm="1">
        <f t="array" ref="I971">_xlfn.IFS(H971=1,"low",H971=2,"medium",H971=3,"balanced",H971=4,"Good")</f>
        <v>medium</v>
      </c>
    </row>
    <row r="972" spans="1:9" x14ac:dyDescent="0.3">
      <c r="A972" s="14">
        <v>4</v>
      </c>
      <c r="B972" t="str" cm="1">
        <f t="array" ref="B972">_xlfn.IFS(Datasets!Q972=1,"LoW",Table1[[#This Row],[JobSatisfaction]]=2,"Medium",Table1[[#This Row],[JobSatisfaction]]=3,"High",Table1[[#This Row],[JobSatisfaction]]=4,"Very High")</f>
        <v>Very High</v>
      </c>
      <c r="H972" s="5">
        <v>4</v>
      </c>
      <c r="I972" t="str" cm="1">
        <f t="array" ref="I972">_xlfn.IFS(H972=1,"low",H972=2,"medium",H972=3,"balanced",H972=4,"Good")</f>
        <v>Good</v>
      </c>
    </row>
    <row r="973" spans="1:9" x14ac:dyDescent="0.3">
      <c r="A973" s="13">
        <v>4</v>
      </c>
      <c r="B973" t="str" cm="1">
        <f t="array" ref="B973">_xlfn.IFS(Datasets!Q973=1,"LoW",Table1[[#This Row],[JobSatisfaction]]=2,"Medium",Table1[[#This Row],[JobSatisfaction]]=3,"High",Table1[[#This Row],[JobSatisfaction]]=4,"Very High")</f>
        <v>Very High</v>
      </c>
      <c r="H973" s="5">
        <v>3</v>
      </c>
      <c r="I973" t="str" cm="1">
        <f t="array" ref="I973">_xlfn.IFS(H973=1,"low",H973=2,"medium",H973=3,"balanced",H973=4,"Good")</f>
        <v>balanced</v>
      </c>
    </row>
    <row r="974" spans="1:9" x14ac:dyDescent="0.3">
      <c r="A974" s="14">
        <v>4</v>
      </c>
      <c r="B974" t="str" cm="1">
        <f t="array" ref="B974">_xlfn.IFS(Datasets!Q974=1,"LoW",Table1[[#This Row],[JobSatisfaction]]=2,"Medium",Table1[[#This Row],[JobSatisfaction]]=3,"High",Table1[[#This Row],[JobSatisfaction]]=4,"Very High")</f>
        <v>Very High</v>
      </c>
      <c r="H974" s="5">
        <v>2</v>
      </c>
      <c r="I974" t="str" cm="1">
        <f t="array" ref="I974">_xlfn.IFS(H974=1,"low",H974=2,"medium",H974=3,"balanced",H974=4,"Good")</f>
        <v>medium</v>
      </c>
    </row>
    <row r="975" spans="1:9" x14ac:dyDescent="0.3">
      <c r="A975" s="13">
        <v>2</v>
      </c>
      <c r="B975" t="str" cm="1">
        <f t="array" ref="B975">_xlfn.IFS(Datasets!Q975=1,"LoW",Table1[[#This Row],[JobSatisfaction]]=2,"Medium",Table1[[#This Row],[JobSatisfaction]]=3,"High",Table1[[#This Row],[JobSatisfaction]]=4,"Very High")</f>
        <v>Medium</v>
      </c>
      <c r="H975" s="5">
        <v>3</v>
      </c>
      <c r="I975" t="str" cm="1">
        <f t="array" ref="I975">_xlfn.IFS(H975=1,"low",H975=2,"medium",H975=3,"balanced",H975=4,"Good")</f>
        <v>balanced</v>
      </c>
    </row>
    <row r="976" spans="1:9" x14ac:dyDescent="0.3">
      <c r="A976" s="14">
        <v>1</v>
      </c>
      <c r="B976" t="str" cm="1">
        <f t="array" ref="B976">_xlfn.IFS(Datasets!Q976=1,"LoW",Table1[[#This Row],[JobSatisfaction]]=2,"Medium",Table1[[#This Row],[JobSatisfaction]]=3,"High",Table1[[#This Row],[JobSatisfaction]]=4,"Very High")</f>
        <v>LoW</v>
      </c>
      <c r="H976" s="5">
        <v>3</v>
      </c>
      <c r="I976" t="str" cm="1">
        <f t="array" ref="I976">_xlfn.IFS(H976=1,"low",H976=2,"medium",H976=3,"balanced",H976=4,"Good")</f>
        <v>balanced</v>
      </c>
    </row>
    <row r="977" spans="1:9" x14ac:dyDescent="0.3">
      <c r="A977" s="13">
        <v>3</v>
      </c>
      <c r="B977" t="str" cm="1">
        <f t="array" ref="B977">_xlfn.IFS(Datasets!Q977=1,"LoW",Table1[[#This Row],[JobSatisfaction]]=2,"Medium",Table1[[#This Row],[JobSatisfaction]]=3,"High",Table1[[#This Row],[JobSatisfaction]]=4,"Very High")</f>
        <v>High</v>
      </c>
      <c r="H977" s="5">
        <v>2</v>
      </c>
      <c r="I977" t="str" cm="1">
        <f t="array" ref="I977">_xlfn.IFS(H977=1,"low",H977=2,"medium",H977=3,"balanced",H977=4,"Good")</f>
        <v>medium</v>
      </c>
    </row>
    <row r="978" spans="1:9" x14ac:dyDescent="0.3">
      <c r="A978" s="14">
        <v>4</v>
      </c>
      <c r="B978" t="str" cm="1">
        <f t="array" ref="B978">_xlfn.IFS(Datasets!Q978=1,"LoW",Table1[[#This Row],[JobSatisfaction]]=2,"Medium",Table1[[#This Row],[JobSatisfaction]]=3,"High",Table1[[#This Row],[JobSatisfaction]]=4,"Very High")</f>
        <v>Very High</v>
      </c>
      <c r="H978" s="5">
        <v>4</v>
      </c>
      <c r="I978" t="str" cm="1">
        <f t="array" ref="I978">_xlfn.IFS(H978=1,"low",H978=2,"medium",H978=3,"balanced",H978=4,"Good")</f>
        <v>Good</v>
      </c>
    </row>
    <row r="979" spans="1:9" x14ac:dyDescent="0.3">
      <c r="A979" s="13">
        <v>4</v>
      </c>
      <c r="B979" t="str" cm="1">
        <f t="array" ref="B979">_xlfn.IFS(Datasets!Q979=1,"LoW",Table1[[#This Row],[JobSatisfaction]]=2,"Medium",Table1[[#This Row],[JobSatisfaction]]=3,"High",Table1[[#This Row],[JobSatisfaction]]=4,"Very High")</f>
        <v>Very High</v>
      </c>
      <c r="H979" s="5">
        <v>3</v>
      </c>
      <c r="I979" t="str" cm="1">
        <f t="array" ref="I979">_xlfn.IFS(H979=1,"low",H979=2,"medium",H979=3,"balanced",H979=4,"Good")</f>
        <v>balanced</v>
      </c>
    </row>
    <row r="980" spans="1:9" x14ac:dyDescent="0.3">
      <c r="A980" s="14">
        <v>1</v>
      </c>
      <c r="B980" t="str" cm="1">
        <f t="array" ref="B980">_xlfn.IFS(Datasets!Q980=1,"LoW",Table1[[#This Row],[JobSatisfaction]]=2,"Medium",Table1[[#This Row],[JobSatisfaction]]=3,"High",Table1[[#This Row],[JobSatisfaction]]=4,"Very High")</f>
        <v>LoW</v>
      </c>
      <c r="H980" s="5">
        <v>3</v>
      </c>
      <c r="I980" t="str" cm="1">
        <f t="array" ref="I980">_xlfn.IFS(H980=1,"low",H980=2,"medium",H980=3,"balanced",H980=4,"Good")</f>
        <v>balanced</v>
      </c>
    </row>
    <row r="981" spans="1:9" x14ac:dyDescent="0.3">
      <c r="A981" s="13">
        <v>2</v>
      </c>
      <c r="B981" t="str" cm="1">
        <f t="array" ref="B981">_xlfn.IFS(Datasets!Q981=1,"LoW",Table1[[#This Row],[JobSatisfaction]]=2,"Medium",Table1[[#This Row],[JobSatisfaction]]=3,"High",Table1[[#This Row],[JobSatisfaction]]=4,"Very High")</f>
        <v>Medium</v>
      </c>
      <c r="H981" s="5">
        <v>3</v>
      </c>
      <c r="I981" t="str" cm="1">
        <f t="array" ref="I981">_xlfn.IFS(H981=1,"low",H981=2,"medium",H981=3,"balanced",H981=4,"Good")</f>
        <v>balanced</v>
      </c>
    </row>
    <row r="982" spans="1:9" x14ac:dyDescent="0.3">
      <c r="A982" s="14">
        <v>3</v>
      </c>
      <c r="B982" t="str" cm="1">
        <f t="array" ref="B982">_xlfn.IFS(Datasets!Q982=1,"LoW",Table1[[#This Row],[JobSatisfaction]]=2,"Medium",Table1[[#This Row],[JobSatisfaction]]=3,"High",Table1[[#This Row],[JobSatisfaction]]=4,"Very High")</f>
        <v>High</v>
      </c>
      <c r="H982" s="5">
        <v>3</v>
      </c>
      <c r="I982" t="str" cm="1">
        <f t="array" ref="I982">_xlfn.IFS(H982=1,"low",H982=2,"medium",H982=3,"balanced",H982=4,"Good")</f>
        <v>balanced</v>
      </c>
    </row>
    <row r="983" spans="1:9" x14ac:dyDescent="0.3">
      <c r="A983" s="13">
        <v>2</v>
      </c>
      <c r="B983" t="str" cm="1">
        <f t="array" ref="B983">_xlfn.IFS(Datasets!Q983=1,"LoW",Table1[[#This Row],[JobSatisfaction]]=2,"Medium",Table1[[#This Row],[JobSatisfaction]]=3,"High",Table1[[#This Row],[JobSatisfaction]]=4,"Very High")</f>
        <v>Medium</v>
      </c>
      <c r="H983" s="5">
        <v>3</v>
      </c>
      <c r="I983" t="str" cm="1">
        <f t="array" ref="I983">_xlfn.IFS(H983=1,"low",H983=2,"medium",H983=3,"balanced",H983=4,"Good")</f>
        <v>balanced</v>
      </c>
    </row>
    <row r="984" spans="1:9" x14ac:dyDescent="0.3">
      <c r="A984" s="14">
        <v>1</v>
      </c>
      <c r="B984" t="str" cm="1">
        <f t="array" ref="B984">_xlfn.IFS(Datasets!Q984=1,"LoW",Table1[[#This Row],[JobSatisfaction]]=2,"Medium",Table1[[#This Row],[JobSatisfaction]]=3,"High",Table1[[#This Row],[JobSatisfaction]]=4,"Very High")</f>
        <v>LoW</v>
      </c>
      <c r="H984" s="5">
        <v>3</v>
      </c>
      <c r="I984" t="str" cm="1">
        <f t="array" ref="I984">_xlfn.IFS(H984=1,"low",H984=2,"medium",H984=3,"balanced",H984=4,"Good")</f>
        <v>balanced</v>
      </c>
    </row>
    <row r="985" spans="1:9" x14ac:dyDescent="0.3">
      <c r="A985" s="13">
        <v>2</v>
      </c>
      <c r="B985" t="str" cm="1">
        <f t="array" ref="B985">_xlfn.IFS(Datasets!Q985=1,"LoW",Table1[[#This Row],[JobSatisfaction]]=2,"Medium",Table1[[#This Row],[JobSatisfaction]]=3,"High",Table1[[#This Row],[JobSatisfaction]]=4,"Very High")</f>
        <v>Medium</v>
      </c>
      <c r="H985" s="5">
        <v>2</v>
      </c>
      <c r="I985" t="str" cm="1">
        <f t="array" ref="I985">_xlfn.IFS(H985=1,"low",H985=2,"medium",H985=3,"balanced",H985=4,"Good")</f>
        <v>medium</v>
      </c>
    </row>
    <row r="986" spans="1:9" x14ac:dyDescent="0.3">
      <c r="A986" s="14">
        <v>3</v>
      </c>
      <c r="B986" t="str" cm="1">
        <f t="array" ref="B986">_xlfn.IFS(Datasets!Q986=1,"LoW",Table1[[#This Row],[JobSatisfaction]]=2,"Medium",Table1[[#This Row],[JobSatisfaction]]=3,"High",Table1[[#This Row],[JobSatisfaction]]=4,"Very High")</f>
        <v>High</v>
      </c>
      <c r="H986" s="5">
        <v>3</v>
      </c>
      <c r="I986" t="str" cm="1">
        <f t="array" ref="I986">_xlfn.IFS(H986=1,"low",H986=2,"medium",H986=3,"balanced",H986=4,"Good")</f>
        <v>balanced</v>
      </c>
    </row>
    <row r="987" spans="1:9" x14ac:dyDescent="0.3">
      <c r="A987" s="13">
        <v>1</v>
      </c>
      <c r="B987" t="str" cm="1">
        <f t="array" ref="B987">_xlfn.IFS(Datasets!Q987=1,"LoW",Table1[[#This Row],[JobSatisfaction]]=2,"Medium",Table1[[#This Row],[JobSatisfaction]]=3,"High",Table1[[#This Row],[JobSatisfaction]]=4,"Very High")</f>
        <v>LoW</v>
      </c>
      <c r="H987" s="5">
        <v>2</v>
      </c>
      <c r="I987" t="str" cm="1">
        <f t="array" ref="I987">_xlfn.IFS(H987=1,"low",H987=2,"medium",H987=3,"balanced",H987=4,"Good")</f>
        <v>medium</v>
      </c>
    </row>
    <row r="988" spans="1:9" x14ac:dyDescent="0.3">
      <c r="A988" s="14">
        <v>3</v>
      </c>
      <c r="B988" t="str" cm="1">
        <f t="array" ref="B988">_xlfn.IFS(Datasets!Q988=1,"LoW",Table1[[#This Row],[JobSatisfaction]]=2,"Medium",Table1[[#This Row],[JobSatisfaction]]=3,"High",Table1[[#This Row],[JobSatisfaction]]=4,"Very High")</f>
        <v>High</v>
      </c>
      <c r="H988" s="5">
        <v>3</v>
      </c>
      <c r="I988" t="str" cm="1">
        <f t="array" ref="I988">_xlfn.IFS(H988=1,"low",H988=2,"medium",H988=3,"balanced",H988=4,"Good")</f>
        <v>balanced</v>
      </c>
    </row>
    <row r="989" spans="1:9" x14ac:dyDescent="0.3">
      <c r="A989" s="13">
        <v>3</v>
      </c>
      <c r="B989" t="str" cm="1">
        <f t="array" ref="B989">_xlfn.IFS(Datasets!Q989=1,"LoW",Table1[[#This Row],[JobSatisfaction]]=2,"Medium",Table1[[#This Row],[JobSatisfaction]]=3,"High",Table1[[#This Row],[JobSatisfaction]]=4,"Very High")</f>
        <v>High</v>
      </c>
      <c r="H989" s="5">
        <v>3</v>
      </c>
      <c r="I989" t="str" cm="1">
        <f t="array" ref="I989">_xlfn.IFS(H989=1,"low",H989=2,"medium",H989=3,"balanced",H989=4,"Good")</f>
        <v>balanced</v>
      </c>
    </row>
    <row r="990" spans="1:9" x14ac:dyDescent="0.3">
      <c r="A990" s="14">
        <v>4</v>
      </c>
      <c r="B990" t="str" cm="1">
        <f t="array" ref="B990">_xlfn.IFS(Datasets!Q990=1,"LoW",Table1[[#This Row],[JobSatisfaction]]=2,"Medium",Table1[[#This Row],[JobSatisfaction]]=3,"High",Table1[[#This Row],[JobSatisfaction]]=4,"Very High")</f>
        <v>Very High</v>
      </c>
      <c r="H990" s="5">
        <v>4</v>
      </c>
      <c r="I990" t="str" cm="1">
        <f t="array" ref="I990">_xlfn.IFS(H990=1,"low",H990=2,"medium",H990=3,"balanced",H990=4,"Good")</f>
        <v>Good</v>
      </c>
    </row>
    <row r="991" spans="1:9" x14ac:dyDescent="0.3">
      <c r="A991" s="13">
        <v>4</v>
      </c>
      <c r="B991" t="str" cm="1">
        <f t="array" ref="B991">_xlfn.IFS(Datasets!Q991=1,"LoW",Table1[[#This Row],[JobSatisfaction]]=2,"Medium",Table1[[#This Row],[JobSatisfaction]]=3,"High",Table1[[#This Row],[JobSatisfaction]]=4,"Very High")</f>
        <v>Very High</v>
      </c>
      <c r="H991" s="5">
        <v>3</v>
      </c>
      <c r="I991" t="str" cm="1">
        <f t="array" ref="I991">_xlfn.IFS(H991=1,"low",H991=2,"medium",H991=3,"balanced",H991=4,"Good")</f>
        <v>balanced</v>
      </c>
    </row>
    <row r="992" spans="1:9" x14ac:dyDescent="0.3">
      <c r="A992" s="14">
        <v>4</v>
      </c>
      <c r="B992" t="str" cm="1">
        <f t="array" ref="B992">_xlfn.IFS(Datasets!Q992=1,"LoW",Table1[[#This Row],[JobSatisfaction]]=2,"Medium",Table1[[#This Row],[JobSatisfaction]]=3,"High",Table1[[#This Row],[JobSatisfaction]]=4,"Very High")</f>
        <v>Very High</v>
      </c>
      <c r="H992" s="5">
        <v>2</v>
      </c>
      <c r="I992" t="str" cm="1">
        <f t="array" ref="I992">_xlfn.IFS(H992=1,"low",H992=2,"medium",H992=3,"balanced",H992=4,"Good")</f>
        <v>medium</v>
      </c>
    </row>
    <row r="993" spans="1:9" x14ac:dyDescent="0.3">
      <c r="A993" s="13">
        <v>4</v>
      </c>
      <c r="B993" t="str" cm="1">
        <f t="array" ref="B993">_xlfn.IFS(Datasets!Q993=1,"LoW",Table1[[#This Row],[JobSatisfaction]]=2,"Medium",Table1[[#This Row],[JobSatisfaction]]=3,"High",Table1[[#This Row],[JobSatisfaction]]=4,"Very High")</f>
        <v>Very High</v>
      </c>
      <c r="H993" s="5">
        <v>3</v>
      </c>
      <c r="I993" t="str" cm="1">
        <f t="array" ref="I993">_xlfn.IFS(H993=1,"low",H993=2,"medium",H993=3,"balanced",H993=4,"Good")</f>
        <v>balanced</v>
      </c>
    </row>
    <row r="994" spans="1:9" x14ac:dyDescent="0.3">
      <c r="A994" s="14">
        <v>3</v>
      </c>
      <c r="B994" t="str" cm="1">
        <f t="array" ref="B994">_xlfn.IFS(Datasets!Q994=1,"LoW",Table1[[#This Row],[JobSatisfaction]]=2,"Medium",Table1[[#This Row],[JobSatisfaction]]=3,"High",Table1[[#This Row],[JobSatisfaction]]=4,"Very High")</f>
        <v>High</v>
      </c>
      <c r="H994" s="5">
        <v>3</v>
      </c>
      <c r="I994" t="str" cm="1">
        <f t="array" ref="I994">_xlfn.IFS(H994=1,"low",H994=2,"medium",H994=3,"balanced",H994=4,"Good")</f>
        <v>balanced</v>
      </c>
    </row>
    <row r="995" spans="1:9" x14ac:dyDescent="0.3">
      <c r="A995" s="13">
        <v>2</v>
      </c>
      <c r="B995" t="str" cm="1">
        <f t="array" ref="B995">_xlfn.IFS(Datasets!Q995=1,"LoW",Table1[[#This Row],[JobSatisfaction]]=2,"Medium",Table1[[#This Row],[JobSatisfaction]]=3,"High",Table1[[#This Row],[JobSatisfaction]]=4,"Very High")</f>
        <v>Medium</v>
      </c>
      <c r="H995" s="5">
        <v>3</v>
      </c>
      <c r="I995" t="str" cm="1">
        <f t="array" ref="I995">_xlfn.IFS(H995=1,"low",H995=2,"medium",H995=3,"balanced",H995=4,"Good")</f>
        <v>balanced</v>
      </c>
    </row>
    <row r="996" spans="1:9" x14ac:dyDescent="0.3">
      <c r="A996" s="14">
        <v>4</v>
      </c>
      <c r="B996" t="str" cm="1">
        <f t="array" ref="B996">_xlfn.IFS(Datasets!Q996=1,"LoW",Table1[[#This Row],[JobSatisfaction]]=2,"Medium",Table1[[#This Row],[JobSatisfaction]]=3,"High",Table1[[#This Row],[JobSatisfaction]]=4,"Very High")</f>
        <v>Very High</v>
      </c>
      <c r="H996" s="5">
        <v>3</v>
      </c>
      <c r="I996" t="str" cm="1">
        <f t="array" ref="I996">_xlfn.IFS(H996=1,"low",H996=2,"medium",H996=3,"balanced",H996=4,"Good")</f>
        <v>balanced</v>
      </c>
    </row>
    <row r="997" spans="1:9" x14ac:dyDescent="0.3">
      <c r="A997" s="13">
        <v>3</v>
      </c>
      <c r="B997" t="str" cm="1">
        <f t="array" ref="B997">_xlfn.IFS(Datasets!Q997=1,"LoW",Table1[[#This Row],[JobSatisfaction]]=2,"Medium",Table1[[#This Row],[JobSatisfaction]]=3,"High",Table1[[#This Row],[JobSatisfaction]]=4,"Very High")</f>
        <v>High</v>
      </c>
      <c r="H997" s="5">
        <v>2</v>
      </c>
      <c r="I997" t="str" cm="1">
        <f t="array" ref="I997">_xlfn.IFS(H997=1,"low",H997=2,"medium",H997=3,"balanced",H997=4,"Good")</f>
        <v>medium</v>
      </c>
    </row>
    <row r="998" spans="1:9" x14ac:dyDescent="0.3">
      <c r="A998" s="14">
        <v>4</v>
      </c>
      <c r="B998" t="str" cm="1">
        <f t="array" ref="B998">_xlfn.IFS(Datasets!Q998=1,"LoW",Table1[[#This Row],[JobSatisfaction]]=2,"Medium",Table1[[#This Row],[JobSatisfaction]]=3,"High",Table1[[#This Row],[JobSatisfaction]]=4,"Very High")</f>
        <v>Very High</v>
      </c>
      <c r="H998" s="5">
        <v>2</v>
      </c>
      <c r="I998" t="str" cm="1">
        <f t="array" ref="I998">_xlfn.IFS(H998=1,"low",H998=2,"medium",H998=3,"balanced",H998=4,"Good")</f>
        <v>medium</v>
      </c>
    </row>
    <row r="999" spans="1:9" x14ac:dyDescent="0.3">
      <c r="A999" s="13">
        <v>4</v>
      </c>
      <c r="B999" t="str" cm="1">
        <f t="array" ref="B999">_xlfn.IFS(Datasets!Q999=1,"LoW",Table1[[#This Row],[JobSatisfaction]]=2,"Medium",Table1[[#This Row],[JobSatisfaction]]=3,"High",Table1[[#This Row],[JobSatisfaction]]=4,"Very High")</f>
        <v>Very High</v>
      </c>
      <c r="H999" s="5">
        <v>3</v>
      </c>
      <c r="I999" t="str" cm="1">
        <f t="array" ref="I999">_xlfn.IFS(H999=1,"low",H999=2,"medium",H999=3,"balanced",H999=4,"Good")</f>
        <v>balanced</v>
      </c>
    </row>
    <row r="1000" spans="1:9" x14ac:dyDescent="0.3">
      <c r="A1000" s="14">
        <v>4</v>
      </c>
      <c r="B1000" t="str" cm="1">
        <f t="array" ref="B1000">_xlfn.IFS(Datasets!Q1000=1,"LoW",Table1[[#This Row],[JobSatisfaction]]=2,"Medium",Table1[[#This Row],[JobSatisfaction]]=3,"High",Table1[[#This Row],[JobSatisfaction]]=4,"Very High")</f>
        <v>Very High</v>
      </c>
      <c r="H1000" s="5">
        <v>3</v>
      </c>
      <c r="I1000" t="str" cm="1">
        <f t="array" ref="I1000">_xlfn.IFS(H1000=1,"low",H1000=2,"medium",H1000=3,"balanced",H1000=4,"Good")</f>
        <v>balanced</v>
      </c>
    </row>
    <row r="1001" spans="1:9" x14ac:dyDescent="0.3">
      <c r="A1001" s="13">
        <v>1</v>
      </c>
      <c r="B1001" t="str" cm="1">
        <f t="array" ref="B1001">_xlfn.IFS(Datasets!Q1001=1,"LoW",Table1[[#This Row],[JobSatisfaction]]=2,"Medium",Table1[[#This Row],[JobSatisfaction]]=3,"High",Table1[[#This Row],[JobSatisfaction]]=4,"Very High")</f>
        <v>LoW</v>
      </c>
      <c r="H1001" s="5">
        <v>3</v>
      </c>
      <c r="I1001" t="str" cm="1">
        <f t="array" ref="I1001">_xlfn.IFS(H1001=1,"low",H1001=2,"medium",H1001=3,"balanced",H1001=4,"Good")</f>
        <v>balanced</v>
      </c>
    </row>
    <row r="1002" spans="1:9" x14ac:dyDescent="0.3">
      <c r="A1002" s="14">
        <v>4</v>
      </c>
      <c r="B1002" t="str" cm="1">
        <f t="array" ref="B1002">_xlfn.IFS(Datasets!Q1002=1,"LoW",Table1[[#This Row],[JobSatisfaction]]=2,"Medium",Table1[[#This Row],[JobSatisfaction]]=3,"High",Table1[[#This Row],[JobSatisfaction]]=4,"Very High")</f>
        <v>Very High</v>
      </c>
      <c r="H1002" s="5">
        <v>3</v>
      </c>
      <c r="I1002" t="str" cm="1">
        <f t="array" ref="I1002">_xlfn.IFS(H1002=1,"low",H1002=2,"medium",H1002=3,"balanced",H1002=4,"Good")</f>
        <v>balanced</v>
      </c>
    </row>
    <row r="1003" spans="1:9" x14ac:dyDescent="0.3">
      <c r="A1003" s="13">
        <v>4</v>
      </c>
      <c r="B1003" t="str" cm="1">
        <f t="array" ref="B1003">_xlfn.IFS(Datasets!Q1003=1,"LoW",Table1[[#This Row],[JobSatisfaction]]=2,"Medium",Table1[[#This Row],[JobSatisfaction]]=3,"High",Table1[[#This Row],[JobSatisfaction]]=4,"Very High")</f>
        <v>Very High</v>
      </c>
      <c r="H1003" s="5">
        <v>4</v>
      </c>
      <c r="I1003" t="str" cm="1">
        <f t="array" ref="I1003">_xlfn.IFS(H1003=1,"low",H1003=2,"medium",H1003=3,"balanced",H1003=4,"Good")</f>
        <v>Good</v>
      </c>
    </row>
    <row r="1004" spans="1:9" x14ac:dyDescent="0.3">
      <c r="A1004" s="14">
        <v>4</v>
      </c>
      <c r="B1004" t="str" cm="1">
        <f t="array" ref="B1004">_xlfn.IFS(Datasets!Q1004=1,"LoW",Table1[[#This Row],[JobSatisfaction]]=2,"Medium",Table1[[#This Row],[JobSatisfaction]]=3,"High",Table1[[#This Row],[JobSatisfaction]]=4,"Very High")</f>
        <v>Very High</v>
      </c>
      <c r="H1004" s="5">
        <v>3</v>
      </c>
      <c r="I1004" t="str" cm="1">
        <f t="array" ref="I1004">_xlfn.IFS(H1004=1,"low",H1004=2,"medium",H1004=3,"balanced",H1004=4,"Good")</f>
        <v>balanced</v>
      </c>
    </row>
    <row r="1005" spans="1:9" x14ac:dyDescent="0.3">
      <c r="A1005" s="13">
        <v>1</v>
      </c>
      <c r="B1005" t="str" cm="1">
        <f t="array" ref="B1005">_xlfn.IFS(Datasets!Q1005=1,"LoW",Table1[[#This Row],[JobSatisfaction]]=2,"Medium",Table1[[#This Row],[JobSatisfaction]]=3,"High",Table1[[#This Row],[JobSatisfaction]]=4,"Very High")</f>
        <v>LoW</v>
      </c>
      <c r="H1005" s="5">
        <v>2</v>
      </c>
      <c r="I1005" t="str" cm="1">
        <f t="array" ref="I1005">_xlfn.IFS(H1005=1,"low",H1005=2,"medium",H1005=3,"balanced",H1005=4,"Good")</f>
        <v>medium</v>
      </c>
    </row>
    <row r="1006" spans="1:9" x14ac:dyDescent="0.3">
      <c r="A1006" s="14">
        <v>3</v>
      </c>
      <c r="B1006" t="str" cm="1">
        <f t="array" ref="B1006">_xlfn.IFS(Datasets!Q1006=1,"LoW",Table1[[#This Row],[JobSatisfaction]]=2,"Medium",Table1[[#This Row],[JobSatisfaction]]=3,"High",Table1[[#This Row],[JobSatisfaction]]=4,"Very High")</f>
        <v>High</v>
      </c>
      <c r="H1006" s="5">
        <v>3</v>
      </c>
      <c r="I1006" t="str" cm="1">
        <f t="array" ref="I1006">_xlfn.IFS(H1006=1,"low",H1006=2,"medium",H1006=3,"balanced",H1006=4,"Good")</f>
        <v>balanced</v>
      </c>
    </row>
    <row r="1007" spans="1:9" x14ac:dyDescent="0.3">
      <c r="A1007" s="13">
        <v>1</v>
      </c>
      <c r="B1007" t="str" cm="1">
        <f t="array" ref="B1007">_xlfn.IFS(Datasets!Q1007=1,"LoW",Table1[[#This Row],[JobSatisfaction]]=2,"Medium",Table1[[#This Row],[JobSatisfaction]]=3,"High",Table1[[#This Row],[JobSatisfaction]]=4,"Very High")</f>
        <v>LoW</v>
      </c>
      <c r="H1007" s="5">
        <v>4</v>
      </c>
      <c r="I1007" t="str" cm="1">
        <f t="array" ref="I1007">_xlfn.IFS(H1007=1,"low",H1007=2,"medium",H1007=3,"balanced",H1007=4,"Good")</f>
        <v>Good</v>
      </c>
    </row>
    <row r="1008" spans="1:9" x14ac:dyDescent="0.3">
      <c r="A1008" s="14">
        <v>3</v>
      </c>
      <c r="B1008" t="str" cm="1">
        <f t="array" ref="B1008">_xlfn.IFS(Datasets!Q1008=1,"LoW",Table1[[#This Row],[JobSatisfaction]]=2,"Medium",Table1[[#This Row],[JobSatisfaction]]=3,"High",Table1[[#This Row],[JobSatisfaction]]=4,"Very High")</f>
        <v>High</v>
      </c>
      <c r="H1008" s="5">
        <v>3</v>
      </c>
      <c r="I1008" t="str" cm="1">
        <f t="array" ref="I1008">_xlfn.IFS(H1008=1,"low",H1008=2,"medium",H1008=3,"balanced",H1008=4,"Good")</f>
        <v>balanced</v>
      </c>
    </row>
    <row r="1009" spans="1:9" x14ac:dyDescent="0.3">
      <c r="A1009" s="13">
        <v>2</v>
      </c>
      <c r="B1009" t="str" cm="1">
        <f t="array" ref="B1009">_xlfn.IFS(Datasets!Q1009=1,"LoW",Table1[[#This Row],[JobSatisfaction]]=2,"Medium",Table1[[#This Row],[JobSatisfaction]]=3,"High",Table1[[#This Row],[JobSatisfaction]]=4,"Very High")</f>
        <v>Medium</v>
      </c>
      <c r="H1009" s="5">
        <v>3</v>
      </c>
      <c r="I1009" t="str" cm="1">
        <f t="array" ref="I1009">_xlfn.IFS(H1009=1,"low",H1009=2,"medium",H1009=3,"balanced",H1009=4,"Good")</f>
        <v>balanced</v>
      </c>
    </row>
    <row r="1010" spans="1:9" x14ac:dyDescent="0.3">
      <c r="A1010" s="14">
        <v>3</v>
      </c>
      <c r="B1010" t="str" cm="1">
        <f t="array" ref="B1010">_xlfn.IFS(Datasets!Q1010=1,"LoW",Table1[[#This Row],[JobSatisfaction]]=2,"Medium",Table1[[#This Row],[JobSatisfaction]]=3,"High",Table1[[#This Row],[JobSatisfaction]]=4,"Very High")</f>
        <v>High</v>
      </c>
      <c r="H1010" s="5">
        <v>3</v>
      </c>
      <c r="I1010" t="str" cm="1">
        <f t="array" ref="I1010">_xlfn.IFS(H1010=1,"low",H1010=2,"medium",H1010=3,"balanced",H1010=4,"Good")</f>
        <v>balanced</v>
      </c>
    </row>
    <row r="1011" spans="1:9" x14ac:dyDescent="0.3">
      <c r="A1011" s="13">
        <v>4</v>
      </c>
      <c r="B1011" t="str" cm="1">
        <f t="array" ref="B1011">_xlfn.IFS(Datasets!Q1011=1,"LoW",Table1[[#This Row],[JobSatisfaction]]=2,"Medium",Table1[[#This Row],[JobSatisfaction]]=3,"High",Table1[[#This Row],[JobSatisfaction]]=4,"Very High")</f>
        <v>Very High</v>
      </c>
      <c r="H1011" s="5">
        <v>3</v>
      </c>
      <c r="I1011" t="str" cm="1">
        <f t="array" ref="I1011">_xlfn.IFS(H1011=1,"low",H1011=2,"medium",H1011=3,"balanced",H1011=4,"Good")</f>
        <v>balanced</v>
      </c>
    </row>
    <row r="1012" spans="1:9" x14ac:dyDescent="0.3">
      <c r="A1012" s="14">
        <v>2</v>
      </c>
      <c r="B1012" t="str" cm="1">
        <f t="array" ref="B1012">_xlfn.IFS(Datasets!Q1012=1,"LoW",Table1[[#This Row],[JobSatisfaction]]=2,"Medium",Table1[[#This Row],[JobSatisfaction]]=3,"High",Table1[[#This Row],[JobSatisfaction]]=4,"Very High")</f>
        <v>Medium</v>
      </c>
      <c r="H1012" s="5">
        <v>2</v>
      </c>
      <c r="I1012" t="str" cm="1">
        <f t="array" ref="I1012">_xlfn.IFS(H1012=1,"low",H1012=2,"medium",H1012=3,"balanced",H1012=4,"Good")</f>
        <v>medium</v>
      </c>
    </row>
    <row r="1013" spans="1:9" x14ac:dyDescent="0.3">
      <c r="A1013" s="13">
        <v>3</v>
      </c>
      <c r="B1013" t="str" cm="1">
        <f t="array" ref="B1013">_xlfn.IFS(Datasets!Q1013=1,"LoW",Table1[[#This Row],[JobSatisfaction]]=2,"Medium",Table1[[#This Row],[JobSatisfaction]]=3,"High",Table1[[#This Row],[JobSatisfaction]]=4,"Very High")</f>
        <v>High</v>
      </c>
      <c r="H1013" s="5">
        <v>3</v>
      </c>
      <c r="I1013" t="str" cm="1">
        <f t="array" ref="I1013">_xlfn.IFS(H1013=1,"low",H1013=2,"medium",H1013=3,"balanced",H1013=4,"Good")</f>
        <v>balanced</v>
      </c>
    </row>
    <row r="1014" spans="1:9" x14ac:dyDescent="0.3">
      <c r="A1014" s="14">
        <v>3</v>
      </c>
      <c r="B1014" t="str" cm="1">
        <f t="array" ref="B1014">_xlfn.IFS(Datasets!Q1014=1,"LoW",Table1[[#This Row],[JobSatisfaction]]=2,"Medium",Table1[[#This Row],[JobSatisfaction]]=3,"High",Table1[[#This Row],[JobSatisfaction]]=4,"Very High")</f>
        <v>High</v>
      </c>
      <c r="H1014" s="5">
        <v>3</v>
      </c>
      <c r="I1014" t="str" cm="1">
        <f t="array" ref="I1014">_xlfn.IFS(H1014=1,"low",H1014=2,"medium",H1014=3,"balanced",H1014=4,"Good")</f>
        <v>balanced</v>
      </c>
    </row>
    <row r="1015" spans="1:9" x14ac:dyDescent="0.3">
      <c r="A1015" s="13">
        <v>4</v>
      </c>
      <c r="B1015" t="str" cm="1">
        <f t="array" ref="B1015">_xlfn.IFS(Datasets!Q1015=1,"LoW",Table1[[#This Row],[JobSatisfaction]]=2,"Medium",Table1[[#This Row],[JobSatisfaction]]=3,"High",Table1[[#This Row],[JobSatisfaction]]=4,"Very High")</f>
        <v>Very High</v>
      </c>
      <c r="H1015" s="5">
        <v>3</v>
      </c>
      <c r="I1015" t="str" cm="1">
        <f t="array" ref="I1015">_xlfn.IFS(H1015=1,"low",H1015=2,"medium",H1015=3,"balanced",H1015=4,"Good")</f>
        <v>balanced</v>
      </c>
    </row>
    <row r="1016" spans="1:9" x14ac:dyDescent="0.3">
      <c r="A1016" s="14">
        <v>4</v>
      </c>
      <c r="B1016" t="str" cm="1">
        <f t="array" ref="B1016">_xlfn.IFS(Datasets!Q1016=1,"LoW",Table1[[#This Row],[JobSatisfaction]]=2,"Medium",Table1[[#This Row],[JobSatisfaction]]=3,"High",Table1[[#This Row],[JobSatisfaction]]=4,"Very High")</f>
        <v>Very High</v>
      </c>
      <c r="H1016" s="5">
        <v>3</v>
      </c>
      <c r="I1016" t="str" cm="1">
        <f t="array" ref="I1016">_xlfn.IFS(H1016=1,"low",H1016=2,"medium",H1016=3,"balanced",H1016=4,"Good")</f>
        <v>balanced</v>
      </c>
    </row>
    <row r="1017" spans="1:9" x14ac:dyDescent="0.3">
      <c r="A1017" s="13">
        <v>3</v>
      </c>
      <c r="B1017" t="str" cm="1">
        <f t="array" ref="B1017">_xlfn.IFS(Datasets!Q1017=1,"LoW",Table1[[#This Row],[JobSatisfaction]]=2,"Medium",Table1[[#This Row],[JobSatisfaction]]=3,"High",Table1[[#This Row],[JobSatisfaction]]=4,"Very High")</f>
        <v>High</v>
      </c>
      <c r="H1017" s="5">
        <v>3</v>
      </c>
      <c r="I1017" t="str" cm="1">
        <f t="array" ref="I1017">_xlfn.IFS(H1017=1,"low",H1017=2,"medium",H1017=3,"balanced",H1017=4,"Good")</f>
        <v>balanced</v>
      </c>
    </row>
    <row r="1018" spans="1:9" x14ac:dyDescent="0.3">
      <c r="A1018" s="14">
        <v>1</v>
      </c>
      <c r="B1018" t="str" cm="1">
        <f t="array" ref="B1018">_xlfn.IFS(Datasets!Q1018=1,"LoW",Table1[[#This Row],[JobSatisfaction]]=2,"Medium",Table1[[#This Row],[JobSatisfaction]]=3,"High",Table1[[#This Row],[JobSatisfaction]]=4,"Very High")</f>
        <v>LoW</v>
      </c>
      <c r="H1018" s="5">
        <v>1</v>
      </c>
      <c r="I1018" t="str" cm="1">
        <f t="array" ref="I1018">_xlfn.IFS(H1018=1,"low",H1018=2,"medium",H1018=3,"balanced",H1018=4,"Good")</f>
        <v>low</v>
      </c>
    </row>
    <row r="1019" spans="1:9" x14ac:dyDescent="0.3">
      <c r="A1019" s="13">
        <v>1</v>
      </c>
      <c r="B1019" t="str" cm="1">
        <f t="array" ref="B1019">_xlfn.IFS(Datasets!Q1019=1,"LoW",Table1[[#This Row],[JobSatisfaction]]=2,"Medium",Table1[[#This Row],[JobSatisfaction]]=3,"High",Table1[[#This Row],[JobSatisfaction]]=4,"Very High")</f>
        <v>LoW</v>
      </c>
      <c r="H1019" s="5">
        <v>3</v>
      </c>
      <c r="I1019" t="str" cm="1">
        <f t="array" ref="I1019">_xlfn.IFS(H1019=1,"low",H1019=2,"medium",H1019=3,"balanced",H1019=4,"Good")</f>
        <v>balanced</v>
      </c>
    </row>
    <row r="1020" spans="1:9" x14ac:dyDescent="0.3">
      <c r="A1020" s="14">
        <v>3</v>
      </c>
      <c r="B1020" t="str" cm="1">
        <f t="array" ref="B1020">_xlfn.IFS(Datasets!Q1020=1,"LoW",Table1[[#This Row],[JobSatisfaction]]=2,"Medium",Table1[[#This Row],[JobSatisfaction]]=3,"High",Table1[[#This Row],[JobSatisfaction]]=4,"Very High")</f>
        <v>High</v>
      </c>
      <c r="H1020" s="5">
        <v>3</v>
      </c>
      <c r="I1020" t="str" cm="1">
        <f t="array" ref="I1020">_xlfn.IFS(H1020=1,"low",H1020=2,"medium",H1020=3,"balanced",H1020=4,"Good")</f>
        <v>balanced</v>
      </c>
    </row>
    <row r="1021" spans="1:9" x14ac:dyDescent="0.3">
      <c r="A1021" s="13">
        <v>2</v>
      </c>
      <c r="B1021" t="str" cm="1">
        <f t="array" ref="B1021">_xlfn.IFS(Datasets!Q1021=1,"LoW",Table1[[#This Row],[JobSatisfaction]]=2,"Medium",Table1[[#This Row],[JobSatisfaction]]=3,"High",Table1[[#This Row],[JobSatisfaction]]=4,"Very High")</f>
        <v>Medium</v>
      </c>
      <c r="H1021" s="5">
        <v>3</v>
      </c>
      <c r="I1021" t="str" cm="1">
        <f t="array" ref="I1021">_xlfn.IFS(H1021=1,"low",H1021=2,"medium",H1021=3,"balanced",H1021=4,"Good")</f>
        <v>balanced</v>
      </c>
    </row>
    <row r="1022" spans="1:9" x14ac:dyDescent="0.3">
      <c r="A1022" s="14">
        <v>1</v>
      </c>
      <c r="B1022" t="str" cm="1">
        <f t="array" ref="B1022">_xlfn.IFS(Datasets!Q1022=1,"LoW",Table1[[#This Row],[JobSatisfaction]]=2,"Medium",Table1[[#This Row],[JobSatisfaction]]=3,"High",Table1[[#This Row],[JobSatisfaction]]=4,"Very High")</f>
        <v>LoW</v>
      </c>
      <c r="H1022" s="5">
        <v>2</v>
      </c>
      <c r="I1022" t="str" cm="1">
        <f t="array" ref="I1022">_xlfn.IFS(H1022=1,"low",H1022=2,"medium",H1022=3,"balanced",H1022=4,"Good")</f>
        <v>medium</v>
      </c>
    </row>
    <row r="1023" spans="1:9" x14ac:dyDescent="0.3">
      <c r="A1023" s="13">
        <v>4</v>
      </c>
      <c r="B1023" t="str" cm="1">
        <f t="array" ref="B1023">_xlfn.IFS(Datasets!Q1023=1,"LoW",Table1[[#This Row],[JobSatisfaction]]=2,"Medium",Table1[[#This Row],[JobSatisfaction]]=3,"High",Table1[[#This Row],[JobSatisfaction]]=4,"Very High")</f>
        <v>Very High</v>
      </c>
      <c r="H1023" s="5">
        <v>3</v>
      </c>
      <c r="I1023" t="str" cm="1">
        <f t="array" ref="I1023">_xlfn.IFS(H1023=1,"low",H1023=2,"medium",H1023=3,"balanced",H1023=4,"Good")</f>
        <v>balanced</v>
      </c>
    </row>
    <row r="1024" spans="1:9" x14ac:dyDescent="0.3">
      <c r="A1024" s="14">
        <v>1</v>
      </c>
      <c r="B1024" t="str" cm="1">
        <f t="array" ref="B1024">_xlfn.IFS(Datasets!Q1024=1,"LoW",Table1[[#This Row],[JobSatisfaction]]=2,"Medium",Table1[[#This Row],[JobSatisfaction]]=3,"High",Table1[[#This Row],[JobSatisfaction]]=4,"Very High")</f>
        <v>LoW</v>
      </c>
      <c r="H1024" s="5">
        <v>3</v>
      </c>
      <c r="I1024" t="str" cm="1">
        <f t="array" ref="I1024">_xlfn.IFS(H1024=1,"low",H1024=2,"medium",H1024=3,"balanced",H1024=4,"Good")</f>
        <v>balanced</v>
      </c>
    </row>
    <row r="1025" spans="1:9" x14ac:dyDescent="0.3">
      <c r="A1025" s="13">
        <v>2</v>
      </c>
      <c r="B1025" t="str" cm="1">
        <f t="array" ref="B1025">_xlfn.IFS(Datasets!Q1025=1,"LoW",Table1[[#This Row],[JobSatisfaction]]=2,"Medium",Table1[[#This Row],[JobSatisfaction]]=3,"High",Table1[[#This Row],[JobSatisfaction]]=4,"Very High")</f>
        <v>Medium</v>
      </c>
      <c r="H1025" s="5">
        <v>4</v>
      </c>
      <c r="I1025" t="str" cm="1">
        <f t="array" ref="I1025">_xlfn.IFS(H1025=1,"low",H1025=2,"medium",H1025=3,"balanced",H1025=4,"Good")</f>
        <v>Good</v>
      </c>
    </row>
    <row r="1026" spans="1:9" x14ac:dyDescent="0.3">
      <c r="A1026" s="14">
        <v>4</v>
      </c>
      <c r="B1026" t="str" cm="1">
        <f t="array" ref="B1026">_xlfn.IFS(Datasets!Q1026=1,"LoW",Table1[[#This Row],[JobSatisfaction]]=2,"Medium",Table1[[#This Row],[JobSatisfaction]]=3,"High",Table1[[#This Row],[JobSatisfaction]]=4,"Very High")</f>
        <v>Very High</v>
      </c>
      <c r="H1026" s="5">
        <v>2</v>
      </c>
      <c r="I1026" t="str" cm="1">
        <f t="array" ref="I1026">_xlfn.IFS(H1026=1,"low",H1026=2,"medium",H1026=3,"balanced",H1026=4,"Good")</f>
        <v>medium</v>
      </c>
    </row>
    <row r="1027" spans="1:9" x14ac:dyDescent="0.3">
      <c r="A1027" s="13">
        <v>4</v>
      </c>
      <c r="B1027" t="str" cm="1">
        <f t="array" ref="B1027">_xlfn.IFS(Datasets!Q1027=1,"LoW",Table1[[#This Row],[JobSatisfaction]]=2,"Medium",Table1[[#This Row],[JobSatisfaction]]=3,"High",Table1[[#This Row],[JobSatisfaction]]=4,"Very High")</f>
        <v>Very High</v>
      </c>
      <c r="H1027" s="5">
        <v>3</v>
      </c>
      <c r="I1027" t="str" cm="1">
        <f t="array" ref="I1027">_xlfn.IFS(H1027=1,"low",H1027=2,"medium",H1027=3,"balanced",H1027=4,"Good")</f>
        <v>balanced</v>
      </c>
    </row>
    <row r="1028" spans="1:9" x14ac:dyDescent="0.3">
      <c r="A1028" s="14">
        <v>2</v>
      </c>
      <c r="B1028" t="str" cm="1">
        <f t="array" ref="B1028">_xlfn.IFS(Datasets!Q1028=1,"LoW",Table1[[#This Row],[JobSatisfaction]]=2,"Medium",Table1[[#This Row],[JobSatisfaction]]=3,"High",Table1[[#This Row],[JobSatisfaction]]=4,"Very High")</f>
        <v>Medium</v>
      </c>
      <c r="H1028" s="5">
        <v>1</v>
      </c>
      <c r="I1028" t="str" cm="1">
        <f t="array" ref="I1028">_xlfn.IFS(H1028=1,"low",H1028=2,"medium",H1028=3,"balanced",H1028=4,"Good")</f>
        <v>low</v>
      </c>
    </row>
    <row r="1029" spans="1:9" x14ac:dyDescent="0.3">
      <c r="A1029" s="13">
        <v>4</v>
      </c>
      <c r="B1029" t="str" cm="1">
        <f t="array" ref="B1029">_xlfn.IFS(Datasets!Q1029=1,"LoW",Table1[[#This Row],[JobSatisfaction]]=2,"Medium",Table1[[#This Row],[JobSatisfaction]]=3,"High",Table1[[#This Row],[JobSatisfaction]]=4,"Very High")</f>
        <v>Very High</v>
      </c>
      <c r="H1029" s="5">
        <v>2</v>
      </c>
      <c r="I1029" t="str" cm="1">
        <f t="array" ref="I1029">_xlfn.IFS(H1029=1,"low",H1029=2,"medium",H1029=3,"balanced",H1029=4,"Good")</f>
        <v>medium</v>
      </c>
    </row>
    <row r="1030" spans="1:9" x14ac:dyDescent="0.3">
      <c r="A1030" s="14">
        <v>3</v>
      </c>
      <c r="B1030" t="str" cm="1">
        <f t="array" ref="B1030">_xlfn.IFS(Datasets!Q1030=1,"LoW",Table1[[#This Row],[JobSatisfaction]]=2,"Medium",Table1[[#This Row],[JobSatisfaction]]=3,"High",Table1[[#This Row],[JobSatisfaction]]=4,"Very High")</f>
        <v>High</v>
      </c>
      <c r="H1030" s="5">
        <v>3</v>
      </c>
      <c r="I1030" t="str" cm="1">
        <f t="array" ref="I1030">_xlfn.IFS(H1030=1,"low",H1030=2,"medium",H1030=3,"balanced",H1030=4,"Good")</f>
        <v>balanced</v>
      </c>
    </row>
    <row r="1031" spans="1:9" x14ac:dyDescent="0.3">
      <c r="A1031" s="13">
        <v>1</v>
      </c>
      <c r="B1031" t="str" cm="1">
        <f t="array" ref="B1031">_xlfn.IFS(Datasets!Q1031=1,"LoW",Table1[[#This Row],[JobSatisfaction]]=2,"Medium",Table1[[#This Row],[JobSatisfaction]]=3,"High",Table1[[#This Row],[JobSatisfaction]]=4,"Very High")</f>
        <v>LoW</v>
      </c>
      <c r="H1031" s="5">
        <v>3</v>
      </c>
      <c r="I1031" t="str" cm="1">
        <f t="array" ref="I1031">_xlfn.IFS(H1031=1,"low",H1031=2,"medium",H1031=3,"balanced",H1031=4,"Good")</f>
        <v>balanced</v>
      </c>
    </row>
    <row r="1032" spans="1:9" x14ac:dyDescent="0.3">
      <c r="A1032" s="14">
        <v>4</v>
      </c>
      <c r="B1032" t="str" cm="1">
        <f t="array" ref="B1032">_xlfn.IFS(Datasets!Q1032=1,"LoW",Table1[[#This Row],[JobSatisfaction]]=2,"Medium",Table1[[#This Row],[JobSatisfaction]]=3,"High",Table1[[#This Row],[JobSatisfaction]]=4,"Very High")</f>
        <v>Very High</v>
      </c>
      <c r="H1032" s="5">
        <v>2</v>
      </c>
      <c r="I1032" t="str" cm="1">
        <f t="array" ref="I1032">_xlfn.IFS(H1032=1,"low",H1032=2,"medium",H1032=3,"balanced",H1032=4,"Good")</f>
        <v>medium</v>
      </c>
    </row>
    <row r="1033" spans="1:9" x14ac:dyDescent="0.3">
      <c r="A1033" s="13">
        <v>4</v>
      </c>
      <c r="B1033" t="str" cm="1">
        <f t="array" ref="B1033">_xlfn.IFS(Datasets!Q1033=1,"LoW",Table1[[#This Row],[JobSatisfaction]]=2,"Medium",Table1[[#This Row],[JobSatisfaction]]=3,"High",Table1[[#This Row],[JobSatisfaction]]=4,"Very High")</f>
        <v>Very High</v>
      </c>
      <c r="H1033" s="5">
        <v>3</v>
      </c>
      <c r="I1033" t="str" cm="1">
        <f t="array" ref="I1033">_xlfn.IFS(H1033=1,"low",H1033=2,"medium",H1033=3,"balanced",H1033=4,"Good")</f>
        <v>balanced</v>
      </c>
    </row>
    <row r="1034" spans="1:9" x14ac:dyDescent="0.3">
      <c r="A1034" s="14">
        <v>3</v>
      </c>
      <c r="B1034" t="str" cm="1">
        <f t="array" ref="B1034">_xlfn.IFS(Datasets!Q1034=1,"LoW",Table1[[#This Row],[JobSatisfaction]]=2,"Medium",Table1[[#This Row],[JobSatisfaction]]=3,"High",Table1[[#This Row],[JobSatisfaction]]=4,"Very High")</f>
        <v>High</v>
      </c>
      <c r="H1034" s="5">
        <v>2</v>
      </c>
      <c r="I1034" t="str" cm="1">
        <f t="array" ref="I1034">_xlfn.IFS(H1034=1,"low",H1034=2,"medium",H1034=3,"balanced",H1034=4,"Good")</f>
        <v>medium</v>
      </c>
    </row>
    <row r="1035" spans="1:9" x14ac:dyDescent="0.3">
      <c r="A1035" s="13">
        <v>4</v>
      </c>
      <c r="B1035" t="str" cm="1">
        <f t="array" ref="B1035">_xlfn.IFS(Datasets!Q1035=1,"LoW",Table1[[#This Row],[JobSatisfaction]]=2,"Medium",Table1[[#This Row],[JobSatisfaction]]=3,"High",Table1[[#This Row],[JobSatisfaction]]=4,"Very High")</f>
        <v>Very High</v>
      </c>
      <c r="H1035" s="5">
        <v>3</v>
      </c>
      <c r="I1035" t="str" cm="1">
        <f t="array" ref="I1035">_xlfn.IFS(H1035=1,"low",H1035=2,"medium",H1035=3,"balanced",H1035=4,"Good")</f>
        <v>balanced</v>
      </c>
    </row>
    <row r="1036" spans="1:9" x14ac:dyDescent="0.3">
      <c r="A1036" s="14">
        <v>2</v>
      </c>
      <c r="B1036" t="str" cm="1">
        <f t="array" ref="B1036">_xlfn.IFS(Datasets!Q1036=1,"LoW",Table1[[#This Row],[JobSatisfaction]]=2,"Medium",Table1[[#This Row],[JobSatisfaction]]=3,"High",Table1[[#This Row],[JobSatisfaction]]=4,"Very High")</f>
        <v>Medium</v>
      </c>
      <c r="H1036" s="5">
        <v>3</v>
      </c>
      <c r="I1036" t="str" cm="1">
        <f t="array" ref="I1036">_xlfn.IFS(H1036=1,"low",H1036=2,"medium",H1036=3,"balanced",H1036=4,"Good")</f>
        <v>balanced</v>
      </c>
    </row>
    <row r="1037" spans="1:9" x14ac:dyDescent="0.3">
      <c r="A1037" s="13">
        <v>4</v>
      </c>
      <c r="B1037" t="str" cm="1">
        <f t="array" ref="B1037">_xlfn.IFS(Datasets!Q1037=1,"LoW",Table1[[#This Row],[JobSatisfaction]]=2,"Medium",Table1[[#This Row],[JobSatisfaction]]=3,"High",Table1[[#This Row],[JobSatisfaction]]=4,"Very High")</f>
        <v>Very High</v>
      </c>
      <c r="H1037" s="5">
        <v>3</v>
      </c>
      <c r="I1037" t="str" cm="1">
        <f t="array" ref="I1037">_xlfn.IFS(H1037=1,"low",H1037=2,"medium",H1037=3,"balanced",H1037=4,"Good")</f>
        <v>balanced</v>
      </c>
    </row>
    <row r="1038" spans="1:9" x14ac:dyDescent="0.3">
      <c r="A1038" s="14">
        <v>3</v>
      </c>
      <c r="B1038" t="str" cm="1">
        <f t="array" ref="B1038">_xlfn.IFS(Datasets!Q1038=1,"LoW",Table1[[#This Row],[JobSatisfaction]]=2,"Medium",Table1[[#This Row],[JobSatisfaction]]=3,"High",Table1[[#This Row],[JobSatisfaction]]=4,"Very High")</f>
        <v>High</v>
      </c>
      <c r="H1038" s="5">
        <v>3</v>
      </c>
      <c r="I1038" t="str" cm="1">
        <f t="array" ref="I1038">_xlfn.IFS(H1038=1,"low",H1038=2,"medium",H1038=3,"balanced",H1038=4,"Good")</f>
        <v>balanced</v>
      </c>
    </row>
    <row r="1039" spans="1:9" x14ac:dyDescent="0.3">
      <c r="A1039" s="13">
        <v>3</v>
      </c>
      <c r="B1039" t="str" cm="1">
        <f t="array" ref="B1039">_xlfn.IFS(Datasets!Q1039=1,"LoW",Table1[[#This Row],[JobSatisfaction]]=2,"Medium",Table1[[#This Row],[JobSatisfaction]]=3,"High",Table1[[#This Row],[JobSatisfaction]]=4,"Very High")</f>
        <v>High</v>
      </c>
      <c r="H1039" s="5">
        <v>3</v>
      </c>
      <c r="I1039" t="str" cm="1">
        <f t="array" ref="I1039">_xlfn.IFS(H1039=1,"low",H1039=2,"medium",H1039=3,"balanced",H1039=4,"Good")</f>
        <v>balanced</v>
      </c>
    </row>
    <row r="1040" spans="1:9" x14ac:dyDescent="0.3">
      <c r="A1040" s="14">
        <v>3</v>
      </c>
      <c r="B1040" t="str" cm="1">
        <f t="array" ref="B1040">_xlfn.IFS(Datasets!Q1040=1,"LoW",Table1[[#This Row],[JobSatisfaction]]=2,"Medium",Table1[[#This Row],[JobSatisfaction]]=3,"High",Table1[[#This Row],[JobSatisfaction]]=4,"Very High")</f>
        <v>High</v>
      </c>
      <c r="H1040" s="5">
        <v>3</v>
      </c>
      <c r="I1040" t="str" cm="1">
        <f t="array" ref="I1040">_xlfn.IFS(H1040=1,"low",H1040=2,"medium",H1040=3,"balanced",H1040=4,"Good")</f>
        <v>balanced</v>
      </c>
    </row>
    <row r="1041" spans="1:9" x14ac:dyDescent="0.3">
      <c r="A1041" s="13">
        <v>3</v>
      </c>
      <c r="B1041" t="str" cm="1">
        <f t="array" ref="B1041">_xlfn.IFS(Datasets!Q1041=1,"LoW",Table1[[#This Row],[JobSatisfaction]]=2,"Medium",Table1[[#This Row],[JobSatisfaction]]=3,"High",Table1[[#This Row],[JobSatisfaction]]=4,"Very High")</f>
        <v>High</v>
      </c>
      <c r="H1041" s="5">
        <v>3</v>
      </c>
      <c r="I1041" t="str" cm="1">
        <f t="array" ref="I1041">_xlfn.IFS(H1041=1,"low",H1041=2,"medium",H1041=3,"balanced",H1041=4,"Good")</f>
        <v>balanced</v>
      </c>
    </row>
    <row r="1042" spans="1:9" x14ac:dyDescent="0.3">
      <c r="A1042" s="14">
        <v>4</v>
      </c>
      <c r="B1042" t="str" cm="1">
        <f t="array" ref="B1042">_xlfn.IFS(Datasets!Q1042=1,"LoW",Table1[[#This Row],[JobSatisfaction]]=2,"Medium",Table1[[#This Row],[JobSatisfaction]]=3,"High",Table1[[#This Row],[JobSatisfaction]]=4,"Very High")</f>
        <v>Very High</v>
      </c>
      <c r="H1042" s="5">
        <v>3</v>
      </c>
      <c r="I1042" t="str" cm="1">
        <f t="array" ref="I1042">_xlfn.IFS(H1042=1,"low",H1042=2,"medium",H1042=3,"balanced",H1042=4,"Good")</f>
        <v>balanced</v>
      </c>
    </row>
    <row r="1043" spans="1:9" x14ac:dyDescent="0.3">
      <c r="A1043" s="13">
        <v>1</v>
      </c>
      <c r="B1043" t="str" cm="1">
        <f t="array" ref="B1043">_xlfn.IFS(Datasets!Q1043=1,"LoW",Table1[[#This Row],[JobSatisfaction]]=2,"Medium",Table1[[#This Row],[JobSatisfaction]]=3,"High",Table1[[#This Row],[JobSatisfaction]]=4,"Very High")</f>
        <v>LoW</v>
      </c>
      <c r="H1043" s="5">
        <v>3</v>
      </c>
      <c r="I1043" t="str" cm="1">
        <f t="array" ref="I1043">_xlfn.IFS(H1043=1,"low",H1043=2,"medium",H1043=3,"balanced",H1043=4,"Good")</f>
        <v>balanced</v>
      </c>
    </row>
    <row r="1044" spans="1:9" x14ac:dyDescent="0.3">
      <c r="A1044" s="14">
        <v>4</v>
      </c>
      <c r="B1044" t="str" cm="1">
        <f t="array" ref="B1044">_xlfn.IFS(Datasets!Q1044=1,"LoW",Table1[[#This Row],[JobSatisfaction]]=2,"Medium",Table1[[#This Row],[JobSatisfaction]]=3,"High",Table1[[#This Row],[JobSatisfaction]]=4,"Very High")</f>
        <v>Very High</v>
      </c>
      <c r="H1044" s="5">
        <v>2</v>
      </c>
      <c r="I1044" t="str" cm="1">
        <f t="array" ref="I1044">_xlfn.IFS(H1044=1,"low",H1044=2,"medium",H1044=3,"balanced",H1044=4,"Good")</f>
        <v>medium</v>
      </c>
    </row>
    <row r="1045" spans="1:9" x14ac:dyDescent="0.3">
      <c r="A1045" s="13">
        <v>4</v>
      </c>
      <c r="B1045" t="str" cm="1">
        <f t="array" ref="B1045">_xlfn.IFS(Datasets!Q1045=1,"LoW",Table1[[#This Row],[JobSatisfaction]]=2,"Medium",Table1[[#This Row],[JobSatisfaction]]=3,"High",Table1[[#This Row],[JobSatisfaction]]=4,"Very High")</f>
        <v>Very High</v>
      </c>
      <c r="H1045" s="5">
        <v>2</v>
      </c>
      <c r="I1045" t="str" cm="1">
        <f t="array" ref="I1045">_xlfn.IFS(H1045=1,"low",H1045=2,"medium",H1045=3,"balanced",H1045=4,"Good")</f>
        <v>medium</v>
      </c>
    </row>
    <row r="1046" spans="1:9" x14ac:dyDescent="0.3">
      <c r="A1046" s="14">
        <v>3</v>
      </c>
      <c r="B1046" t="str" cm="1">
        <f t="array" ref="B1046">_xlfn.IFS(Datasets!Q1046=1,"LoW",Table1[[#This Row],[JobSatisfaction]]=2,"Medium",Table1[[#This Row],[JobSatisfaction]]=3,"High",Table1[[#This Row],[JobSatisfaction]]=4,"Very High")</f>
        <v>High</v>
      </c>
      <c r="H1046" s="5">
        <v>4</v>
      </c>
      <c r="I1046" t="str" cm="1">
        <f t="array" ref="I1046">_xlfn.IFS(H1046=1,"low",H1046=2,"medium",H1046=3,"balanced",H1046=4,"Good")</f>
        <v>Good</v>
      </c>
    </row>
    <row r="1047" spans="1:9" x14ac:dyDescent="0.3">
      <c r="A1047" s="13">
        <v>2</v>
      </c>
      <c r="B1047" t="str" cm="1">
        <f t="array" ref="B1047">_xlfn.IFS(Datasets!Q1047=1,"LoW",Table1[[#This Row],[JobSatisfaction]]=2,"Medium",Table1[[#This Row],[JobSatisfaction]]=3,"High",Table1[[#This Row],[JobSatisfaction]]=4,"Very High")</f>
        <v>Medium</v>
      </c>
      <c r="H1047" s="5">
        <v>3</v>
      </c>
      <c r="I1047" t="str" cm="1">
        <f t="array" ref="I1047">_xlfn.IFS(H1047=1,"low",H1047=2,"medium",H1047=3,"balanced",H1047=4,"Good")</f>
        <v>balanced</v>
      </c>
    </row>
    <row r="1048" spans="1:9" x14ac:dyDescent="0.3">
      <c r="A1048" s="14">
        <v>2</v>
      </c>
      <c r="B1048" t="str" cm="1">
        <f t="array" ref="B1048">_xlfn.IFS(Datasets!Q1048=1,"LoW",Table1[[#This Row],[JobSatisfaction]]=2,"Medium",Table1[[#This Row],[JobSatisfaction]]=3,"High",Table1[[#This Row],[JobSatisfaction]]=4,"Very High")</f>
        <v>Medium</v>
      </c>
      <c r="H1048" s="5">
        <v>3</v>
      </c>
      <c r="I1048" t="str" cm="1">
        <f t="array" ref="I1048">_xlfn.IFS(H1048=1,"low",H1048=2,"medium",H1048=3,"balanced",H1048=4,"Good")</f>
        <v>balanced</v>
      </c>
    </row>
    <row r="1049" spans="1:9" x14ac:dyDescent="0.3">
      <c r="A1049" s="13">
        <v>1</v>
      </c>
      <c r="B1049" t="str" cm="1">
        <f t="array" ref="B1049">_xlfn.IFS(Datasets!Q1049=1,"LoW",Table1[[#This Row],[JobSatisfaction]]=2,"Medium",Table1[[#This Row],[JobSatisfaction]]=3,"High",Table1[[#This Row],[JobSatisfaction]]=4,"Very High")</f>
        <v>LoW</v>
      </c>
      <c r="H1049" s="5">
        <v>1</v>
      </c>
      <c r="I1049" t="str" cm="1">
        <f t="array" ref="I1049">_xlfn.IFS(H1049=1,"low",H1049=2,"medium",H1049=3,"balanced",H1049=4,"Good")</f>
        <v>low</v>
      </c>
    </row>
    <row r="1050" spans="1:9" x14ac:dyDescent="0.3">
      <c r="A1050" s="14">
        <v>2</v>
      </c>
      <c r="B1050" t="str" cm="1">
        <f t="array" ref="B1050">_xlfn.IFS(Datasets!Q1050=1,"LoW",Table1[[#This Row],[JobSatisfaction]]=2,"Medium",Table1[[#This Row],[JobSatisfaction]]=3,"High",Table1[[#This Row],[JobSatisfaction]]=4,"Very High")</f>
        <v>Medium</v>
      </c>
      <c r="H1050" s="5">
        <v>3</v>
      </c>
      <c r="I1050" t="str" cm="1">
        <f t="array" ref="I1050">_xlfn.IFS(H1050=1,"low",H1050=2,"medium",H1050=3,"balanced",H1050=4,"Good")</f>
        <v>balanced</v>
      </c>
    </row>
    <row r="1051" spans="1:9" x14ac:dyDescent="0.3">
      <c r="A1051" s="13">
        <v>4</v>
      </c>
      <c r="B1051" t="str" cm="1">
        <f t="array" ref="B1051">_xlfn.IFS(Datasets!Q1051=1,"LoW",Table1[[#This Row],[JobSatisfaction]]=2,"Medium",Table1[[#This Row],[JobSatisfaction]]=3,"High",Table1[[#This Row],[JobSatisfaction]]=4,"Very High")</f>
        <v>Very High</v>
      </c>
      <c r="H1051" s="5">
        <v>2</v>
      </c>
      <c r="I1051" t="str" cm="1">
        <f t="array" ref="I1051">_xlfn.IFS(H1051=1,"low",H1051=2,"medium",H1051=3,"balanced",H1051=4,"Good")</f>
        <v>medium</v>
      </c>
    </row>
    <row r="1052" spans="1:9" x14ac:dyDescent="0.3">
      <c r="A1052" s="14">
        <v>2</v>
      </c>
      <c r="B1052" t="str" cm="1">
        <f t="array" ref="B1052">_xlfn.IFS(Datasets!Q1052=1,"LoW",Table1[[#This Row],[JobSatisfaction]]=2,"Medium",Table1[[#This Row],[JobSatisfaction]]=3,"High",Table1[[#This Row],[JobSatisfaction]]=4,"Very High")</f>
        <v>Medium</v>
      </c>
      <c r="H1052" s="5">
        <v>2</v>
      </c>
      <c r="I1052" t="str" cm="1">
        <f t="array" ref="I1052">_xlfn.IFS(H1052=1,"low",H1052=2,"medium",H1052=3,"balanced",H1052=4,"Good")</f>
        <v>medium</v>
      </c>
    </row>
    <row r="1053" spans="1:9" x14ac:dyDescent="0.3">
      <c r="A1053" s="13">
        <v>1</v>
      </c>
      <c r="B1053" t="str" cm="1">
        <f t="array" ref="B1053">_xlfn.IFS(Datasets!Q1053=1,"LoW",Table1[[#This Row],[JobSatisfaction]]=2,"Medium",Table1[[#This Row],[JobSatisfaction]]=3,"High",Table1[[#This Row],[JobSatisfaction]]=4,"Very High")</f>
        <v>LoW</v>
      </c>
      <c r="H1053" s="5">
        <v>2</v>
      </c>
      <c r="I1053" t="str" cm="1">
        <f t="array" ref="I1053">_xlfn.IFS(H1053=1,"low",H1053=2,"medium",H1053=3,"balanced",H1053=4,"Good")</f>
        <v>medium</v>
      </c>
    </row>
    <row r="1054" spans="1:9" x14ac:dyDescent="0.3">
      <c r="A1054" s="14">
        <v>1</v>
      </c>
      <c r="B1054" t="str" cm="1">
        <f t="array" ref="B1054">_xlfn.IFS(Datasets!Q1054=1,"LoW",Table1[[#This Row],[JobSatisfaction]]=2,"Medium",Table1[[#This Row],[JobSatisfaction]]=3,"High",Table1[[#This Row],[JobSatisfaction]]=4,"Very High")</f>
        <v>LoW</v>
      </c>
      <c r="H1054" s="5">
        <v>3</v>
      </c>
      <c r="I1054" t="str" cm="1">
        <f t="array" ref="I1054">_xlfn.IFS(H1054=1,"low",H1054=2,"medium",H1054=3,"balanced",H1054=4,"Good")</f>
        <v>balanced</v>
      </c>
    </row>
    <row r="1055" spans="1:9" x14ac:dyDescent="0.3">
      <c r="A1055" s="13">
        <v>4</v>
      </c>
      <c r="B1055" t="str" cm="1">
        <f t="array" ref="B1055">_xlfn.IFS(Datasets!Q1055=1,"LoW",Table1[[#This Row],[JobSatisfaction]]=2,"Medium",Table1[[#This Row],[JobSatisfaction]]=3,"High",Table1[[#This Row],[JobSatisfaction]]=4,"Very High")</f>
        <v>Very High</v>
      </c>
      <c r="H1055" s="5">
        <v>3</v>
      </c>
      <c r="I1055" t="str" cm="1">
        <f t="array" ref="I1055">_xlfn.IFS(H1055=1,"low",H1055=2,"medium",H1055=3,"balanced",H1055=4,"Good")</f>
        <v>balanced</v>
      </c>
    </row>
    <row r="1056" spans="1:9" x14ac:dyDescent="0.3">
      <c r="A1056" s="14">
        <v>2</v>
      </c>
      <c r="B1056" t="str" cm="1">
        <f t="array" ref="B1056">_xlfn.IFS(Datasets!Q1056=1,"LoW",Table1[[#This Row],[JobSatisfaction]]=2,"Medium",Table1[[#This Row],[JobSatisfaction]]=3,"High",Table1[[#This Row],[JobSatisfaction]]=4,"Very High")</f>
        <v>Medium</v>
      </c>
      <c r="H1056" s="5">
        <v>3</v>
      </c>
      <c r="I1056" t="str" cm="1">
        <f t="array" ref="I1056">_xlfn.IFS(H1056=1,"low",H1056=2,"medium",H1056=3,"balanced",H1056=4,"Good")</f>
        <v>balanced</v>
      </c>
    </row>
    <row r="1057" spans="1:9" x14ac:dyDescent="0.3">
      <c r="A1057" s="13">
        <v>2</v>
      </c>
      <c r="B1057" t="str" cm="1">
        <f t="array" ref="B1057">_xlfn.IFS(Datasets!Q1057=1,"LoW",Table1[[#This Row],[JobSatisfaction]]=2,"Medium",Table1[[#This Row],[JobSatisfaction]]=3,"High",Table1[[#This Row],[JobSatisfaction]]=4,"Very High")</f>
        <v>Medium</v>
      </c>
      <c r="H1057" s="5">
        <v>3</v>
      </c>
      <c r="I1057" t="str" cm="1">
        <f t="array" ref="I1057">_xlfn.IFS(H1057=1,"low",H1057=2,"medium",H1057=3,"balanced",H1057=4,"Good")</f>
        <v>balanced</v>
      </c>
    </row>
    <row r="1058" spans="1:9" x14ac:dyDescent="0.3">
      <c r="A1058" s="14">
        <v>4</v>
      </c>
      <c r="B1058" t="str" cm="1">
        <f t="array" ref="B1058">_xlfn.IFS(Datasets!Q1058=1,"LoW",Table1[[#This Row],[JobSatisfaction]]=2,"Medium",Table1[[#This Row],[JobSatisfaction]]=3,"High",Table1[[#This Row],[JobSatisfaction]]=4,"Very High")</f>
        <v>Very High</v>
      </c>
      <c r="H1058" s="5">
        <v>2</v>
      </c>
      <c r="I1058" t="str" cm="1">
        <f t="array" ref="I1058">_xlfn.IFS(H1058=1,"low",H1058=2,"medium",H1058=3,"balanced",H1058=4,"Good")</f>
        <v>medium</v>
      </c>
    </row>
    <row r="1059" spans="1:9" x14ac:dyDescent="0.3">
      <c r="A1059" s="13">
        <v>1</v>
      </c>
      <c r="B1059" t="str" cm="1">
        <f t="array" ref="B1059">_xlfn.IFS(Datasets!Q1059=1,"LoW",Table1[[#This Row],[JobSatisfaction]]=2,"Medium",Table1[[#This Row],[JobSatisfaction]]=3,"High",Table1[[#This Row],[JobSatisfaction]]=4,"Very High")</f>
        <v>LoW</v>
      </c>
      <c r="H1059" s="5">
        <v>2</v>
      </c>
      <c r="I1059" t="str" cm="1">
        <f t="array" ref="I1059">_xlfn.IFS(H1059=1,"low",H1059=2,"medium",H1059=3,"balanced",H1059=4,"Good")</f>
        <v>medium</v>
      </c>
    </row>
    <row r="1060" spans="1:9" x14ac:dyDescent="0.3">
      <c r="A1060" s="14">
        <v>4</v>
      </c>
      <c r="B1060" t="str" cm="1">
        <f t="array" ref="B1060">_xlfn.IFS(Datasets!Q1060=1,"LoW",Table1[[#This Row],[JobSatisfaction]]=2,"Medium",Table1[[#This Row],[JobSatisfaction]]=3,"High",Table1[[#This Row],[JobSatisfaction]]=4,"Very High")</f>
        <v>Very High</v>
      </c>
      <c r="H1060" s="5">
        <v>4</v>
      </c>
      <c r="I1060" t="str" cm="1">
        <f t="array" ref="I1060">_xlfn.IFS(H1060=1,"low",H1060=2,"medium",H1060=3,"balanced",H1060=4,"Good")</f>
        <v>Good</v>
      </c>
    </row>
    <row r="1061" spans="1:9" x14ac:dyDescent="0.3">
      <c r="A1061" s="13">
        <v>3</v>
      </c>
      <c r="B1061" t="str" cm="1">
        <f t="array" ref="B1061">_xlfn.IFS(Datasets!Q1061=1,"LoW",Table1[[#This Row],[JobSatisfaction]]=2,"Medium",Table1[[#This Row],[JobSatisfaction]]=3,"High",Table1[[#This Row],[JobSatisfaction]]=4,"Very High")</f>
        <v>High</v>
      </c>
      <c r="H1061" s="5">
        <v>3</v>
      </c>
      <c r="I1061" t="str" cm="1">
        <f t="array" ref="I1061">_xlfn.IFS(H1061=1,"low",H1061=2,"medium",H1061=3,"balanced",H1061=4,"Good")</f>
        <v>balanced</v>
      </c>
    </row>
    <row r="1062" spans="1:9" x14ac:dyDescent="0.3">
      <c r="A1062" s="14">
        <v>2</v>
      </c>
      <c r="B1062" t="str" cm="1">
        <f t="array" ref="B1062">_xlfn.IFS(Datasets!Q1062=1,"LoW",Table1[[#This Row],[JobSatisfaction]]=2,"Medium",Table1[[#This Row],[JobSatisfaction]]=3,"High",Table1[[#This Row],[JobSatisfaction]]=4,"Very High")</f>
        <v>Medium</v>
      </c>
      <c r="H1062" s="5">
        <v>3</v>
      </c>
      <c r="I1062" t="str" cm="1">
        <f t="array" ref="I1062">_xlfn.IFS(H1062=1,"low",H1062=2,"medium",H1062=3,"balanced",H1062=4,"Good")</f>
        <v>balanced</v>
      </c>
    </row>
    <row r="1063" spans="1:9" x14ac:dyDescent="0.3">
      <c r="A1063" s="13">
        <v>4</v>
      </c>
      <c r="B1063" t="str" cm="1">
        <f t="array" ref="B1063">_xlfn.IFS(Datasets!Q1063=1,"LoW",Table1[[#This Row],[JobSatisfaction]]=2,"Medium",Table1[[#This Row],[JobSatisfaction]]=3,"High",Table1[[#This Row],[JobSatisfaction]]=4,"Very High")</f>
        <v>Very High</v>
      </c>
      <c r="H1063" s="5">
        <v>3</v>
      </c>
      <c r="I1063" t="str" cm="1">
        <f t="array" ref="I1063">_xlfn.IFS(H1063=1,"low",H1063=2,"medium",H1063=3,"balanced",H1063=4,"Good")</f>
        <v>balanced</v>
      </c>
    </row>
    <row r="1064" spans="1:9" x14ac:dyDescent="0.3">
      <c r="A1064" s="14">
        <v>4</v>
      </c>
      <c r="B1064" t="str" cm="1">
        <f t="array" ref="B1064">_xlfn.IFS(Datasets!Q1064=1,"LoW",Table1[[#This Row],[JobSatisfaction]]=2,"Medium",Table1[[#This Row],[JobSatisfaction]]=3,"High",Table1[[#This Row],[JobSatisfaction]]=4,"Very High")</f>
        <v>Very High</v>
      </c>
      <c r="H1064" s="5">
        <v>3</v>
      </c>
      <c r="I1064" t="str" cm="1">
        <f t="array" ref="I1064">_xlfn.IFS(H1064=1,"low",H1064=2,"medium",H1064=3,"balanced",H1064=4,"Good")</f>
        <v>balanced</v>
      </c>
    </row>
    <row r="1065" spans="1:9" x14ac:dyDescent="0.3">
      <c r="A1065" s="13">
        <v>1</v>
      </c>
      <c r="B1065" t="str" cm="1">
        <f t="array" ref="B1065">_xlfn.IFS(Datasets!Q1065=1,"LoW",Table1[[#This Row],[JobSatisfaction]]=2,"Medium",Table1[[#This Row],[JobSatisfaction]]=3,"High",Table1[[#This Row],[JobSatisfaction]]=4,"Very High")</f>
        <v>LoW</v>
      </c>
      <c r="H1065" s="5">
        <v>3</v>
      </c>
      <c r="I1065" t="str" cm="1">
        <f t="array" ref="I1065">_xlfn.IFS(H1065=1,"low",H1065=2,"medium",H1065=3,"balanced",H1065=4,"Good")</f>
        <v>balanced</v>
      </c>
    </row>
    <row r="1066" spans="1:9" x14ac:dyDescent="0.3">
      <c r="A1066" s="14">
        <v>3</v>
      </c>
      <c r="B1066" t="str" cm="1">
        <f t="array" ref="B1066">_xlfn.IFS(Datasets!Q1066=1,"LoW",Table1[[#This Row],[JobSatisfaction]]=2,"Medium",Table1[[#This Row],[JobSatisfaction]]=3,"High",Table1[[#This Row],[JobSatisfaction]]=4,"Very High")</f>
        <v>High</v>
      </c>
      <c r="H1066" s="5">
        <v>3</v>
      </c>
      <c r="I1066" t="str" cm="1">
        <f t="array" ref="I1066">_xlfn.IFS(H1066=1,"low",H1066=2,"medium",H1066=3,"balanced",H1066=4,"Good")</f>
        <v>balanced</v>
      </c>
    </row>
    <row r="1067" spans="1:9" x14ac:dyDescent="0.3">
      <c r="A1067" s="13">
        <v>4</v>
      </c>
      <c r="B1067" t="str" cm="1">
        <f t="array" ref="B1067">_xlfn.IFS(Datasets!Q1067=1,"LoW",Table1[[#This Row],[JobSatisfaction]]=2,"Medium",Table1[[#This Row],[JobSatisfaction]]=3,"High",Table1[[#This Row],[JobSatisfaction]]=4,"Very High")</f>
        <v>Very High</v>
      </c>
      <c r="H1067" s="5">
        <v>2</v>
      </c>
      <c r="I1067" t="str" cm="1">
        <f t="array" ref="I1067">_xlfn.IFS(H1067=1,"low",H1067=2,"medium",H1067=3,"balanced",H1067=4,"Good")</f>
        <v>medium</v>
      </c>
    </row>
    <row r="1068" spans="1:9" x14ac:dyDescent="0.3">
      <c r="A1068" s="14">
        <v>3</v>
      </c>
      <c r="B1068" t="str" cm="1">
        <f t="array" ref="B1068">_xlfn.IFS(Datasets!Q1068=1,"LoW",Table1[[#This Row],[JobSatisfaction]]=2,"Medium",Table1[[#This Row],[JobSatisfaction]]=3,"High",Table1[[#This Row],[JobSatisfaction]]=4,"Very High")</f>
        <v>High</v>
      </c>
      <c r="H1068" s="5">
        <v>3</v>
      </c>
      <c r="I1068" t="str" cm="1">
        <f t="array" ref="I1068">_xlfn.IFS(H1068=1,"low",H1068=2,"medium",H1068=3,"balanced",H1068=4,"Good")</f>
        <v>balanced</v>
      </c>
    </row>
    <row r="1069" spans="1:9" x14ac:dyDescent="0.3">
      <c r="A1069" s="13">
        <v>1</v>
      </c>
      <c r="B1069" t="str" cm="1">
        <f t="array" ref="B1069">_xlfn.IFS(Datasets!Q1069=1,"LoW",Table1[[#This Row],[JobSatisfaction]]=2,"Medium",Table1[[#This Row],[JobSatisfaction]]=3,"High",Table1[[#This Row],[JobSatisfaction]]=4,"Very High")</f>
        <v>LoW</v>
      </c>
      <c r="H1069" s="5">
        <v>2</v>
      </c>
      <c r="I1069" t="str" cm="1">
        <f t="array" ref="I1069">_xlfn.IFS(H1069=1,"low",H1069=2,"medium",H1069=3,"balanced",H1069=4,"Good")</f>
        <v>medium</v>
      </c>
    </row>
    <row r="1070" spans="1:9" x14ac:dyDescent="0.3">
      <c r="A1070" s="14">
        <v>4</v>
      </c>
      <c r="B1070" t="str" cm="1">
        <f t="array" ref="B1070">_xlfn.IFS(Datasets!Q1070=1,"LoW",Table1[[#This Row],[JobSatisfaction]]=2,"Medium",Table1[[#This Row],[JobSatisfaction]]=3,"High",Table1[[#This Row],[JobSatisfaction]]=4,"Very High")</f>
        <v>Very High</v>
      </c>
      <c r="H1070" s="5">
        <v>2</v>
      </c>
      <c r="I1070" t="str" cm="1">
        <f t="array" ref="I1070">_xlfn.IFS(H1070=1,"low",H1070=2,"medium",H1070=3,"balanced",H1070=4,"Good")</f>
        <v>medium</v>
      </c>
    </row>
    <row r="1071" spans="1:9" x14ac:dyDescent="0.3">
      <c r="A1071" s="13">
        <v>2</v>
      </c>
      <c r="B1071" t="str" cm="1">
        <f t="array" ref="B1071">_xlfn.IFS(Datasets!Q1071=1,"LoW",Table1[[#This Row],[JobSatisfaction]]=2,"Medium",Table1[[#This Row],[JobSatisfaction]]=3,"High",Table1[[#This Row],[JobSatisfaction]]=4,"Very High")</f>
        <v>Medium</v>
      </c>
      <c r="H1071" s="5">
        <v>3</v>
      </c>
      <c r="I1071" t="str" cm="1">
        <f t="array" ref="I1071">_xlfn.IFS(H1071=1,"low",H1071=2,"medium",H1071=3,"balanced",H1071=4,"Good")</f>
        <v>balanced</v>
      </c>
    </row>
    <row r="1072" spans="1:9" x14ac:dyDescent="0.3">
      <c r="A1072" s="14">
        <v>4</v>
      </c>
      <c r="B1072" t="str" cm="1">
        <f t="array" ref="B1072">_xlfn.IFS(Datasets!Q1072=1,"LoW",Table1[[#This Row],[JobSatisfaction]]=2,"Medium",Table1[[#This Row],[JobSatisfaction]]=3,"High",Table1[[#This Row],[JobSatisfaction]]=4,"Very High")</f>
        <v>Very High</v>
      </c>
      <c r="H1072" s="5">
        <v>3</v>
      </c>
      <c r="I1072" t="str" cm="1">
        <f t="array" ref="I1072">_xlfn.IFS(H1072=1,"low",H1072=2,"medium",H1072=3,"balanced",H1072=4,"Good")</f>
        <v>balanced</v>
      </c>
    </row>
    <row r="1073" spans="1:9" x14ac:dyDescent="0.3">
      <c r="A1073" s="13">
        <v>4</v>
      </c>
      <c r="B1073" t="str" cm="1">
        <f t="array" ref="B1073">_xlfn.IFS(Datasets!Q1073=1,"LoW",Table1[[#This Row],[JobSatisfaction]]=2,"Medium",Table1[[#This Row],[JobSatisfaction]]=3,"High",Table1[[#This Row],[JobSatisfaction]]=4,"Very High")</f>
        <v>Very High</v>
      </c>
      <c r="H1073" s="5">
        <v>4</v>
      </c>
      <c r="I1073" t="str" cm="1">
        <f t="array" ref="I1073">_xlfn.IFS(H1073=1,"low",H1073=2,"medium",H1073=3,"balanced",H1073=4,"Good")</f>
        <v>Good</v>
      </c>
    </row>
    <row r="1074" spans="1:9" x14ac:dyDescent="0.3">
      <c r="A1074" s="14">
        <v>2</v>
      </c>
      <c r="B1074" t="str" cm="1">
        <f t="array" ref="B1074">_xlfn.IFS(Datasets!Q1074=1,"LoW",Table1[[#This Row],[JobSatisfaction]]=2,"Medium",Table1[[#This Row],[JobSatisfaction]]=3,"High",Table1[[#This Row],[JobSatisfaction]]=4,"Very High")</f>
        <v>Medium</v>
      </c>
      <c r="H1074" s="5">
        <v>2</v>
      </c>
      <c r="I1074" t="str" cm="1">
        <f t="array" ref="I1074">_xlfn.IFS(H1074=1,"low",H1074=2,"medium",H1074=3,"balanced",H1074=4,"Good")</f>
        <v>medium</v>
      </c>
    </row>
    <row r="1075" spans="1:9" x14ac:dyDescent="0.3">
      <c r="A1075" s="13">
        <v>4</v>
      </c>
      <c r="B1075" t="str" cm="1">
        <f t="array" ref="B1075">_xlfn.IFS(Datasets!Q1075=1,"LoW",Table1[[#This Row],[JobSatisfaction]]=2,"Medium",Table1[[#This Row],[JobSatisfaction]]=3,"High",Table1[[#This Row],[JobSatisfaction]]=4,"Very High")</f>
        <v>Very High</v>
      </c>
      <c r="H1075" s="5">
        <v>1</v>
      </c>
      <c r="I1075" t="str" cm="1">
        <f t="array" ref="I1075">_xlfn.IFS(H1075=1,"low",H1075=2,"medium",H1075=3,"balanced",H1075=4,"Good")</f>
        <v>low</v>
      </c>
    </row>
    <row r="1076" spans="1:9" x14ac:dyDescent="0.3">
      <c r="A1076" s="14">
        <v>4</v>
      </c>
      <c r="B1076" t="str" cm="1">
        <f t="array" ref="B1076">_xlfn.IFS(Datasets!Q1076=1,"LoW",Table1[[#This Row],[JobSatisfaction]]=2,"Medium",Table1[[#This Row],[JobSatisfaction]]=3,"High",Table1[[#This Row],[JobSatisfaction]]=4,"Very High")</f>
        <v>Very High</v>
      </c>
      <c r="H1076" s="5">
        <v>2</v>
      </c>
      <c r="I1076" t="str" cm="1">
        <f t="array" ref="I1076">_xlfn.IFS(H1076=1,"low",H1076=2,"medium",H1076=3,"balanced",H1076=4,"Good")</f>
        <v>medium</v>
      </c>
    </row>
    <row r="1077" spans="1:9" x14ac:dyDescent="0.3">
      <c r="A1077" s="13">
        <v>3</v>
      </c>
      <c r="B1077" t="str" cm="1">
        <f t="array" ref="B1077">_xlfn.IFS(Datasets!Q1077=1,"LoW",Table1[[#This Row],[JobSatisfaction]]=2,"Medium",Table1[[#This Row],[JobSatisfaction]]=3,"High",Table1[[#This Row],[JobSatisfaction]]=4,"Very High")</f>
        <v>High</v>
      </c>
      <c r="H1077" s="5">
        <v>4</v>
      </c>
      <c r="I1077" t="str" cm="1">
        <f t="array" ref="I1077">_xlfn.IFS(H1077=1,"low",H1077=2,"medium",H1077=3,"balanced",H1077=4,"Good")</f>
        <v>Good</v>
      </c>
    </row>
    <row r="1078" spans="1:9" x14ac:dyDescent="0.3">
      <c r="A1078" s="14">
        <v>4</v>
      </c>
      <c r="B1078" t="str" cm="1">
        <f t="array" ref="B1078">_xlfn.IFS(Datasets!Q1078=1,"LoW",Table1[[#This Row],[JobSatisfaction]]=2,"Medium",Table1[[#This Row],[JobSatisfaction]]=3,"High",Table1[[#This Row],[JobSatisfaction]]=4,"Very High")</f>
        <v>Very High</v>
      </c>
      <c r="H1078" s="5">
        <v>3</v>
      </c>
      <c r="I1078" t="str" cm="1">
        <f t="array" ref="I1078">_xlfn.IFS(H1078=1,"low",H1078=2,"medium",H1078=3,"balanced",H1078=4,"Good")</f>
        <v>balanced</v>
      </c>
    </row>
    <row r="1079" spans="1:9" x14ac:dyDescent="0.3">
      <c r="A1079" s="13">
        <v>4</v>
      </c>
      <c r="B1079" t="str" cm="1">
        <f t="array" ref="B1079">_xlfn.IFS(Datasets!Q1079=1,"LoW",Table1[[#This Row],[JobSatisfaction]]=2,"Medium",Table1[[#This Row],[JobSatisfaction]]=3,"High",Table1[[#This Row],[JobSatisfaction]]=4,"Very High")</f>
        <v>Very High</v>
      </c>
      <c r="H1079" s="5">
        <v>3</v>
      </c>
      <c r="I1079" t="str" cm="1">
        <f t="array" ref="I1079">_xlfn.IFS(H1079=1,"low",H1079=2,"medium",H1079=3,"balanced",H1079=4,"Good")</f>
        <v>balanced</v>
      </c>
    </row>
    <row r="1080" spans="1:9" x14ac:dyDescent="0.3">
      <c r="A1080" s="14">
        <v>4</v>
      </c>
      <c r="B1080" t="str" cm="1">
        <f t="array" ref="B1080">_xlfn.IFS(Datasets!Q1080=1,"LoW",Table1[[#This Row],[JobSatisfaction]]=2,"Medium",Table1[[#This Row],[JobSatisfaction]]=3,"High",Table1[[#This Row],[JobSatisfaction]]=4,"Very High")</f>
        <v>Very High</v>
      </c>
      <c r="H1080" s="5">
        <v>3</v>
      </c>
      <c r="I1080" t="str" cm="1">
        <f t="array" ref="I1080">_xlfn.IFS(H1080=1,"low",H1080=2,"medium",H1080=3,"balanced",H1080=4,"Good")</f>
        <v>balanced</v>
      </c>
    </row>
    <row r="1081" spans="1:9" x14ac:dyDescent="0.3">
      <c r="A1081" s="13">
        <v>3</v>
      </c>
      <c r="B1081" t="str" cm="1">
        <f t="array" ref="B1081">_xlfn.IFS(Datasets!Q1081=1,"LoW",Table1[[#This Row],[JobSatisfaction]]=2,"Medium",Table1[[#This Row],[JobSatisfaction]]=3,"High",Table1[[#This Row],[JobSatisfaction]]=4,"Very High")</f>
        <v>High</v>
      </c>
      <c r="H1081" s="5">
        <v>4</v>
      </c>
      <c r="I1081" t="str" cm="1">
        <f t="array" ref="I1081">_xlfn.IFS(H1081=1,"low",H1081=2,"medium",H1081=3,"balanced",H1081=4,"Good")</f>
        <v>Good</v>
      </c>
    </row>
    <row r="1082" spans="1:9" x14ac:dyDescent="0.3">
      <c r="A1082" s="14">
        <v>4</v>
      </c>
      <c r="B1082" t="str" cm="1">
        <f t="array" ref="B1082">_xlfn.IFS(Datasets!Q1082=1,"LoW",Table1[[#This Row],[JobSatisfaction]]=2,"Medium",Table1[[#This Row],[JobSatisfaction]]=3,"High",Table1[[#This Row],[JobSatisfaction]]=4,"Very High")</f>
        <v>Very High</v>
      </c>
      <c r="H1082" s="5">
        <v>3</v>
      </c>
      <c r="I1082" t="str" cm="1">
        <f t="array" ref="I1082">_xlfn.IFS(H1082=1,"low",H1082=2,"medium",H1082=3,"balanced",H1082=4,"Good")</f>
        <v>balanced</v>
      </c>
    </row>
    <row r="1083" spans="1:9" x14ac:dyDescent="0.3">
      <c r="A1083" s="13">
        <v>3</v>
      </c>
      <c r="B1083" t="str" cm="1">
        <f t="array" ref="B1083">_xlfn.IFS(Datasets!Q1083=1,"LoW",Table1[[#This Row],[JobSatisfaction]]=2,"Medium",Table1[[#This Row],[JobSatisfaction]]=3,"High",Table1[[#This Row],[JobSatisfaction]]=4,"Very High")</f>
        <v>High</v>
      </c>
      <c r="H1083" s="5">
        <v>3</v>
      </c>
      <c r="I1083" t="str" cm="1">
        <f t="array" ref="I1083">_xlfn.IFS(H1083=1,"low",H1083=2,"medium",H1083=3,"balanced",H1083=4,"Good")</f>
        <v>balanced</v>
      </c>
    </row>
    <row r="1084" spans="1:9" x14ac:dyDescent="0.3">
      <c r="A1084" s="14">
        <v>4</v>
      </c>
      <c r="B1084" t="str" cm="1">
        <f t="array" ref="B1084">_xlfn.IFS(Datasets!Q1084=1,"LoW",Table1[[#This Row],[JobSatisfaction]]=2,"Medium",Table1[[#This Row],[JobSatisfaction]]=3,"High",Table1[[#This Row],[JobSatisfaction]]=4,"Very High")</f>
        <v>Very High</v>
      </c>
      <c r="H1084" s="5">
        <v>3</v>
      </c>
      <c r="I1084" t="str" cm="1">
        <f t="array" ref="I1084">_xlfn.IFS(H1084=1,"low",H1084=2,"medium",H1084=3,"balanced",H1084=4,"Good")</f>
        <v>balanced</v>
      </c>
    </row>
    <row r="1085" spans="1:9" x14ac:dyDescent="0.3">
      <c r="A1085" s="13">
        <v>4</v>
      </c>
      <c r="B1085" t="str" cm="1">
        <f t="array" ref="B1085">_xlfn.IFS(Datasets!Q1085=1,"LoW",Table1[[#This Row],[JobSatisfaction]]=2,"Medium",Table1[[#This Row],[JobSatisfaction]]=3,"High",Table1[[#This Row],[JobSatisfaction]]=4,"Very High")</f>
        <v>Very High</v>
      </c>
      <c r="H1085" s="5">
        <v>3</v>
      </c>
      <c r="I1085" t="str" cm="1">
        <f t="array" ref="I1085">_xlfn.IFS(H1085=1,"low",H1085=2,"medium",H1085=3,"balanced",H1085=4,"Good")</f>
        <v>balanced</v>
      </c>
    </row>
    <row r="1086" spans="1:9" x14ac:dyDescent="0.3">
      <c r="A1086" s="14">
        <v>4</v>
      </c>
      <c r="B1086" t="str" cm="1">
        <f t="array" ref="B1086">_xlfn.IFS(Datasets!Q1086=1,"LoW",Table1[[#This Row],[JobSatisfaction]]=2,"Medium",Table1[[#This Row],[JobSatisfaction]]=3,"High",Table1[[#This Row],[JobSatisfaction]]=4,"Very High")</f>
        <v>Very High</v>
      </c>
      <c r="H1086" s="5">
        <v>2</v>
      </c>
      <c r="I1086" t="str" cm="1">
        <f t="array" ref="I1086">_xlfn.IFS(H1086=1,"low",H1086=2,"medium",H1086=3,"balanced",H1086=4,"Good")</f>
        <v>medium</v>
      </c>
    </row>
    <row r="1087" spans="1:9" x14ac:dyDescent="0.3">
      <c r="A1087" s="13">
        <v>3</v>
      </c>
      <c r="B1087" t="str" cm="1">
        <f t="array" ref="B1087">_xlfn.IFS(Datasets!Q1087=1,"LoW",Table1[[#This Row],[JobSatisfaction]]=2,"Medium",Table1[[#This Row],[JobSatisfaction]]=3,"High",Table1[[#This Row],[JobSatisfaction]]=4,"Very High")</f>
        <v>High</v>
      </c>
      <c r="H1087" s="5">
        <v>3</v>
      </c>
      <c r="I1087" t="str" cm="1">
        <f t="array" ref="I1087">_xlfn.IFS(H1087=1,"low",H1087=2,"medium",H1087=3,"balanced",H1087=4,"Good")</f>
        <v>balanced</v>
      </c>
    </row>
    <row r="1088" spans="1:9" x14ac:dyDescent="0.3">
      <c r="A1088" s="14">
        <v>4</v>
      </c>
      <c r="B1088" t="str" cm="1">
        <f t="array" ref="B1088">_xlfn.IFS(Datasets!Q1088=1,"LoW",Table1[[#This Row],[JobSatisfaction]]=2,"Medium",Table1[[#This Row],[JobSatisfaction]]=3,"High",Table1[[#This Row],[JobSatisfaction]]=4,"Very High")</f>
        <v>Very High</v>
      </c>
      <c r="H1088" s="5">
        <v>3</v>
      </c>
      <c r="I1088" t="str" cm="1">
        <f t="array" ref="I1088">_xlfn.IFS(H1088=1,"low",H1088=2,"medium",H1088=3,"balanced",H1088=4,"Good")</f>
        <v>balanced</v>
      </c>
    </row>
    <row r="1089" spans="1:9" x14ac:dyDescent="0.3">
      <c r="A1089" s="13">
        <v>1</v>
      </c>
      <c r="B1089" t="str" cm="1">
        <f t="array" ref="B1089">_xlfn.IFS(Datasets!Q1089=1,"LoW",Table1[[#This Row],[JobSatisfaction]]=2,"Medium",Table1[[#This Row],[JobSatisfaction]]=3,"High",Table1[[#This Row],[JobSatisfaction]]=4,"Very High")</f>
        <v>LoW</v>
      </c>
      <c r="H1089" s="5">
        <v>2</v>
      </c>
      <c r="I1089" t="str" cm="1">
        <f t="array" ref="I1089">_xlfn.IFS(H1089=1,"low",H1089=2,"medium",H1089=3,"balanced",H1089=4,"Good")</f>
        <v>medium</v>
      </c>
    </row>
    <row r="1090" spans="1:9" x14ac:dyDescent="0.3">
      <c r="A1090" s="14">
        <v>2</v>
      </c>
      <c r="B1090" t="str" cm="1">
        <f t="array" ref="B1090">_xlfn.IFS(Datasets!Q1090=1,"LoW",Table1[[#This Row],[JobSatisfaction]]=2,"Medium",Table1[[#This Row],[JobSatisfaction]]=3,"High",Table1[[#This Row],[JobSatisfaction]]=4,"Very High")</f>
        <v>Medium</v>
      </c>
      <c r="H1090" s="5">
        <v>3</v>
      </c>
      <c r="I1090" t="str" cm="1">
        <f t="array" ref="I1090">_xlfn.IFS(H1090=1,"low",H1090=2,"medium",H1090=3,"balanced",H1090=4,"Good")</f>
        <v>balanced</v>
      </c>
    </row>
    <row r="1091" spans="1:9" x14ac:dyDescent="0.3">
      <c r="A1091" s="13">
        <v>1</v>
      </c>
      <c r="B1091" t="str" cm="1">
        <f t="array" ref="B1091">_xlfn.IFS(Datasets!Q1091=1,"LoW",Table1[[#This Row],[JobSatisfaction]]=2,"Medium",Table1[[#This Row],[JobSatisfaction]]=3,"High",Table1[[#This Row],[JobSatisfaction]]=4,"Very High")</f>
        <v>LoW</v>
      </c>
      <c r="H1091" s="5">
        <v>3</v>
      </c>
      <c r="I1091" t="str" cm="1">
        <f t="array" ref="I1091">_xlfn.IFS(H1091=1,"low",H1091=2,"medium",H1091=3,"balanced",H1091=4,"Good")</f>
        <v>balanced</v>
      </c>
    </row>
    <row r="1092" spans="1:9" x14ac:dyDescent="0.3">
      <c r="A1092" s="14">
        <v>2</v>
      </c>
      <c r="B1092" t="str" cm="1">
        <f t="array" ref="B1092">_xlfn.IFS(Datasets!Q1092=1,"LoW",Table1[[#This Row],[JobSatisfaction]]=2,"Medium",Table1[[#This Row],[JobSatisfaction]]=3,"High",Table1[[#This Row],[JobSatisfaction]]=4,"Very High")</f>
        <v>Medium</v>
      </c>
      <c r="H1092" s="5">
        <v>2</v>
      </c>
      <c r="I1092" t="str" cm="1">
        <f t="array" ref="I1092">_xlfn.IFS(H1092=1,"low",H1092=2,"medium",H1092=3,"balanced",H1092=4,"Good")</f>
        <v>medium</v>
      </c>
    </row>
    <row r="1093" spans="1:9" x14ac:dyDescent="0.3">
      <c r="A1093" s="13">
        <v>2</v>
      </c>
      <c r="B1093" t="str" cm="1">
        <f t="array" ref="B1093">_xlfn.IFS(Datasets!Q1093=1,"LoW",Table1[[#This Row],[JobSatisfaction]]=2,"Medium",Table1[[#This Row],[JobSatisfaction]]=3,"High",Table1[[#This Row],[JobSatisfaction]]=4,"Very High")</f>
        <v>Medium</v>
      </c>
      <c r="H1093" s="5">
        <v>3</v>
      </c>
      <c r="I1093" t="str" cm="1">
        <f t="array" ref="I1093">_xlfn.IFS(H1093=1,"low",H1093=2,"medium",H1093=3,"balanced",H1093=4,"Good")</f>
        <v>balanced</v>
      </c>
    </row>
    <row r="1094" spans="1:9" x14ac:dyDescent="0.3">
      <c r="A1094" s="14">
        <v>4</v>
      </c>
      <c r="B1094" t="str" cm="1">
        <f t="array" ref="B1094">_xlfn.IFS(Datasets!Q1094=1,"LoW",Table1[[#This Row],[JobSatisfaction]]=2,"Medium",Table1[[#This Row],[JobSatisfaction]]=3,"High",Table1[[#This Row],[JobSatisfaction]]=4,"Very High")</f>
        <v>Very High</v>
      </c>
      <c r="H1094" s="5">
        <v>2</v>
      </c>
      <c r="I1094" t="str" cm="1">
        <f t="array" ref="I1094">_xlfn.IFS(H1094=1,"low",H1094=2,"medium",H1094=3,"balanced",H1094=4,"Good")</f>
        <v>medium</v>
      </c>
    </row>
    <row r="1095" spans="1:9" x14ac:dyDescent="0.3">
      <c r="A1095" s="13">
        <v>2</v>
      </c>
      <c r="B1095" t="str" cm="1">
        <f t="array" ref="B1095">_xlfn.IFS(Datasets!Q1095=1,"LoW",Table1[[#This Row],[JobSatisfaction]]=2,"Medium",Table1[[#This Row],[JobSatisfaction]]=3,"High",Table1[[#This Row],[JobSatisfaction]]=4,"Very High")</f>
        <v>Medium</v>
      </c>
      <c r="H1095" s="5">
        <v>3</v>
      </c>
      <c r="I1095" t="str" cm="1">
        <f t="array" ref="I1095">_xlfn.IFS(H1095=1,"low",H1095=2,"medium",H1095=3,"balanced",H1095=4,"Good")</f>
        <v>balanced</v>
      </c>
    </row>
    <row r="1096" spans="1:9" x14ac:dyDescent="0.3">
      <c r="A1096" s="14">
        <v>3</v>
      </c>
      <c r="B1096" t="str" cm="1">
        <f t="array" ref="B1096">_xlfn.IFS(Datasets!Q1096=1,"LoW",Table1[[#This Row],[JobSatisfaction]]=2,"Medium",Table1[[#This Row],[JobSatisfaction]]=3,"High",Table1[[#This Row],[JobSatisfaction]]=4,"Very High")</f>
        <v>High</v>
      </c>
      <c r="H1096" s="5">
        <v>3</v>
      </c>
      <c r="I1096" t="str" cm="1">
        <f t="array" ref="I1096">_xlfn.IFS(H1096=1,"low",H1096=2,"medium",H1096=3,"balanced",H1096=4,"Good")</f>
        <v>balanced</v>
      </c>
    </row>
    <row r="1097" spans="1:9" x14ac:dyDescent="0.3">
      <c r="A1097" s="13">
        <v>3</v>
      </c>
      <c r="B1097" t="str" cm="1">
        <f t="array" ref="B1097">_xlfn.IFS(Datasets!Q1097=1,"LoW",Table1[[#This Row],[JobSatisfaction]]=2,"Medium",Table1[[#This Row],[JobSatisfaction]]=3,"High",Table1[[#This Row],[JobSatisfaction]]=4,"Very High")</f>
        <v>High</v>
      </c>
      <c r="H1097" s="5">
        <v>3</v>
      </c>
      <c r="I1097" t="str" cm="1">
        <f t="array" ref="I1097">_xlfn.IFS(H1097=1,"low",H1097=2,"medium",H1097=3,"balanced",H1097=4,"Good")</f>
        <v>balanced</v>
      </c>
    </row>
    <row r="1098" spans="1:9" x14ac:dyDescent="0.3">
      <c r="A1098" s="14">
        <v>1</v>
      </c>
      <c r="B1098" t="str" cm="1">
        <f t="array" ref="B1098">_xlfn.IFS(Datasets!Q1098=1,"LoW",Table1[[#This Row],[JobSatisfaction]]=2,"Medium",Table1[[#This Row],[JobSatisfaction]]=3,"High",Table1[[#This Row],[JobSatisfaction]]=4,"Very High")</f>
        <v>LoW</v>
      </c>
      <c r="H1098" s="5">
        <v>3</v>
      </c>
      <c r="I1098" t="str" cm="1">
        <f t="array" ref="I1098">_xlfn.IFS(H1098=1,"low",H1098=2,"medium",H1098=3,"balanced",H1098=4,"Good")</f>
        <v>balanced</v>
      </c>
    </row>
    <row r="1099" spans="1:9" x14ac:dyDescent="0.3">
      <c r="A1099" s="13">
        <v>3</v>
      </c>
      <c r="B1099" t="str" cm="1">
        <f t="array" ref="B1099">_xlfn.IFS(Datasets!Q1099=1,"LoW",Table1[[#This Row],[JobSatisfaction]]=2,"Medium",Table1[[#This Row],[JobSatisfaction]]=3,"High",Table1[[#This Row],[JobSatisfaction]]=4,"Very High")</f>
        <v>High</v>
      </c>
      <c r="H1099" s="5">
        <v>3</v>
      </c>
      <c r="I1099" t="str" cm="1">
        <f t="array" ref="I1099">_xlfn.IFS(H1099=1,"low",H1099=2,"medium",H1099=3,"balanced",H1099=4,"Good")</f>
        <v>balanced</v>
      </c>
    </row>
    <row r="1100" spans="1:9" x14ac:dyDescent="0.3">
      <c r="A1100" s="14">
        <v>2</v>
      </c>
      <c r="B1100" t="str" cm="1">
        <f t="array" ref="B1100">_xlfn.IFS(Datasets!Q1100=1,"LoW",Table1[[#This Row],[JobSatisfaction]]=2,"Medium",Table1[[#This Row],[JobSatisfaction]]=3,"High",Table1[[#This Row],[JobSatisfaction]]=4,"Very High")</f>
        <v>Medium</v>
      </c>
      <c r="H1100" s="5">
        <v>3</v>
      </c>
      <c r="I1100" t="str" cm="1">
        <f t="array" ref="I1100">_xlfn.IFS(H1100=1,"low",H1100=2,"medium",H1100=3,"balanced",H1100=4,"Good")</f>
        <v>balanced</v>
      </c>
    </row>
    <row r="1101" spans="1:9" x14ac:dyDescent="0.3">
      <c r="A1101" s="13">
        <v>1</v>
      </c>
      <c r="B1101" t="str" cm="1">
        <f t="array" ref="B1101">_xlfn.IFS(Datasets!Q1101=1,"LoW",Table1[[#This Row],[JobSatisfaction]]=2,"Medium",Table1[[#This Row],[JobSatisfaction]]=3,"High",Table1[[#This Row],[JobSatisfaction]]=4,"Very High")</f>
        <v>LoW</v>
      </c>
      <c r="H1101" s="5">
        <v>3</v>
      </c>
      <c r="I1101" t="str" cm="1">
        <f t="array" ref="I1101">_xlfn.IFS(H1101=1,"low",H1101=2,"medium",H1101=3,"balanced",H1101=4,"Good")</f>
        <v>balanced</v>
      </c>
    </row>
    <row r="1102" spans="1:9" x14ac:dyDescent="0.3">
      <c r="A1102" s="14">
        <v>3</v>
      </c>
      <c r="B1102" t="str" cm="1">
        <f t="array" ref="B1102">_xlfn.IFS(Datasets!Q1102=1,"LoW",Table1[[#This Row],[JobSatisfaction]]=2,"Medium",Table1[[#This Row],[JobSatisfaction]]=3,"High",Table1[[#This Row],[JobSatisfaction]]=4,"Very High")</f>
        <v>High</v>
      </c>
      <c r="H1102" s="5">
        <v>3</v>
      </c>
      <c r="I1102" t="str" cm="1">
        <f t="array" ref="I1102">_xlfn.IFS(H1102=1,"low",H1102=2,"medium",H1102=3,"balanced",H1102=4,"Good")</f>
        <v>balanced</v>
      </c>
    </row>
    <row r="1103" spans="1:9" x14ac:dyDescent="0.3">
      <c r="A1103" s="13">
        <v>2</v>
      </c>
      <c r="B1103" t="str" cm="1">
        <f t="array" ref="B1103">_xlfn.IFS(Datasets!Q1103=1,"LoW",Table1[[#This Row],[JobSatisfaction]]=2,"Medium",Table1[[#This Row],[JobSatisfaction]]=3,"High",Table1[[#This Row],[JobSatisfaction]]=4,"Very High")</f>
        <v>Medium</v>
      </c>
      <c r="H1103" s="5">
        <v>3</v>
      </c>
      <c r="I1103" t="str" cm="1">
        <f t="array" ref="I1103">_xlfn.IFS(H1103=1,"low",H1103=2,"medium",H1103=3,"balanced",H1103=4,"Good")</f>
        <v>balanced</v>
      </c>
    </row>
    <row r="1104" spans="1:9" x14ac:dyDescent="0.3">
      <c r="A1104" s="14">
        <v>3</v>
      </c>
      <c r="B1104" t="str" cm="1">
        <f t="array" ref="B1104">_xlfn.IFS(Datasets!Q1104=1,"LoW",Table1[[#This Row],[JobSatisfaction]]=2,"Medium",Table1[[#This Row],[JobSatisfaction]]=3,"High",Table1[[#This Row],[JobSatisfaction]]=4,"Very High")</f>
        <v>High</v>
      </c>
      <c r="H1104" s="5">
        <v>3</v>
      </c>
      <c r="I1104" t="str" cm="1">
        <f t="array" ref="I1104">_xlfn.IFS(H1104=1,"low",H1104=2,"medium",H1104=3,"balanced",H1104=4,"Good")</f>
        <v>balanced</v>
      </c>
    </row>
    <row r="1105" spans="1:9" x14ac:dyDescent="0.3">
      <c r="A1105" s="13">
        <v>1</v>
      </c>
      <c r="B1105" t="str" cm="1">
        <f t="array" ref="B1105">_xlfn.IFS(Datasets!Q1105=1,"LoW",Table1[[#This Row],[JobSatisfaction]]=2,"Medium",Table1[[#This Row],[JobSatisfaction]]=3,"High",Table1[[#This Row],[JobSatisfaction]]=4,"Very High")</f>
        <v>LoW</v>
      </c>
      <c r="H1105" s="5">
        <v>4</v>
      </c>
      <c r="I1105" t="str" cm="1">
        <f t="array" ref="I1105">_xlfn.IFS(H1105=1,"low",H1105=2,"medium",H1105=3,"balanced",H1105=4,"Good")</f>
        <v>Good</v>
      </c>
    </row>
    <row r="1106" spans="1:9" x14ac:dyDescent="0.3">
      <c r="A1106" s="14">
        <v>1</v>
      </c>
      <c r="B1106" t="str" cm="1">
        <f t="array" ref="B1106">_xlfn.IFS(Datasets!Q1106=1,"LoW",Table1[[#This Row],[JobSatisfaction]]=2,"Medium",Table1[[#This Row],[JobSatisfaction]]=3,"High",Table1[[#This Row],[JobSatisfaction]]=4,"Very High")</f>
        <v>LoW</v>
      </c>
      <c r="H1106" s="5">
        <v>3</v>
      </c>
      <c r="I1106" t="str" cm="1">
        <f t="array" ref="I1106">_xlfn.IFS(H1106=1,"low",H1106=2,"medium",H1106=3,"balanced",H1106=4,"Good")</f>
        <v>balanced</v>
      </c>
    </row>
    <row r="1107" spans="1:9" x14ac:dyDescent="0.3">
      <c r="A1107" s="13">
        <v>1</v>
      </c>
      <c r="B1107" t="str" cm="1">
        <f t="array" ref="B1107">_xlfn.IFS(Datasets!Q1107=1,"LoW",Table1[[#This Row],[JobSatisfaction]]=2,"Medium",Table1[[#This Row],[JobSatisfaction]]=3,"High",Table1[[#This Row],[JobSatisfaction]]=4,"Very High")</f>
        <v>LoW</v>
      </c>
      <c r="H1107" s="5">
        <v>2</v>
      </c>
      <c r="I1107" t="str" cm="1">
        <f t="array" ref="I1107">_xlfn.IFS(H1107=1,"low",H1107=2,"medium",H1107=3,"balanced",H1107=4,"Good")</f>
        <v>medium</v>
      </c>
    </row>
    <row r="1108" spans="1:9" x14ac:dyDescent="0.3">
      <c r="A1108" s="14">
        <v>1</v>
      </c>
      <c r="B1108" t="str" cm="1">
        <f t="array" ref="B1108">_xlfn.IFS(Datasets!Q1108=1,"LoW",Table1[[#This Row],[JobSatisfaction]]=2,"Medium",Table1[[#This Row],[JobSatisfaction]]=3,"High",Table1[[#This Row],[JobSatisfaction]]=4,"Very High")</f>
        <v>LoW</v>
      </c>
      <c r="H1108" s="5">
        <v>3</v>
      </c>
      <c r="I1108" t="str" cm="1">
        <f t="array" ref="I1108">_xlfn.IFS(H1108=1,"low",H1108=2,"medium",H1108=3,"balanced",H1108=4,"Good")</f>
        <v>balanced</v>
      </c>
    </row>
    <row r="1109" spans="1:9" x14ac:dyDescent="0.3">
      <c r="A1109" s="13">
        <v>2</v>
      </c>
      <c r="B1109" t="str" cm="1">
        <f t="array" ref="B1109">_xlfn.IFS(Datasets!Q1109=1,"LoW",Table1[[#This Row],[JobSatisfaction]]=2,"Medium",Table1[[#This Row],[JobSatisfaction]]=3,"High",Table1[[#This Row],[JobSatisfaction]]=4,"Very High")</f>
        <v>Medium</v>
      </c>
      <c r="H1109" s="5">
        <v>2</v>
      </c>
      <c r="I1109" t="str" cm="1">
        <f t="array" ref="I1109">_xlfn.IFS(H1109=1,"low",H1109=2,"medium",H1109=3,"balanced",H1109=4,"Good")</f>
        <v>medium</v>
      </c>
    </row>
    <row r="1110" spans="1:9" x14ac:dyDescent="0.3">
      <c r="A1110" s="14">
        <v>1</v>
      </c>
      <c r="B1110" t="str" cm="1">
        <f t="array" ref="B1110">_xlfn.IFS(Datasets!Q1110=1,"LoW",Table1[[#This Row],[JobSatisfaction]]=2,"Medium",Table1[[#This Row],[JobSatisfaction]]=3,"High",Table1[[#This Row],[JobSatisfaction]]=4,"Very High")</f>
        <v>LoW</v>
      </c>
      <c r="H1110" s="5">
        <v>3</v>
      </c>
      <c r="I1110" t="str" cm="1">
        <f t="array" ref="I1110">_xlfn.IFS(H1110=1,"low",H1110=2,"medium",H1110=3,"balanced",H1110=4,"Good")</f>
        <v>balanced</v>
      </c>
    </row>
    <row r="1111" spans="1:9" x14ac:dyDescent="0.3">
      <c r="A1111" s="13">
        <v>3</v>
      </c>
      <c r="B1111" t="str" cm="1">
        <f t="array" ref="B1111">_xlfn.IFS(Datasets!Q1111=1,"LoW",Table1[[#This Row],[JobSatisfaction]]=2,"Medium",Table1[[#This Row],[JobSatisfaction]]=3,"High",Table1[[#This Row],[JobSatisfaction]]=4,"Very High")</f>
        <v>High</v>
      </c>
      <c r="H1111" s="5">
        <v>3</v>
      </c>
      <c r="I1111" t="str" cm="1">
        <f t="array" ref="I1111">_xlfn.IFS(H1111=1,"low",H1111=2,"medium",H1111=3,"balanced",H1111=4,"Good")</f>
        <v>balanced</v>
      </c>
    </row>
    <row r="1112" spans="1:9" x14ac:dyDescent="0.3">
      <c r="A1112" s="14">
        <v>4</v>
      </c>
      <c r="B1112" t="str" cm="1">
        <f t="array" ref="B1112">_xlfn.IFS(Datasets!Q1112=1,"LoW",Table1[[#This Row],[JobSatisfaction]]=2,"Medium",Table1[[#This Row],[JobSatisfaction]]=3,"High",Table1[[#This Row],[JobSatisfaction]]=4,"Very High")</f>
        <v>Very High</v>
      </c>
      <c r="H1112" s="5">
        <v>2</v>
      </c>
      <c r="I1112" t="str" cm="1">
        <f t="array" ref="I1112">_xlfn.IFS(H1112=1,"low",H1112=2,"medium",H1112=3,"balanced",H1112=4,"Good")</f>
        <v>medium</v>
      </c>
    </row>
    <row r="1113" spans="1:9" x14ac:dyDescent="0.3">
      <c r="A1113" s="13">
        <v>1</v>
      </c>
      <c r="B1113" t="str" cm="1">
        <f t="array" ref="B1113">_xlfn.IFS(Datasets!Q1113=1,"LoW",Table1[[#This Row],[JobSatisfaction]]=2,"Medium",Table1[[#This Row],[JobSatisfaction]]=3,"High",Table1[[#This Row],[JobSatisfaction]]=4,"Very High")</f>
        <v>LoW</v>
      </c>
      <c r="H1113" s="5">
        <v>2</v>
      </c>
      <c r="I1113" t="str" cm="1">
        <f t="array" ref="I1113">_xlfn.IFS(H1113=1,"low",H1113=2,"medium",H1113=3,"balanced",H1113=4,"Good")</f>
        <v>medium</v>
      </c>
    </row>
    <row r="1114" spans="1:9" x14ac:dyDescent="0.3">
      <c r="A1114" s="14">
        <v>4</v>
      </c>
      <c r="B1114" t="str" cm="1">
        <f t="array" ref="B1114">_xlfn.IFS(Datasets!Q1114=1,"LoW",Table1[[#This Row],[JobSatisfaction]]=2,"Medium",Table1[[#This Row],[JobSatisfaction]]=3,"High",Table1[[#This Row],[JobSatisfaction]]=4,"Very High")</f>
        <v>Very High</v>
      </c>
      <c r="H1114" s="5">
        <v>2</v>
      </c>
      <c r="I1114" t="str" cm="1">
        <f t="array" ref="I1114">_xlfn.IFS(H1114=1,"low",H1114=2,"medium",H1114=3,"balanced",H1114=4,"Good")</f>
        <v>medium</v>
      </c>
    </row>
    <row r="1115" spans="1:9" x14ac:dyDescent="0.3">
      <c r="A1115" s="13">
        <v>2</v>
      </c>
      <c r="B1115" t="str" cm="1">
        <f t="array" ref="B1115">_xlfn.IFS(Datasets!Q1115=1,"LoW",Table1[[#This Row],[JobSatisfaction]]=2,"Medium",Table1[[#This Row],[JobSatisfaction]]=3,"High",Table1[[#This Row],[JobSatisfaction]]=4,"Very High")</f>
        <v>Medium</v>
      </c>
      <c r="H1115" s="5">
        <v>1</v>
      </c>
      <c r="I1115" t="str" cm="1">
        <f t="array" ref="I1115">_xlfn.IFS(H1115=1,"low",H1115=2,"medium",H1115=3,"balanced",H1115=4,"Good")</f>
        <v>low</v>
      </c>
    </row>
    <row r="1116" spans="1:9" x14ac:dyDescent="0.3">
      <c r="A1116" s="14">
        <v>3</v>
      </c>
      <c r="B1116" t="str" cm="1">
        <f t="array" ref="B1116">_xlfn.IFS(Datasets!Q1116=1,"LoW",Table1[[#This Row],[JobSatisfaction]]=2,"Medium",Table1[[#This Row],[JobSatisfaction]]=3,"High",Table1[[#This Row],[JobSatisfaction]]=4,"Very High")</f>
        <v>High</v>
      </c>
      <c r="H1116" s="5">
        <v>3</v>
      </c>
      <c r="I1116" t="str" cm="1">
        <f t="array" ref="I1116">_xlfn.IFS(H1116=1,"low",H1116=2,"medium",H1116=3,"balanced",H1116=4,"Good")</f>
        <v>balanced</v>
      </c>
    </row>
    <row r="1117" spans="1:9" x14ac:dyDescent="0.3">
      <c r="A1117" s="13">
        <v>2</v>
      </c>
      <c r="B1117" t="str" cm="1">
        <f t="array" ref="B1117">_xlfn.IFS(Datasets!Q1117=1,"LoW",Table1[[#This Row],[JobSatisfaction]]=2,"Medium",Table1[[#This Row],[JobSatisfaction]]=3,"High",Table1[[#This Row],[JobSatisfaction]]=4,"Very High")</f>
        <v>Medium</v>
      </c>
      <c r="H1117" s="5">
        <v>4</v>
      </c>
      <c r="I1117" t="str" cm="1">
        <f t="array" ref="I1117">_xlfn.IFS(H1117=1,"low",H1117=2,"medium",H1117=3,"balanced",H1117=4,"Good")</f>
        <v>Good</v>
      </c>
    </row>
    <row r="1118" spans="1:9" x14ac:dyDescent="0.3">
      <c r="A1118" s="14">
        <v>3</v>
      </c>
      <c r="B1118" t="str" cm="1">
        <f t="array" ref="B1118">_xlfn.IFS(Datasets!Q1118=1,"LoW",Table1[[#This Row],[JobSatisfaction]]=2,"Medium",Table1[[#This Row],[JobSatisfaction]]=3,"High",Table1[[#This Row],[JobSatisfaction]]=4,"Very High")</f>
        <v>High</v>
      </c>
      <c r="H1118" s="5">
        <v>2</v>
      </c>
      <c r="I1118" t="str" cm="1">
        <f t="array" ref="I1118">_xlfn.IFS(H1118=1,"low",H1118=2,"medium",H1118=3,"balanced",H1118=4,"Good")</f>
        <v>medium</v>
      </c>
    </row>
    <row r="1119" spans="1:9" x14ac:dyDescent="0.3">
      <c r="A1119" s="13">
        <v>3</v>
      </c>
      <c r="B1119" t="str" cm="1">
        <f t="array" ref="B1119">_xlfn.IFS(Datasets!Q1119=1,"LoW",Table1[[#This Row],[JobSatisfaction]]=2,"Medium",Table1[[#This Row],[JobSatisfaction]]=3,"High",Table1[[#This Row],[JobSatisfaction]]=4,"Very High")</f>
        <v>High</v>
      </c>
      <c r="H1119" s="5">
        <v>3</v>
      </c>
      <c r="I1119" t="str" cm="1">
        <f t="array" ref="I1119">_xlfn.IFS(H1119=1,"low",H1119=2,"medium",H1119=3,"balanced",H1119=4,"Good")</f>
        <v>balanced</v>
      </c>
    </row>
    <row r="1120" spans="1:9" x14ac:dyDescent="0.3">
      <c r="A1120" s="14">
        <v>3</v>
      </c>
      <c r="B1120" t="str" cm="1">
        <f t="array" ref="B1120">_xlfn.IFS(Datasets!Q1120=1,"LoW",Table1[[#This Row],[JobSatisfaction]]=2,"Medium",Table1[[#This Row],[JobSatisfaction]]=3,"High",Table1[[#This Row],[JobSatisfaction]]=4,"Very High")</f>
        <v>High</v>
      </c>
      <c r="H1120" s="5">
        <v>3</v>
      </c>
      <c r="I1120" t="str" cm="1">
        <f t="array" ref="I1120">_xlfn.IFS(H1120=1,"low",H1120=2,"medium",H1120=3,"balanced",H1120=4,"Good")</f>
        <v>balanced</v>
      </c>
    </row>
    <row r="1121" spans="1:9" x14ac:dyDescent="0.3">
      <c r="A1121" s="13">
        <v>4</v>
      </c>
      <c r="B1121" t="str" cm="1">
        <f t="array" ref="B1121">_xlfn.IFS(Datasets!Q1121=1,"LoW",Table1[[#This Row],[JobSatisfaction]]=2,"Medium",Table1[[#This Row],[JobSatisfaction]]=3,"High",Table1[[#This Row],[JobSatisfaction]]=4,"Very High")</f>
        <v>Very High</v>
      </c>
      <c r="H1121" s="5">
        <v>4</v>
      </c>
      <c r="I1121" t="str" cm="1">
        <f t="array" ref="I1121">_xlfn.IFS(H1121=1,"low",H1121=2,"medium",H1121=3,"balanced",H1121=4,"Good")</f>
        <v>Good</v>
      </c>
    </row>
    <row r="1122" spans="1:9" x14ac:dyDescent="0.3">
      <c r="A1122" s="14">
        <v>1</v>
      </c>
      <c r="B1122" t="str" cm="1">
        <f t="array" ref="B1122">_xlfn.IFS(Datasets!Q1122=1,"LoW",Table1[[#This Row],[JobSatisfaction]]=2,"Medium",Table1[[#This Row],[JobSatisfaction]]=3,"High",Table1[[#This Row],[JobSatisfaction]]=4,"Very High")</f>
        <v>LoW</v>
      </c>
      <c r="H1122" s="5">
        <v>2</v>
      </c>
      <c r="I1122" t="str" cm="1">
        <f t="array" ref="I1122">_xlfn.IFS(H1122=1,"low",H1122=2,"medium",H1122=3,"balanced",H1122=4,"Good")</f>
        <v>medium</v>
      </c>
    </row>
    <row r="1123" spans="1:9" x14ac:dyDescent="0.3">
      <c r="A1123" s="13">
        <v>3</v>
      </c>
      <c r="B1123" t="str" cm="1">
        <f t="array" ref="B1123">_xlfn.IFS(Datasets!Q1123=1,"LoW",Table1[[#This Row],[JobSatisfaction]]=2,"Medium",Table1[[#This Row],[JobSatisfaction]]=3,"High",Table1[[#This Row],[JobSatisfaction]]=4,"Very High")</f>
        <v>High</v>
      </c>
      <c r="H1123" s="5">
        <v>3</v>
      </c>
      <c r="I1123" t="str" cm="1">
        <f t="array" ref="I1123">_xlfn.IFS(H1123=1,"low",H1123=2,"medium",H1123=3,"balanced",H1123=4,"Good")</f>
        <v>balanced</v>
      </c>
    </row>
    <row r="1124" spans="1:9" x14ac:dyDescent="0.3">
      <c r="A1124" s="14">
        <v>3</v>
      </c>
      <c r="B1124" t="str" cm="1">
        <f t="array" ref="B1124">_xlfn.IFS(Datasets!Q1124=1,"LoW",Table1[[#This Row],[JobSatisfaction]]=2,"Medium",Table1[[#This Row],[JobSatisfaction]]=3,"High",Table1[[#This Row],[JobSatisfaction]]=4,"Very High")</f>
        <v>High</v>
      </c>
      <c r="H1124" s="5">
        <v>3</v>
      </c>
      <c r="I1124" t="str" cm="1">
        <f t="array" ref="I1124">_xlfn.IFS(H1124=1,"low",H1124=2,"medium",H1124=3,"balanced",H1124=4,"Good")</f>
        <v>balanced</v>
      </c>
    </row>
    <row r="1125" spans="1:9" x14ac:dyDescent="0.3">
      <c r="A1125" s="13">
        <v>3</v>
      </c>
      <c r="B1125" t="str" cm="1">
        <f t="array" ref="B1125">_xlfn.IFS(Datasets!Q1125=1,"LoW",Table1[[#This Row],[JobSatisfaction]]=2,"Medium",Table1[[#This Row],[JobSatisfaction]]=3,"High",Table1[[#This Row],[JobSatisfaction]]=4,"Very High")</f>
        <v>High</v>
      </c>
      <c r="H1125" s="5">
        <v>4</v>
      </c>
      <c r="I1125" t="str" cm="1">
        <f t="array" ref="I1125">_xlfn.IFS(H1125=1,"low",H1125=2,"medium",H1125=3,"balanced",H1125=4,"Good")</f>
        <v>Good</v>
      </c>
    </row>
    <row r="1126" spans="1:9" x14ac:dyDescent="0.3">
      <c r="A1126" s="14">
        <v>1</v>
      </c>
      <c r="B1126" t="str" cm="1">
        <f t="array" ref="B1126">_xlfn.IFS(Datasets!Q1126=1,"LoW",Table1[[#This Row],[JobSatisfaction]]=2,"Medium",Table1[[#This Row],[JobSatisfaction]]=3,"High",Table1[[#This Row],[JobSatisfaction]]=4,"Very High")</f>
        <v>LoW</v>
      </c>
      <c r="H1126" s="5">
        <v>2</v>
      </c>
      <c r="I1126" t="str" cm="1">
        <f t="array" ref="I1126">_xlfn.IFS(H1126=1,"low",H1126=2,"medium",H1126=3,"balanced",H1126=4,"Good")</f>
        <v>medium</v>
      </c>
    </row>
    <row r="1127" spans="1:9" x14ac:dyDescent="0.3">
      <c r="A1127" s="13">
        <v>3</v>
      </c>
      <c r="B1127" t="str" cm="1">
        <f t="array" ref="B1127">_xlfn.IFS(Datasets!Q1127=1,"LoW",Table1[[#This Row],[JobSatisfaction]]=2,"Medium",Table1[[#This Row],[JobSatisfaction]]=3,"High",Table1[[#This Row],[JobSatisfaction]]=4,"Very High")</f>
        <v>High</v>
      </c>
      <c r="H1127" s="5">
        <v>2</v>
      </c>
      <c r="I1127" t="str" cm="1">
        <f t="array" ref="I1127">_xlfn.IFS(H1127=1,"low",H1127=2,"medium",H1127=3,"balanced",H1127=4,"Good")</f>
        <v>medium</v>
      </c>
    </row>
    <row r="1128" spans="1:9" x14ac:dyDescent="0.3">
      <c r="A1128" s="14">
        <v>2</v>
      </c>
      <c r="B1128" t="str" cm="1">
        <f t="array" ref="B1128">_xlfn.IFS(Datasets!Q1128=1,"LoW",Table1[[#This Row],[JobSatisfaction]]=2,"Medium",Table1[[#This Row],[JobSatisfaction]]=3,"High",Table1[[#This Row],[JobSatisfaction]]=4,"Very High")</f>
        <v>Medium</v>
      </c>
      <c r="H1128" s="5">
        <v>3</v>
      </c>
      <c r="I1128" t="str" cm="1">
        <f t="array" ref="I1128">_xlfn.IFS(H1128=1,"low",H1128=2,"medium",H1128=3,"balanced",H1128=4,"Good")</f>
        <v>balanced</v>
      </c>
    </row>
    <row r="1129" spans="1:9" x14ac:dyDescent="0.3">
      <c r="A1129" s="13">
        <v>4</v>
      </c>
      <c r="B1129" t="str" cm="1">
        <f t="array" ref="B1129">_xlfn.IFS(Datasets!Q1129=1,"LoW",Table1[[#This Row],[JobSatisfaction]]=2,"Medium",Table1[[#This Row],[JobSatisfaction]]=3,"High",Table1[[#This Row],[JobSatisfaction]]=4,"Very High")</f>
        <v>Very High</v>
      </c>
      <c r="H1129" s="5">
        <v>3</v>
      </c>
      <c r="I1129" t="str" cm="1">
        <f t="array" ref="I1129">_xlfn.IFS(H1129=1,"low",H1129=2,"medium",H1129=3,"balanced",H1129=4,"Good")</f>
        <v>balanced</v>
      </c>
    </row>
    <row r="1130" spans="1:9" x14ac:dyDescent="0.3">
      <c r="A1130" s="14">
        <v>2</v>
      </c>
      <c r="B1130" t="str" cm="1">
        <f t="array" ref="B1130">_xlfn.IFS(Datasets!Q1130=1,"LoW",Table1[[#This Row],[JobSatisfaction]]=2,"Medium",Table1[[#This Row],[JobSatisfaction]]=3,"High",Table1[[#This Row],[JobSatisfaction]]=4,"Very High")</f>
        <v>Medium</v>
      </c>
      <c r="H1130" s="5">
        <v>3</v>
      </c>
      <c r="I1130" t="str" cm="1">
        <f t="array" ref="I1130">_xlfn.IFS(H1130=1,"low",H1130=2,"medium",H1130=3,"balanced",H1130=4,"Good")</f>
        <v>balanced</v>
      </c>
    </row>
    <row r="1131" spans="1:9" x14ac:dyDescent="0.3">
      <c r="A1131" s="13">
        <v>4</v>
      </c>
      <c r="B1131" t="str" cm="1">
        <f t="array" ref="B1131">_xlfn.IFS(Datasets!Q1131=1,"LoW",Table1[[#This Row],[JobSatisfaction]]=2,"Medium",Table1[[#This Row],[JobSatisfaction]]=3,"High",Table1[[#This Row],[JobSatisfaction]]=4,"Very High")</f>
        <v>Very High</v>
      </c>
      <c r="H1131" s="5">
        <v>4</v>
      </c>
      <c r="I1131" t="str" cm="1">
        <f t="array" ref="I1131">_xlfn.IFS(H1131=1,"low",H1131=2,"medium",H1131=3,"balanced",H1131=4,"Good")</f>
        <v>Good</v>
      </c>
    </row>
    <row r="1132" spans="1:9" x14ac:dyDescent="0.3">
      <c r="A1132" s="14">
        <v>4</v>
      </c>
      <c r="B1132" t="str" cm="1">
        <f t="array" ref="B1132">_xlfn.IFS(Datasets!Q1132=1,"LoW",Table1[[#This Row],[JobSatisfaction]]=2,"Medium",Table1[[#This Row],[JobSatisfaction]]=3,"High",Table1[[#This Row],[JobSatisfaction]]=4,"Very High")</f>
        <v>Very High</v>
      </c>
      <c r="H1132" s="5">
        <v>2</v>
      </c>
      <c r="I1132" t="str" cm="1">
        <f t="array" ref="I1132">_xlfn.IFS(H1132=1,"low",H1132=2,"medium",H1132=3,"balanced",H1132=4,"Good")</f>
        <v>medium</v>
      </c>
    </row>
    <row r="1133" spans="1:9" x14ac:dyDescent="0.3">
      <c r="A1133" s="13">
        <v>4</v>
      </c>
      <c r="B1133" t="str" cm="1">
        <f t="array" ref="B1133">_xlfn.IFS(Datasets!Q1133=1,"LoW",Table1[[#This Row],[JobSatisfaction]]=2,"Medium",Table1[[#This Row],[JobSatisfaction]]=3,"High",Table1[[#This Row],[JobSatisfaction]]=4,"Very High")</f>
        <v>Very High</v>
      </c>
      <c r="H1133" s="5">
        <v>3</v>
      </c>
      <c r="I1133" t="str" cm="1">
        <f t="array" ref="I1133">_xlfn.IFS(H1133=1,"low",H1133=2,"medium",H1133=3,"balanced",H1133=4,"Good")</f>
        <v>balanced</v>
      </c>
    </row>
    <row r="1134" spans="1:9" x14ac:dyDescent="0.3">
      <c r="A1134" s="14">
        <v>2</v>
      </c>
      <c r="B1134" t="str" cm="1">
        <f t="array" ref="B1134">_xlfn.IFS(Datasets!Q1134=1,"LoW",Table1[[#This Row],[JobSatisfaction]]=2,"Medium",Table1[[#This Row],[JobSatisfaction]]=3,"High",Table1[[#This Row],[JobSatisfaction]]=4,"Very High")</f>
        <v>Medium</v>
      </c>
      <c r="H1134" s="5">
        <v>4</v>
      </c>
      <c r="I1134" t="str" cm="1">
        <f t="array" ref="I1134">_xlfn.IFS(H1134=1,"low",H1134=2,"medium",H1134=3,"balanced",H1134=4,"Good")</f>
        <v>Good</v>
      </c>
    </row>
    <row r="1135" spans="1:9" x14ac:dyDescent="0.3">
      <c r="A1135" s="13">
        <v>2</v>
      </c>
      <c r="B1135" t="str" cm="1">
        <f t="array" ref="B1135">_xlfn.IFS(Datasets!Q1135=1,"LoW",Table1[[#This Row],[JobSatisfaction]]=2,"Medium",Table1[[#This Row],[JobSatisfaction]]=3,"High",Table1[[#This Row],[JobSatisfaction]]=4,"Very High")</f>
        <v>Medium</v>
      </c>
      <c r="H1135" s="5">
        <v>3</v>
      </c>
      <c r="I1135" t="str" cm="1">
        <f t="array" ref="I1135">_xlfn.IFS(H1135=1,"low",H1135=2,"medium",H1135=3,"balanced",H1135=4,"Good")</f>
        <v>balanced</v>
      </c>
    </row>
    <row r="1136" spans="1:9" x14ac:dyDescent="0.3">
      <c r="A1136" s="14">
        <v>3</v>
      </c>
      <c r="B1136" t="str" cm="1">
        <f t="array" ref="B1136">_xlfn.IFS(Datasets!Q1136=1,"LoW",Table1[[#This Row],[JobSatisfaction]]=2,"Medium",Table1[[#This Row],[JobSatisfaction]]=3,"High",Table1[[#This Row],[JobSatisfaction]]=4,"Very High")</f>
        <v>High</v>
      </c>
      <c r="H1136" s="5">
        <v>3</v>
      </c>
      <c r="I1136" t="str" cm="1">
        <f t="array" ref="I1136">_xlfn.IFS(H1136=1,"low",H1136=2,"medium",H1136=3,"balanced",H1136=4,"Good")</f>
        <v>balanced</v>
      </c>
    </row>
    <row r="1137" spans="1:9" x14ac:dyDescent="0.3">
      <c r="A1137" s="13">
        <v>1</v>
      </c>
      <c r="B1137" t="str" cm="1">
        <f t="array" ref="B1137">_xlfn.IFS(Datasets!Q1137=1,"LoW",Table1[[#This Row],[JobSatisfaction]]=2,"Medium",Table1[[#This Row],[JobSatisfaction]]=3,"High",Table1[[#This Row],[JobSatisfaction]]=4,"Very High")</f>
        <v>LoW</v>
      </c>
      <c r="H1137" s="5">
        <v>3</v>
      </c>
      <c r="I1137" t="str" cm="1">
        <f t="array" ref="I1137">_xlfn.IFS(H1137=1,"low",H1137=2,"medium",H1137=3,"balanced",H1137=4,"Good")</f>
        <v>balanced</v>
      </c>
    </row>
    <row r="1138" spans="1:9" x14ac:dyDescent="0.3">
      <c r="A1138" s="14">
        <v>4</v>
      </c>
      <c r="B1138" t="str" cm="1">
        <f t="array" ref="B1138">_xlfn.IFS(Datasets!Q1138=1,"LoW",Table1[[#This Row],[JobSatisfaction]]=2,"Medium",Table1[[#This Row],[JobSatisfaction]]=3,"High",Table1[[#This Row],[JobSatisfaction]]=4,"Very High")</f>
        <v>Very High</v>
      </c>
      <c r="H1138" s="5">
        <v>3</v>
      </c>
      <c r="I1138" t="str" cm="1">
        <f t="array" ref="I1138">_xlfn.IFS(H1138=1,"low",H1138=2,"medium",H1138=3,"balanced",H1138=4,"Good")</f>
        <v>balanced</v>
      </c>
    </row>
    <row r="1139" spans="1:9" x14ac:dyDescent="0.3">
      <c r="A1139" s="13">
        <v>1</v>
      </c>
      <c r="B1139" t="str" cm="1">
        <f t="array" ref="B1139">_xlfn.IFS(Datasets!Q1139=1,"LoW",Table1[[#This Row],[JobSatisfaction]]=2,"Medium",Table1[[#This Row],[JobSatisfaction]]=3,"High",Table1[[#This Row],[JobSatisfaction]]=4,"Very High")</f>
        <v>LoW</v>
      </c>
      <c r="H1139" s="5">
        <v>2</v>
      </c>
      <c r="I1139" t="str" cm="1">
        <f t="array" ref="I1139">_xlfn.IFS(H1139=1,"low",H1139=2,"medium",H1139=3,"balanced",H1139=4,"Good")</f>
        <v>medium</v>
      </c>
    </row>
    <row r="1140" spans="1:9" x14ac:dyDescent="0.3">
      <c r="A1140" s="14">
        <v>4</v>
      </c>
      <c r="B1140" t="str" cm="1">
        <f t="array" ref="B1140">_xlfn.IFS(Datasets!Q1140=1,"LoW",Table1[[#This Row],[JobSatisfaction]]=2,"Medium",Table1[[#This Row],[JobSatisfaction]]=3,"High",Table1[[#This Row],[JobSatisfaction]]=4,"Very High")</f>
        <v>Very High</v>
      </c>
      <c r="H1140" s="5">
        <v>3</v>
      </c>
      <c r="I1140" t="str" cm="1">
        <f t="array" ref="I1140">_xlfn.IFS(H1140=1,"low",H1140=2,"medium",H1140=3,"balanced",H1140=4,"Good")</f>
        <v>balanced</v>
      </c>
    </row>
    <row r="1141" spans="1:9" x14ac:dyDescent="0.3">
      <c r="A1141" s="13">
        <v>2</v>
      </c>
      <c r="B1141" t="str" cm="1">
        <f t="array" ref="B1141">_xlfn.IFS(Datasets!Q1141=1,"LoW",Table1[[#This Row],[JobSatisfaction]]=2,"Medium",Table1[[#This Row],[JobSatisfaction]]=3,"High",Table1[[#This Row],[JobSatisfaction]]=4,"Very High")</f>
        <v>Medium</v>
      </c>
      <c r="H1141" s="5">
        <v>3</v>
      </c>
      <c r="I1141" t="str" cm="1">
        <f t="array" ref="I1141">_xlfn.IFS(H1141=1,"low",H1141=2,"medium",H1141=3,"balanced",H1141=4,"Good")</f>
        <v>balanced</v>
      </c>
    </row>
    <row r="1142" spans="1:9" x14ac:dyDescent="0.3">
      <c r="A1142" s="14">
        <v>4</v>
      </c>
      <c r="B1142" t="str" cm="1">
        <f t="array" ref="B1142">_xlfn.IFS(Datasets!Q1142=1,"LoW",Table1[[#This Row],[JobSatisfaction]]=2,"Medium",Table1[[#This Row],[JobSatisfaction]]=3,"High",Table1[[#This Row],[JobSatisfaction]]=4,"Very High")</f>
        <v>Very High</v>
      </c>
      <c r="H1142" s="5">
        <v>2</v>
      </c>
      <c r="I1142" t="str" cm="1">
        <f t="array" ref="I1142">_xlfn.IFS(H1142=1,"low",H1142=2,"medium",H1142=3,"balanced",H1142=4,"Good")</f>
        <v>medium</v>
      </c>
    </row>
    <row r="1143" spans="1:9" x14ac:dyDescent="0.3">
      <c r="A1143" s="13">
        <v>4</v>
      </c>
      <c r="B1143" t="str" cm="1">
        <f t="array" ref="B1143">_xlfn.IFS(Datasets!Q1143=1,"LoW",Table1[[#This Row],[JobSatisfaction]]=2,"Medium",Table1[[#This Row],[JobSatisfaction]]=3,"High",Table1[[#This Row],[JobSatisfaction]]=4,"Very High")</f>
        <v>Very High</v>
      </c>
      <c r="H1143" s="5">
        <v>3</v>
      </c>
      <c r="I1143" t="str" cm="1">
        <f t="array" ref="I1143">_xlfn.IFS(H1143=1,"low",H1143=2,"medium",H1143=3,"balanced",H1143=4,"Good")</f>
        <v>balanced</v>
      </c>
    </row>
    <row r="1144" spans="1:9" x14ac:dyDescent="0.3">
      <c r="A1144" s="14">
        <v>3</v>
      </c>
      <c r="B1144" t="str" cm="1">
        <f t="array" ref="B1144">_xlfn.IFS(Datasets!Q1144=1,"LoW",Table1[[#This Row],[JobSatisfaction]]=2,"Medium",Table1[[#This Row],[JobSatisfaction]]=3,"High",Table1[[#This Row],[JobSatisfaction]]=4,"Very High")</f>
        <v>High</v>
      </c>
      <c r="H1144" s="5">
        <v>3</v>
      </c>
      <c r="I1144" t="str" cm="1">
        <f t="array" ref="I1144">_xlfn.IFS(H1144=1,"low",H1144=2,"medium",H1144=3,"balanced",H1144=4,"Good")</f>
        <v>balanced</v>
      </c>
    </row>
    <row r="1145" spans="1:9" x14ac:dyDescent="0.3">
      <c r="A1145" s="13">
        <v>2</v>
      </c>
      <c r="B1145" t="str" cm="1">
        <f t="array" ref="B1145">_xlfn.IFS(Datasets!Q1145=1,"LoW",Table1[[#This Row],[JobSatisfaction]]=2,"Medium",Table1[[#This Row],[JobSatisfaction]]=3,"High",Table1[[#This Row],[JobSatisfaction]]=4,"Very High")</f>
        <v>Medium</v>
      </c>
      <c r="H1145" s="5">
        <v>3</v>
      </c>
      <c r="I1145" t="str" cm="1">
        <f t="array" ref="I1145">_xlfn.IFS(H1145=1,"low",H1145=2,"medium",H1145=3,"balanced",H1145=4,"Good")</f>
        <v>balanced</v>
      </c>
    </row>
    <row r="1146" spans="1:9" x14ac:dyDescent="0.3">
      <c r="A1146" s="14">
        <v>2</v>
      </c>
      <c r="B1146" t="str" cm="1">
        <f t="array" ref="B1146">_xlfn.IFS(Datasets!Q1146=1,"LoW",Table1[[#This Row],[JobSatisfaction]]=2,"Medium",Table1[[#This Row],[JobSatisfaction]]=3,"High",Table1[[#This Row],[JobSatisfaction]]=4,"Very High")</f>
        <v>Medium</v>
      </c>
      <c r="H1146" s="5">
        <v>3</v>
      </c>
      <c r="I1146" t="str" cm="1">
        <f t="array" ref="I1146">_xlfn.IFS(H1146=1,"low",H1146=2,"medium",H1146=3,"balanced",H1146=4,"Good")</f>
        <v>balanced</v>
      </c>
    </row>
    <row r="1147" spans="1:9" x14ac:dyDescent="0.3">
      <c r="A1147" s="13">
        <v>2</v>
      </c>
      <c r="B1147" t="str" cm="1">
        <f t="array" ref="B1147">_xlfn.IFS(Datasets!Q1147=1,"LoW",Table1[[#This Row],[JobSatisfaction]]=2,"Medium",Table1[[#This Row],[JobSatisfaction]]=3,"High",Table1[[#This Row],[JobSatisfaction]]=4,"Very High")</f>
        <v>Medium</v>
      </c>
      <c r="H1147" s="5">
        <v>3</v>
      </c>
      <c r="I1147" t="str" cm="1">
        <f t="array" ref="I1147">_xlfn.IFS(H1147=1,"low",H1147=2,"medium",H1147=3,"balanced",H1147=4,"Good")</f>
        <v>balanced</v>
      </c>
    </row>
    <row r="1148" spans="1:9" x14ac:dyDescent="0.3">
      <c r="A1148" s="14">
        <v>4</v>
      </c>
      <c r="B1148" t="str" cm="1">
        <f t="array" ref="B1148">_xlfn.IFS(Datasets!Q1148=1,"LoW",Table1[[#This Row],[JobSatisfaction]]=2,"Medium",Table1[[#This Row],[JobSatisfaction]]=3,"High",Table1[[#This Row],[JobSatisfaction]]=4,"Very High")</f>
        <v>Very High</v>
      </c>
      <c r="H1148" s="5">
        <v>3</v>
      </c>
      <c r="I1148" t="str" cm="1">
        <f t="array" ref="I1148">_xlfn.IFS(H1148=1,"low",H1148=2,"medium",H1148=3,"balanced",H1148=4,"Good")</f>
        <v>balanced</v>
      </c>
    </row>
    <row r="1149" spans="1:9" x14ac:dyDescent="0.3">
      <c r="A1149" s="13">
        <v>4</v>
      </c>
      <c r="B1149" t="str" cm="1">
        <f t="array" ref="B1149">_xlfn.IFS(Datasets!Q1149=1,"LoW",Table1[[#This Row],[JobSatisfaction]]=2,"Medium",Table1[[#This Row],[JobSatisfaction]]=3,"High",Table1[[#This Row],[JobSatisfaction]]=4,"Very High")</f>
        <v>Very High</v>
      </c>
      <c r="H1149" s="5">
        <v>4</v>
      </c>
      <c r="I1149" t="str" cm="1">
        <f t="array" ref="I1149">_xlfn.IFS(H1149=1,"low",H1149=2,"medium",H1149=3,"balanced",H1149=4,"Good")</f>
        <v>Good</v>
      </c>
    </row>
    <row r="1150" spans="1:9" x14ac:dyDescent="0.3">
      <c r="A1150" s="14">
        <v>1</v>
      </c>
      <c r="B1150" t="str" cm="1">
        <f t="array" ref="B1150">_xlfn.IFS(Datasets!Q1150=1,"LoW",Table1[[#This Row],[JobSatisfaction]]=2,"Medium",Table1[[#This Row],[JobSatisfaction]]=3,"High",Table1[[#This Row],[JobSatisfaction]]=4,"Very High")</f>
        <v>LoW</v>
      </c>
      <c r="H1150" s="5">
        <v>3</v>
      </c>
      <c r="I1150" t="str" cm="1">
        <f t="array" ref="I1150">_xlfn.IFS(H1150=1,"low",H1150=2,"medium",H1150=3,"balanced",H1150=4,"Good")</f>
        <v>balanced</v>
      </c>
    </row>
    <row r="1151" spans="1:9" x14ac:dyDescent="0.3">
      <c r="A1151" s="13">
        <v>4</v>
      </c>
      <c r="B1151" t="str" cm="1">
        <f t="array" ref="B1151">_xlfn.IFS(Datasets!Q1151=1,"LoW",Table1[[#This Row],[JobSatisfaction]]=2,"Medium",Table1[[#This Row],[JobSatisfaction]]=3,"High",Table1[[#This Row],[JobSatisfaction]]=4,"Very High")</f>
        <v>Very High</v>
      </c>
      <c r="H1151" s="5">
        <v>3</v>
      </c>
      <c r="I1151" t="str" cm="1">
        <f t="array" ref="I1151">_xlfn.IFS(H1151=1,"low",H1151=2,"medium",H1151=3,"balanced",H1151=4,"Good")</f>
        <v>balanced</v>
      </c>
    </row>
    <row r="1152" spans="1:9" x14ac:dyDescent="0.3">
      <c r="A1152" s="14">
        <v>3</v>
      </c>
      <c r="B1152" t="str" cm="1">
        <f t="array" ref="B1152">_xlfn.IFS(Datasets!Q1152=1,"LoW",Table1[[#This Row],[JobSatisfaction]]=2,"Medium",Table1[[#This Row],[JobSatisfaction]]=3,"High",Table1[[#This Row],[JobSatisfaction]]=4,"Very High")</f>
        <v>High</v>
      </c>
      <c r="H1152" s="5">
        <v>3</v>
      </c>
      <c r="I1152" t="str" cm="1">
        <f t="array" ref="I1152">_xlfn.IFS(H1152=1,"low",H1152=2,"medium",H1152=3,"balanced",H1152=4,"Good")</f>
        <v>balanced</v>
      </c>
    </row>
    <row r="1153" spans="1:9" x14ac:dyDescent="0.3">
      <c r="A1153" s="13">
        <v>4</v>
      </c>
      <c r="B1153" t="str" cm="1">
        <f t="array" ref="B1153">_xlfn.IFS(Datasets!Q1153=1,"LoW",Table1[[#This Row],[JobSatisfaction]]=2,"Medium",Table1[[#This Row],[JobSatisfaction]]=3,"High",Table1[[#This Row],[JobSatisfaction]]=4,"Very High")</f>
        <v>Very High</v>
      </c>
      <c r="H1153" s="5">
        <v>1</v>
      </c>
      <c r="I1153" t="str" cm="1">
        <f t="array" ref="I1153">_xlfn.IFS(H1153=1,"low",H1153=2,"medium",H1153=3,"balanced",H1153=4,"Good")</f>
        <v>low</v>
      </c>
    </row>
    <row r="1154" spans="1:9" x14ac:dyDescent="0.3">
      <c r="A1154" s="14">
        <v>4</v>
      </c>
      <c r="B1154" t="str" cm="1">
        <f t="array" ref="B1154">_xlfn.IFS(Datasets!Q1154=1,"LoW",Table1[[#This Row],[JobSatisfaction]]=2,"Medium",Table1[[#This Row],[JobSatisfaction]]=3,"High",Table1[[#This Row],[JobSatisfaction]]=4,"Very High")</f>
        <v>Very High</v>
      </c>
      <c r="H1154" s="5">
        <v>2</v>
      </c>
      <c r="I1154" t="str" cm="1">
        <f t="array" ref="I1154">_xlfn.IFS(H1154=1,"low",H1154=2,"medium",H1154=3,"balanced",H1154=4,"Good")</f>
        <v>medium</v>
      </c>
    </row>
    <row r="1155" spans="1:9" x14ac:dyDescent="0.3">
      <c r="A1155" s="13">
        <v>3</v>
      </c>
      <c r="B1155" t="str" cm="1">
        <f t="array" ref="B1155">_xlfn.IFS(Datasets!Q1155=1,"LoW",Table1[[#This Row],[JobSatisfaction]]=2,"Medium",Table1[[#This Row],[JobSatisfaction]]=3,"High",Table1[[#This Row],[JobSatisfaction]]=4,"Very High")</f>
        <v>High</v>
      </c>
      <c r="H1155" s="5">
        <v>3</v>
      </c>
      <c r="I1155" t="str" cm="1">
        <f t="array" ref="I1155">_xlfn.IFS(H1155=1,"low",H1155=2,"medium",H1155=3,"balanced",H1155=4,"Good")</f>
        <v>balanced</v>
      </c>
    </row>
    <row r="1156" spans="1:9" x14ac:dyDescent="0.3">
      <c r="A1156" s="14">
        <v>3</v>
      </c>
      <c r="B1156" t="str" cm="1">
        <f t="array" ref="B1156">_xlfn.IFS(Datasets!Q1156=1,"LoW",Table1[[#This Row],[JobSatisfaction]]=2,"Medium",Table1[[#This Row],[JobSatisfaction]]=3,"High",Table1[[#This Row],[JobSatisfaction]]=4,"Very High")</f>
        <v>High</v>
      </c>
      <c r="H1156" s="5">
        <v>2</v>
      </c>
      <c r="I1156" t="str" cm="1">
        <f t="array" ref="I1156">_xlfn.IFS(H1156=1,"low",H1156=2,"medium",H1156=3,"balanced",H1156=4,"Good")</f>
        <v>medium</v>
      </c>
    </row>
    <row r="1157" spans="1:9" x14ac:dyDescent="0.3">
      <c r="A1157" s="13">
        <v>1</v>
      </c>
      <c r="B1157" t="str" cm="1">
        <f t="array" ref="B1157">_xlfn.IFS(Datasets!Q1157=1,"LoW",Table1[[#This Row],[JobSatisfaction]]=2,"Medium",Table1[[#This Row],[JobSatisfaction]]=3,"High",Table1[[#This Row],[JobSatisfaction]]=4,"Very High")</f>
        <v>LoW</v>
      </c>
      <c r="H1157" s="5">
        <v>3</v>
      </c>
      <c r="I1157" t="str" cm="1">
        <f t="array" ref="I1157">_xlfn.IFS(H1157=1,"low",H1157=2,"medium",H1157=3,"balanced",H1157=4,"Good")</f>
        <v>balanced</v>
      </c>
    </row>
    <row r="1158" spans="1:9" x14ac:dyDescent="0.3">
      <c r="A1158" s="14">
        <v>3</v>
      </c>
      <c r="B1158" t="str" cm="1">
        <f t="array" ref="B1158">_xlfn.IFS(Datasets!Q1158=1,"LoW",Table1[[#This Row],[JobSatisfaction]]=2,"Medium",Table1[[#This Row],[JobSatisfaction]]=3,"High",Table1[[#This Row],[JobSatisfaction]]=4,"Very High")</f>
        <v>High</v>
      </c>
      <c r="H1158" s="5">
        <v>2</v>
      </c>
      <c r="I1158" t="str" cm="1">
        <f t="array" ref="I1158">_xlfn.IFS(H1158=1,"low",H1158=2,"medium",H1158=3,"balanced",H1158=4,"Good")</f>
        <v>medium</v>
      </c>
    </row>
    <row r="1159" spans="1:9" x14ac:dyDescent="0.3">
      <c r="A1159" s="13">
        <v>3</v>
      </c>
      <c r="B1159" t="str" cm="1">
        <f t="array" ref="B1159">_xlfn.IFS(Datasets!Q1159=1,"LoW",Table1[[#This Row],[JobSatisfaction]]=2,"Medium",Table1[[#This Row],[JobSatisfaction]]=3,"High",Table1[[#This Row],[JobSatisfaction]]=4,"Very High")</f>
        <v>High</v>
      </c>
      <c r="H1159" s="5">
        <v>1</v>
      </c>
      <c r="I1159" t="str" cm="1">
        <f t="array" ref="I1159">_xlfn.IFS(H1159=1,"low",H1159=2,"medium",H1159=3,"balanced",H1159=4,"Good")</f>
        <v>low</v>
      </c>
    </row>
    <row r="1160" spans="1:9" x14ac:dyDescent="0.3">
      <c r="A1160" s="14">
        <v>4</v>
      </c>
      <c r="B1160" t="str" cm="1">
        <f t="array" ref="B1160">_xlfn.IFS(Datasets!Q1160=1,"LoW",Table1[[#This Row],[JobSatisfaction]]=2,"Medium",Table1[[#This Row],[JobSatisfaction]]=3,"High",Table1[[#This Row],[JobSatisfaction]]=4,"Very High")</f>
        <v>Very High</v>
      </c>
      <c r="H1160" s="5">
        <v>2</v>
      </c>
      <c r="I1160" t="str" cm="1">
        <f t="array" ref="I1160">_xlfn.IFS(H1160=1,"low",H1160=2,"medium",H1160=3,"balanced",H1160=4,"Good")</f>
        <v>medium</v>
      </c>
    </row>
    <row r="1161" spans="1:9" x14ac:dyDescent="0.3">
      <c r="A1161" s="13">
        <v>4</v>
      </c>
      <c r="B1161" t="str" cm="1">
        <f t="array" ref="B1161">_xlfn.IFS(Datasets!Q1161=1,"LoW",Table1[[#This Row],[JobSatisfaction]]=2,"Medium",Table1[[#This Row],[JobSatisfaction]]=3,"High",Table1[[#This Row],[JobSatisfaction]]=4,"Very High")</f>
        <v>Very High</v>
      </c>
      <c r="H1161" s="5">
        <v>3</v>
      </c>
      <c r="I1161" t="str" cm="1">
        <f t="array" ref="I1161">_xlfn.IFS(H1161=1,"low",H1161=2,"medium",H1161=3,"balanced",H1161=4,"Good")</f>
        <v>balanced</v>
      </c>
    </row>
    <row r="1162" spans="1:9" x14ac:dyDescent="0.3">
      <c r="A1162" s="14">
        <v>1</v>
      </c>
      <c r="B1162" t="str" cm="1">
        <f t="array" ref="B1162">_xlfn.IFS(Datasets!Q1162=1,"LoW",Table1[[#This Row],[JobSatisfaction]]=2,"Medium",Table1[[#This Row],[JobSatisfaction]]=3,"High",Table1[[#This Row],[JobSatisfaction]]=4,"Very High")</f>
        <v>LoW</v>
      </c>
      <c r="H1162" s="5">
        <v>3</v>
      </c>
      <c r="I1162" t="str" cm="1">
        <f t="array" ref="I1162">_xlfn.IFS(H1162=1,"low",H1162=2,"medium",H1162=3,"balanced",H1162=4,"Good")</f>
        <v>balanced</v>
      </c>
    </row>
    <row r="1163" spans="1:9" x14ac:dyDescent="0.3">
      <c r="A1163" s="13">
        <v>3</v>
      </c>
      <c r="B1163" t="str" cm="1">
        <f t="array" ref="B1163">_xlfn.IFS(Datasets!Q1163=1,"LoW",Table1[[#This Row],[JobSatisfaction]]=2,"Medium",Table1[[#This Row],[JobSatisfaction]]=3,"High",Table1[[#This Row],[JobSatisfaction]]=4,"Very High")</f>
        <v>High</v>
      </c>
      <c r="H1163" s="5">
        <v>3</v>
      </c>
      <c r="I1163" t="str" cm="1">
        <f t="array" ref="I1163">_xlfn.IFS(H1163=1,"low",H1163=2,"medium",H1163=3,"balanced",H1163=4,"Good")</f>
        <v>balanced</v>
      </c>
    </row>
    <row r="1164" spans="1:9" x14ac:dyDescent="0.3">
      <c r="A1164" s="14">
        <v>4</v>
      </c>
      <c r="B1164" t="str" cm="1">
        <f t="array" ref="B1164">_xlfn.IFS(Datasets!Q1164=1,"LoW",Table1[[#This Row],[JobSatisfaction]]=2,"Medium",Table1[[#This Row],[JobSatisfaction]]=3,"High",Table1[[#This Row],[JobSatisfaction]]=4,"Very High")</f>
        <v>Very High</v>
      </c>
      <c r="H1164" s="5">
        <v>3</v>
      </c>
      <c r="I1164" t="str" cm="1">
        <f t="array" ref="I1164">_xlfn.IFS(H1164=1,"low",H1164=2,"medium",H1164=3,"balanced",H1164=4,"Good")</f>
        <v>balanced</v>
      </c>
    </row>
    <row r="1165" spans="1:9" x14ac:dyDescent="0.3">
      <c r="A1165" s="13">
        <v>4</v>
      </c>
      <c r="B1165" t="str" cm="1">
        <f t="array" ref="B1165">_xlfn.IFS(Datasets!Q1165=1,"LoW",Table1[[#This Row],[JobSatisfaction]]=2,"Medium",Table1[[#This Row],[JobSatisfaction]]=3,"High",Table1[[#This Row],[JobSatisfaction]]=4,"Very High")</f>
        <v>Very High</v>
      </c>
      <c r="H1165" s="5">
        <v>3</v>
      </c>
      <c r="I1165" t="str" cm="1">
        <f t="array" ref="I1165">_xlfn.IFS(H1165=1,"low",H1165=2,"medium",H1165=3,"balanced",H1165=4,"Good")</f>
        <v>balanced</v>
      </c>
    </row>
    <row r="1166" spans="1:9" x14ac:dyDescent="0.3">
      <c r="A1166" s="14">
        <v>2</v>
      </c>
      <c r="B1166" t="str" cm="1">
        <f t="array" ref="B1166">_xlfn.IFS(Datasets!Q1166=1,"LoW",Table1[[#This Row],[JobSatisfaction]]=2,"Medium",Table1[[#This Row],[JobSatisfaction]]=3,"High",Table1[[#This Row],[JobSatisfaction]]=4,"Very High")</f>
        <v>Medium</v>
      </c>
      <c r="H1166" s="5">
        <v>2</v>
      </c>
      <c r="I1166" t="str" cm="1">
        <f t="array" ref="I1166">_xlfn.IFS(H1166=1,"low",H1166=2,"medium",H1166=3,"balanced",H1166=4,"Good")</f>
        <v>medium</v>
      </c>
    </row>
    <row r="1167" spans="1:9" x14ac:dyDescent="0.3">
      <c r="A1167" s="13">
        <v>4</v>
      </c>
      <c r="B1167" t="str" cm="1">
        <f t="array" ref="B1167">_xlfn.IFS(Datasets!Q1167=1,"LoW",Table1[[#This Row],[JobSatisfaction]]=2,"Medium",Table1[[#This Row],[JobSatisfaction]]=3,"High",Table1[[#This Row],[JobSatisfaction]]=4,"Very High")</f>
        <v>Very High</v>
      </c>
      <c r="H1167" s="5">
        <v>3</v>
      </c>
      <c r="I1167" t="str" cm="1">
        <f t="array" ref="I1167">_xlfn.IFS(H1167=1,"low",H1167=2,"medium",H1167=3,"balanced",H1167=4,"Good")</f>
        <v>balanced</v>
      </c>
    </row>
    <row r="1168" spans="1:9" x14ac:dyDescent="0.3">
      <c r="A1168" s="14">
        <v>1</v>
      </c>
      <c r="B1168" t="str" cm="1">
        <f t="array" ref="B1168">_xlfn.IFS(Datasets!Q1168=1,"LoW",Table1[[#This Row],[JobSatisfaction]]=2,"Medium",Table1[[#This Row],[JobSatisfaction]]=3,"High",Table1[[#This Row],[JobSatisfaction]]=4,"Very High")</f>
        <v>LoW</v>
      </c>
      <c r="H1168" s="5">
        <v>3</v>
      </c>
      <c r="I1168" t="str" cm="1">
        <f t="array" ref="I1168">_xlfn.IFS(H1168=1,"low",H1168=2,"medium",H1168=3,"balanced",H1168=4,"Good")</f>
        <v>balanced</v>
      </c>
    </row>
    <row r="1169" spans="1:9" x14ac:dyDescent="0.3">
      <c r="A1169" s="13">
        <v>1</v>
      </c>
      <c r="B1169" t="str" cm="1">
        <f t="array" ref="B1169">_xlfn.IFS(Datasets!Q1169=1,"LoW",Table1[[#This Row],[JobSatisfaction]]=2,"Medium",Table1[[#This Row],[JobSatisfaction]]=3,"High",Table1[[#This Row],[JobSatisfaction]]=4,"Very High")</f>
        <v>LoW</v>
      </c>
      <c r="H1169" s="5">
        <v>3</v>
      </c>
      <c r="I1169" t="str" cm="1">
        <f t="array" ref="I1169">_xlfn.IFS(H1169=1,"low",H1169=2,"medium",H1169=3,"balanced",H1169=4,"Good")</f>
        <v>balanced</v>
      </c>
    </row>
    <row r="1170" spans="1:9" x14ac:dyDescent="0.3">
      <c r="A1170" s="14">
        <v>1</v>
      </c>
      <c r="B1170" t="str" cm="1">
        <f t="array" ref="B1170">_xlfn.IFS(Datasets!Q1170=1,"LoW",Table1[[#This Row],[JobSatisfaction]]=2,"Medium",Table1[[#This Row],[JobSatisfaction]]=3,"High",Table1[[#This Row],[JobSatisfaction]]=4,"Very High")</f>
        <v>LoW</v>
      </c>
      <c r="H1170" s="5">
        <v>3</v>
      </c>
      <c r="I1170" t="str" cm="1">
        <f t="array" ref="I1170">_xlfn.IFS(H1170=1,"low",H1170=2,"medium",H1170=3,"balanced",H1170=4,"Good")</f>
        <v>balanced</v>
      </c>
    </row>
    <row r="1171" spans="1:9" x14ac:dyDescent="0.3">
      <c r="A1171" s="13">
        <v>4</v>
      </c>
      <c r="B1171" t="str" cm="1">
        <f t="array" ref="B1171">_xlfn.IFS(Datasets!Q1171=1,"LoW",Table1[[#This Row],[JobSatisfaction]]=2,"Medium",Table1[[#This Row],[JobSatisfaction]]=3,"High",Table1[[#This Row],[JobSatisfaction]]=4,"Very High")</f>
        <v>Very High</v>
      </c>
      <c r="H1171" s="5">
        <v>2</v>
      </c>
      <c r="I1171" t="str" cm="1">
        <f t="array" ref="I1171">_xlfn.IFS(H1171=1,"low",H1171=2,"medium",H1171=3,"balanced",H1171=4,"Good")</f>
        <v>medium</v>
      </c>
    </row>
    <row r="1172" spans="1:9" x14ac:dyDescent="0.3">
      <c r="A1172" s="14">
        <v>4</v>
      </c>
      <c r="B1172" t="str" cm="1">
        <f t="array" ref="B1172">_xlfn.IFS(Datasets!Q1172=1,"LoW",Table1[[#This Row],[JobSatisfaction]]=2,"Medium",Table1[[#This Row],[JobSatisfaction]]=3,"High",Table1[[#This Row],[JobSatisfaction]]=4,"Very High")</f>
        <v>Very High</v>
      </c>
      <c r="H1172" s="5">
        <v>3</v>
      </c>
      <c r="I1172" t="str" cm="1">
        <f t="array" ref="I1172">_xlfn.IFS(H1172=1,"low",H1172=2,"medium",H1172=3,"balanced",H1172=4,"Good")</f>
        <v>balanced</v>
      </c>
    </row>
    <row r="1173" spans="1:9" x14ac:dyDescent="0.3">
      <c r="A1173" s="13">
        <v>3</v>
      </c>
      <c r="B1173" t="str" cm="1">
        <f t="array" ref="B1173">_xlfn.IFS(Datasets!Q1173=1,"LoW",Table1[[#This Row],[JobSatisfaction]]=2,"Medium",Table1[[#This Row],[JobSatisfaction]]=3,"High",Table1[[#This Row],[JobSatisfaction]]=4,"Very High")</f>
        <v>High</v>
      </c>
      <c r="H1173" s="5">
        <v>4</v>
      </c>
      <c r="I1173" t="str" cm="1">
        <f t="array" ref="I1173">_xlfn.IFS(H1173=1,"low",H1173=2,"medium",H1173=3,"balanced",H1173=4,"Good")</f>
        <v>Good</v>
      </c>
    </row>
    <row r="1174" spans="1:9" x14ac:dyDescent="0.3">
      <c r="A1174" s="14">
        <v>3</v>
      </c>
      <c r="B1174" t="str" cm="1">
        <f t="array" ref="B1174">_xlfn.IFS(Datasets!Q1174=1,"LoW",Table1[[#This Row],[JobSatisfaction]]=2,"Medium",Table1[[#This Row],[JobSatisfaction]]=3,"High",Table1[[#This Row],[JobSatisfaction]]=4,"Very High")</f>
        <v>High</v>
      </c>
      <c r="H1174" s="5">
        <v>3</v>
      </c>
      <c r="I1174" t="str" cm="1">
        <f t="array" ref="I1174">_xlfn.IFS(H1174=1,"low",H1174=2,"medium",H1174=3,"balanced",H1174=4,"Good")</f>
        <v>balanced</v>
      </c>
    </row>
    <row r="1175" spans="1:9" x14ac:dyDescent="0.3">
      <c r="A1175" s="13">
        <v>3</v>
      </c>
      <c r="B1175" t="str" cm="1">
        <f t="array" ref="B1175">_xlfn.IFS(Datasets!Q1175=1,"LoW",Table1[[#This Row],[JobSatisfaction]]=2,"Medium",Table1[[#This Row],[JobSatisfaction]]=3,"High",Table1[[#This Row],[JobSatisfaction]]=4,"Very High")</f>
        <v>High</v>
      </c>
      <c r="H1175" s="5">
        <v>3</v>
      </c>
      <c r="I1175" t="str" cm="1">
        <f t="array" ref="I1175">_xlfn.IFS(H1175=1,"low",H1175=2,"medium",H1175=3,"balanced",H1175=4,"Good")</f>
        <v>balanced</v>
      </c>
    </row>
    <row r="1176" spans="1:9" x14ac:dyDescent="0.3">
      <c r="A1176" s="14">
        <v>3</v>
      </c>
      <c r="B1176" t="str" cm="1">
        <f t="array" ref="B1176">_xlfn.IFS(Datasets!Q1176=1,"LoW",Table1[[#This Row],[JobSatisfaction]]=2,"Medium",Table1[[#This Row],[JobSatisfaction]]=3,"High",Table1[[#This Row],[JobSatisfaction]]=4,"Very High")</f>
        <v>High</v>
      </c>
      <c r="H1176" s="5">
        <v>2</v>
      </c>
      <c r="I1176" t="str" cm="1">
        <f t="array" ref="I1176">_xlfn.IFS(H1176=1,"low",H1176=2,"medium",H1176=3,"balanced",H1176=4,"Good")</f>
        <v>medium</v>
      </c>
    </row>
    <row r="1177" spans="1:9" x14ac:dyDescent="0.3">
      <c r="A1177" s="13">
        <v>3</v>
      </c>
      <c r="B1177" t="str" cm="1">
        <f t="array" ref="B1177">_xlfn.IFS(Datasets!Q1177=1,"LoW",Table1[[#This Row],[JobSatisfaction]]=2,"Medium",Table1[[#This Row],[JobSatisfaction]]=3,"High",Table1[[#This Row],[JobSatisfaction]]=4,"Very High")</f>
        <v>High</v>
      </c>
      <c r="H1177" s="5">
        <v>3</v>
      </c>
      <c r="I1177" t="str" cm="1">
        <f t="array" ref="I1177">_xlfn.IFS(H1177=1,"low",H1177=2,"medium",H1177=3,"balanced",H1177=4,"Good")</f>
        <v>balanced</v>
      </c>
    </row>
    <row r="1178" spans="1:9" x14ac:dyDescent="0.3">
      <c r="A1178" s="14">
        <v>1</v>
      </c>
      <c r="B1178" t="str" cm="1">
        <f t="array" ref="B1178">_xlfn.IFS(Datasets!Q1178=1,"LoW",Table1[[#This Row],[JobSatisfaction]]=2,"Medium",Table1[[#This Row],[JobSatisfaction]]=3,"High",Table1[[#This Row],[JobSatisfaction]]=4,"Very High")</f>
        <v>LoW</v>
      </c>
      <c r="H1178" s="5">
        <v>3</v>
      </c>
      <c r="I1178" t="str" cm="1">
        <f t="array" ref="I1178">_xlfn.IFS(H1178=1,"low",H1178=2,"medium",H1178=3,"balanced",H1178=4,"Good")</f>
        <v>balanced</v>
      </c>
    </row>
    <row r="1179" spans="1:9" x14ac:dyDescent="0.3">
      <c r="A1179" s="13">
        <v>4</v>
      </c>
      <c r="B1179" t="str" cm="1">
        <f t="array" ref="B1179">_xlfn.IFS(Datasets!Q1179=1,"LoW",Table1[[#This Row],[JobSatisfaction]]=2,"Medium",Table1[[#This Row],[JobSatisfaction]]=3,"High",Table1[[#This Row],[JobSatisfaction]]=4,"Very High")</f>
        <v>Very High</v>
      </c>
      <c r="H1179" s="5">
        <v>2</v>
      </c>
      <c r="I1179" t="str" cm="1">
        <f t="array" ref="I1179">_xlfn.IFS(H1179=1,"low",H1179=2,"medium",H1179=3,"balanced",H1179=4,"Good")</f>
        <v>medium</v>
      </c>
    </row>
    <row r="1180" spans="1:9" x14ac:dyDescent="0.3">
      <c r="A1180" s="14">
        <v>2</v>
      </c>
      <c r="B1180" t="str" cm="1">
        <f t="array" ref="B1180">_xlfn.IFS(Datasets!Q1180=1,"LoW",Table1[[#This Row],[JobSatisfaction]]=2,"Medium",Table1[[#This Row],[JobSatisfaction]]=3,"High",Table1[[#This Row],[JobSatisfaction]]=4,"Very High")</f>
        <v>Medium</v>
      </c>
      <c r="H1180" s="5">
        <v>2</v>
      </c>
      <c r="I1180" t="str" cm="1">
        <f t="array" ref="I1180">_xlfn.IFS(H1180=1,"low",H1180=2,"medium",H1180=3,"balanced",H1180=4,"Good")</f>
        <v>medium</v>
      </c>
    </row>
    <row r="1181" spans="1:9" x14ac:dyDescent="0.3">
      <c r="A1181" s="13">
        <v>2</v>
      </c>
      <c r="B1181" t="str" cm="1">
        <f t="array" ref="B1181">_xlfn.IFS(Datasets!Q1181=1,"LoW",Table1[[#This Row],[JobSatisfaction]]=2,"Medium",Table1[[#This Row],[JobSatisfaction]]=3,"High",Table1[[#This Row],[JobSatisfaction]]=4,"Very High")</f>
        <v>Medium</v>
      </c>
      <c r="H1181" s="5">
        <v>3</v>
      </c>
      <c r="I1181" t="str" cm="1">
        <f t="array" ref="I1181">_xlfn.IFS(H1181=1,"low",H1181=2,"medium",H1181=3,"balanced",H1181=4,"Good")</f>
        <v>balanced</v>
      </c>
    </row>
    <row r="1182" spans="1:9" x14ac:dyDescent="0.3">
      <c r="A1182" s="14">
        <v>1</v>
      </c>
      <c r="B1182" t="str" cm="1">
        <f t="array" ref="B1182">_xlfn.IFS(Datasets!Q1182=1,"LoW",Table1[[#This Row],[JobSatisfaction]]=2,"Medium",Table1[[#This Row],[JobSatisfaction]]=3,"High",Table1[[#This Row],[JobSatisfaction]]=4,"Very High")</f>
        <v>LoW</v>
      </c>
      <c r="H1182" s="5">
        <v>3</v>
      </c>
      <c r="I1182" t="str" cm="1">
        <f t="array" ref="I1182">_xlfn.IFS(H1182=1,"low",H1182=2,"medium",H1182=3,"balanced",H1182=4,"Good")</f>
        <v>balanced</v>
      </c>
    </row>
    <row r="1183" spans="1:9" x14ac:dyDescent="0.3">
      <c r="A1183" s="13">
        <v>1</v>
      </c>
      <c r="B1183" t="str" cm="1">
        <f t="array" ref="B1183">_xlfn.IFS(Datasets!Q1183=1,"LoW",Table1[[#This Row],[JobSatisfaction]]=2,"Medium",Table1[[#This Row],[JobSatisfaction]]=3,"High",Table1[[#This Row],[JobSatisfaction]]=4,"Very High")</f>
        <v>LoW</v>
      </c>
      <c r="H1183" s="5">
        <v>3</v>
      </c>
      <c r="I1183" t="str" cm="1">
        <f t="array" ref="I1183">_xlfn.IFS(H1183=1,"low",H1183=2,"medium",H1183=3,"balanced",H1183=4,"Good")</f>
        <v>balanced</v>
      </c>
    </row>
    <row r="1184" spans="1:9" x14ac:dyDescent="0.3">
      <c r="A1184" s="14">
        <v>1</v>
      </c>
      <c r="B1184" t="str" cm="1">
        <f t="array" ref="B1184">_xlfn.IFS(Datasets!Q1184=1,"LoW",Table1[[#This Row],[JobSatisfaction]]=2,"Medium",Table1[[#This Row],[JobSatisfaction]]=3,"High",Table1[[#This Row],[JobSatisfaction]]=4,"Very High")</f>
        <v>LoW</v>
      </c>
      <c r="H1184" s="5">
        <v>2</v>
      </c>
      <c r="I1184" t="str" cm="1">
        <f t="array" ref="I1184">_xlfn.IFS(H1184=1,"low",H1184=2,"medium",H1184=3,"balanced",H1184=4,"Good")</f>
        <v>medium</v>
      </c>
    </row>
    <row r="1185" spans="1:9" x14ac:dyDescent="0.3">
      <c r="A1185" s="13">
        <v>1</v>
      </c>
      <c r="B1185" t="str" cm="1">
        <f t="array" ref="B1185">_xlfn.IFS(Datasets!Q1185=1,"LoW",Table1[[#This Row],[JobSatisfaction]]=2,"Medium",Table1[[#This Row],[JobSatisfaction]]=3,"High",Table1[[#This Row],[JobSatisfaction]]=4,"Very High")</f>
        <v>LoW</v>
      </c>
      <c r="H1185" s="5">
        <v>3</v>
      </c>
      <c r="I1185" t="str" cm="1">
        <f t="array" ref="I1185">_xlfn.IFS(H1185=1,"low",H1185=2,"medium",H1185=3,"balanced",H1185=4,"Good")</f>
        <v>balanced</v>
      </c>
    </row>
    <row r="1186" spans="1:9" x14ac:dyDescent="0.3">
      <c r="A1186" s="14">
        <v>4</v>
      </c>
      <c r="B1186" t="str" cm="1">
        <f t="array" ref="B1186">_xlfn.IFS(Datasets!Q1186=1,"LoW",Table1[[#This Row],[JobSatisfaction]]=2,"Medium",Table1[[#This Row],[JobSatisfaction]]=3,"High",Table1[[#This Row],[JobSatisfaction]]=4,"Very High")</f>
        <v>Very High</v>
      </c>
      <c r="H1186" s="5">
        <v>2</v>
      </c>
      <c r="I1186" t="str" cm="1">
        <f t="array" ref="I1186">_xlfn.IFS(H1186=1,"low",H1186=2,"medium",H1186=3,"balanced",H1186=4,"Good")</f>
        <v>medium</v>
      </c>
    </row>
    <row r="1187" spans="1:9" x14ac:dyDescent="0.3">
      <c r="A1187" s="13">
        <v>3</v>
      </c>
      <c r="B1187" t="str" cm="1">
        <f t="array" ref="B1187">_xlfn.IFS(Datasets!Q1187=1,"LoW",Table1[[#This Row],[JobSatisfaction]]=2,"Medium",Table1[[#This Row],[JobSatisfaction]]=3,"High",Table1[[#This Row],[JobSatisfaction]]=4,"Very High")</f>
        <v>High</v>
      </c>
      <c r="H1187" s="5">
        <v>3</v>
      </c>
      <c r="I1187" t="str" cm="1">
        <f t="array" ref="I1187">_xlfn.IFS(H1187=1,"low",H1187=2,"medium",H1187=3,"balanced",H1187=4,"Good")</f>
        <v>balanced</v>
      </c>
    </row>
    <row r="1188" spans="1:9" x14ac:dyDescent="0.3">
      <c r="A1188" s="14">
        <v>1</v>
      </c>
      <c r="B1188" t="str" cm="1">
        <f t="array" ref="B1188">_xlfn.IFS(Datasets!Q1188=1,"LoW",Table1[[#This Row],[JobSatisfaction]]=2,"Medium",Table1[[#This Row],[JobSatisfaction]]=3,"High",Table1[[#This Row],[JobSatisfaction]]=4,"Very High")</f>
        <v>LoW</v>
      </c>
      <c r="H1188" s="5">
        <v>2</v>
      </c>
      <c r="I1188" t="str" cm="1">
        <f t="array" ref="I1188">_xlfn.IFS(H1188=1,"low",H1188=2,"medium",H1188=3,"balanced",H1188=4,"Good")</f>
        <v>medium</v>
      </c>
    </row>
    <row r="1189" spans="1:9" x14ac:dyDescent="0.3">
      <c r="A1189" s="13">
        <v>1</v>
      </c>
      <c r="B1189" t="str" cm="1">
        <f t="array" ref="B1189">_xlfn.IFS(Datasets!Q1189=1,"LoW",Table1[[#This Row],[JobSatisfaction]]=2,"Medium",Table1[[#This Row],[JobSatisfaction]]=3,"High",Table1[[#This Row],[JobSatisfaction]]=4,"Very High")</f>
        <v>LoW</v>
      </c>
      <c r="H1189" s="5">
        <v>3</v>
      </c>
      <c r="I1189" t="str" cm="1">
        <f t="array" ref="I1189">_xlfn.IFS(H1189=1,"low",H1189=2,"medium",H1189=3,"balanced",H1189=4,"Good")</f>
        <v>balanced</v>
      </c>
    </row>
    <row r="1190" spans="1:9" x14ac:dyDescent="0.3">
      <c r="A1190" s="14">
        <v>4</v>
      </c>
      <c r="B1190" t="str" cm="1">
        <f t="array" ref="B1190">_xlfn.IFS(Datasets!Q1190=1,"LoW",Table1[[#This Row],[JobSatisfaction]]=2,"Medium",Table1[[#This Row],[JobSatisfaction]]=3,"High",Table1[[#This Row],[JobSatisfaction]]=4,"Very High")</f>
        <v>Very High</v>
      </c>
      <c r="H1190" s="5">
        <v>4</v>
      </c>
      <c r="I1190" t="str" cm="1">
        <f t="array" ref="I1190">_xlfn.IFS(H1190=1,"low",H1190=2,"medium",H1190=3,"balanced",H1190=4,"Good")</f>
        <v>Good</v>
      </c>
    </row>
    <row r="1191" spans="1:9" x14ac:dyDescent="0.3">
      <c r="A1191" s="13">
        <v>1</v>
      </c>
      <c r="B1191" t="str" cm="1">
        <f t="array" ref="B1191">_xlfn.IFS(Datasets!Q1191=1,"LoW",Table1[[#This Row],[JobSatisfaction]]=2,"Medium",Table1[[#This Row],[JobSatisfaction]]=3,"High",Table1[[#This Row],[JobSatisfaction]]=4,"Very High")</f>
        <v>LoW</v>
      </c>
      <c r="H1191" s="5">
        <v>2</v>
      </c>
      <c r="I1191" t="str" cm="1">
        <f t="array" ref="I1191">_xlfn.IFS(H1191=1,"low",H1191=2,"medium",H1191=3,"balanced",H1191=4,"Good")</f>
        <v>medium</v>
      </c>
    </row>
    <row r="1192" spans="1:9" x14ac:dyDescent="0.3">
      <c r="A1192" s="14">
        <v>3</v>
      </c>
      <c r="B1192" t="str" cm="1">
        <f t="array" ref="B1192">_xlfn.IFS(Datasets!Q1192=1,"LoW",Table1[[#This Row],[JobSatisfaction]]=2,"Medium",Table1[[#This Row],[JobSatisfaction]]=3,"High",Table1[[#This Row],[JobSatisfaction]]=4,"Very High")</f>
        <v>High</v>
      </c>
      <c r="H1192" s="5">
        <v>3</v>
      </c>
      <c r="I1192" t="str" cm="1">
        <f t="array" ref="I1192">_xlfn.IFS(H1192=1,"low",H1192=2,"medium",H1192=3,"balanced",H1192=4,"Good")</f>
        <v>balanced</v>
      </c>
    </row>
    <row r="1193" spans="1:9" x14ac:dyDescent="0.3">
      <c r="A1193" s="13">
        <v>3</v>
      </c>
      <c r="B1193" t="str" cm="1">
        <f t="array" ref="B1193">_xlfn.IFS(Datasets!Q1193=1,"LoW",Table1[[#This Row],[JobSatisfaction]]=2,"Medium",Table1[[#This Row],[JobSatisfaction]]=3,"High",Table1[[#This Row],[JobSatisfaction]]=4,"Very High")</f>
        <v>High</v>
      </c>
      <c r="H1193" s="5">
        <v>3</v>
      </c>
      <c r="I1193" t="str" cm="1">
        <f t="array" ref="I1193">_xlfn.IFS(H1193=1,"low",H1193=2,"medium",H1193=3,"balanced",H1193=4,"Good")</f>
        <v>balanced</v>
      </c>
    </row>
    <row r="1194" spans="1:9" x14ac:dyDescent="0.3">
      <c r="A1194" s="14">
        <v>4</v>
      </c>
      <c r="B1194" t="str" cm="1">
        <f t="array" ref="B1194">_xlfn.IFS(Datasets!Q1194=1,"LoW",Table1[[#This Row],[JobSatisfaction]]=2,"Medium",Table1[[#This Row],[JobSatisfaction]]=3,"High",Table1[[#This Row],[JobSatisfaction]]=4,"Very High")</f>
        <v>Very High</v>
      </c>
      <c r="H1194" s="5">
        <v>4</v>
      </c>
      <c r="I1194" t="str" cm="1">
        <f t="array" ref="I1194">_xlfn.IFS(H1194=1,"low",H1194=2,"medium",H1194=3,"balanced",H1194=4,"Good")</f>
        <v>Good</v>
      </c>
    </row>
    <row r="1195" spans="1:9" x14ac:dyDescent="0.3">
      <c r="A1195" s="13">
        <v>4</v>
      </c>
      <c r="B1195" t="str" cm="1">
        <f t="array" ref="B1195">_xlfn.IFS(Datasets!Q1195=1,"LoW",Table1[[#This Row],[JobSatisfaction]]=2,"Medium",Table1[[#This Row],[JobSatisfaction]]=3,"High",Table1[[#This Row],[JobSatisfaction]]=4,"Very High")</f>
        <v>Very High</v>
      </c>
      <c r="H1195" s="5">
        <v>1</v>
      </c>
      <c r="I1195" t="str" cm="1">
        <f t="array" ref="I1195">_xlfn.IFS(H1195=1,"low",H1195=2,"medium",H1195=3,"balanced",H1195=4,"Good")</f>
        <v>low</v>
      </c>
    </row>
    <row r="1196" spans="1:9" x14ac:dyDescent="0.3">
      <c r="A1196" s="14">
        <v>4</v>
      </c>
      <c r="B1196" t="str" cm="1">
        <f t="array" ref="B1196">_xlfn.IFS(Datasets!Q1196=1,"LoW",Table1[[#This Row],[JobSatisfaction]]=2,"Medium",Table1[[#This Row],[JobSatisfaction]]=3,"High",Table1[[#This Row],[JobSatisfaction]]=4,"Very High")</f>
        <v>Very High</v>
      </c>
      <c r="H1196" s="5">
        <v>3</v>
      </c>
      <c r="I1196" t="str" cm="1">
        <f t="array" ref="I1196">_xlfn.IFS(H1196=1,"low",H1196=2,"medium",H1196=3,"balanced",H1196=4,"Good")</f>
        <v>balanced</v>
      </c>
    </row>
    <row r="1197" spans="1:9" x14ac:dyDescent="0.3">
      <c r="A1197" s="13">
        <v>3</v>
      </c>
      <c r="B1197" t="str" cm="1">
        <f t="array" ref="B1197">_xlfn.IFS(Datasets!Q1197=1,"LoW",Table1[[#This Row],[JobSatisfaction]]=2,"Medium",Table1[[#This Row],[JobSatisfaction]]=3,"High",Table1[[#This Row],[JobSatisfaction]]=4,"Very High")</f>
        <v>High</v>
      </c>
      <c r="H1197" s="5">
        <v>2</v>
      </c>
      <c r="I1197" t="str" cm="1">
        <f t="array" ref="I1197">_xlfn.IFS(H1197=1,"low",H1197=2,"medium",H1197=3,"balanced",H1197=4,"Good")</f>
        <v>medium</v>
      </c>
    </row>
    <row r="1198" spans="1:9" x14ac:dyDescent="0.3">
      <c r="A1198" s="14">
        <v>3</v>
      </c>
      <c r="B1198" t="str" cm="1">
        <f t="array" ref="B1198">_xlfn.IFS(Datasets!Q1198=1,"LoW",Table1[[#This Row],[JobSatisfaction]]=2,"Medium",Table1[[#This Row],[JobSatisfaction]]=3,"High",Table1[[#This Row],[JobSatisfaction]]=4,"Very High")</f>
        <v>High</v>
      </c>
      <c r="H1198" s="5">
        <v>4</v>
      </c>
      <c r="I1198" t="str" cm="1">
        <f t="array" ref="I1198">_xlfn.IFS(H1198=1,"low",H1198=2,"medium",H1198=3,"balanced",H1198=4,"Good")</f>
        <v>Good</v>
      </c>
    </row>
    <row r="1199" spans="1:9" x14ac:dyDescent="0.3">
      <c r="A1199" s="13">
        <v>4</v>
      </c>
      <c r="B1199" t="str" cm="1">
        <f t="array" ref="B1199">_xlfn.IFS(Datasets!Q1199=1,"LoW",Table1[[#This Row],[JobSatisfaction]]=2,"Medium",Table1[[#This Row],[JobSatisfaction]]=3,"High",Table1[[#This Row],[JobSatisfaction]]=4,"Very High")</f>
        <v>Very High</v>
      </c>
      <c r="H1199" s="5">
        <v>4</v>
      </c>
      <c r="I1199" t="str" cm="1">
        <f t="array" ref="I1199">_xlfn.IFS(H1199=1,"low",H1199=2,"medium",H1199=3,"balanced",H1199=4,"Good")</f>
        <v>Good</v>
      </c>
    </row>
    <row r="1200" spans="1:9" x14ac:dyDescent="0.3">
      <c r="A1200" s="14">
        <v>4</v>
      </c>
      <c r="B1200" t="str" cm="1">
        <f t="array" ref="B1200">_xlfn.IFS(Datasets!Q1200=1,"LoW",Table1[[#This Row],[JobSatisfaction]]=2,"Medium",Table1[[#This Row],[JobSatisfaction]]=3,"High",Table1[[#This Row],[JobSatisfaction]]=4,"Very High")</f>
        <v>Very High</v>
      </c>
      <c r="H1200" s="5">
        <v>3</v>
      </c>
      <c r="I1200" t="str" cm="1">
        <f t="array" ref="I1200">_xlfn.IFS(H1200=1,"low",H1200=2,"medium",H1200=3,"balanced",H1200=4,"Good")</f>
        <v>balanced</v>
      </c>
    </row>
    <row r="1201" spans="1:9" x14ac:dyDescent="0.3">
      <c r="A1201" s="13">
        <v>4</v>
      </c>
      <c r="B1201" t="str" cm="1">
        <f t="array" ref="B1201">_xlfn.IFS(Datasets!Q1201=1,"LoW",Table1[[#This Row],[JobSatisfaction]]=2,"Medium",Table1[[#This Row],[JobSatisfaction]]=3,"High",Table1[[#This Row],[JobSatisfaction]]=4,"Very High")</f>
        <v>Very High</v>
      </c>
      <c r="H1201" s="5">
        <v>3</v>
      </c>
      <c r="I1201" t="str" cm="1">
        <f t="array" ref="I1201">_xlfn.IFS(H1201=1,"low",H1201=2,"medium",H1201=3,"balanced",H1201=4,"Good")</f>
        <v>balanced</v>
      </c>
    </row>
    <row r="1202" spans="1:9" x14ac:dyDescent="0.3">
      <c r="A1202" s="14">
        <v>1</v>
      </c>
      <c r="B1202" t="str" cm="1">
        <f t="array" ref="B1202">_xlfn.IFS(Datasets!Q1202=1,"LoW",Table1[[#This Row],[JobSatisfaction]]=2,"Medium",Table1[[#This Row],[JobSatisfaction]]=3,"High",Table1[[#This Row],[JobSatisfaction]]=4,"Very High")</f>
        <v>LoW</v>
      </c>
      <c r="H1202" s="5">
        <v>3</v>
      </c>
      <c r="I1202" t="str" cm="1">
        <f t="array" ref="I1202">_xlfn.IFS(H1202=1,"low",H1202=2,"medium",H1202=3,"balanced",H1202=4,"Good")</f>
        <v>balanced</v>
      </c>
    </row>
    <row r="1203" spans="1:9" x14ac:dyDescent="0.3">
      <c r="A1203" s="13">
        <v>1</v>
      </c>
      <c r="B1203" t="str" cm="1">
        <f t="array" ref="B1203">_xlfn.IFS(Datasets!Q1203=1,"LoW",Table1[[#This Row],[JobSatisfaction]]=2,"Medium",Table1[[#This Row],[JobSatisfaction]]=3,"High",Table1[[#This Row],[JobSatisfaction]]=4,"Very High")</f>
        <v>LoW</v>
      </c>
      <c r="H1203" s="5">
        <v>4</v>
      </c>
      <c r="I1203" t="str" cm="1">
        <f t="array" ref="I1203">_xlfn.IFS(H1203=1,"low",H1203=2,"medium",H1203=3,"balanced",H1203=4,"Good")</f>
        <v>Good</v>
      </c>
    </row>
    <row r="1204" spans="1:9" x14ac:dyDescent="0.3">
      <c r="A1204" s="14">
        <v>2</v>
      </c>
      <c r="B1204" t="str" cm="1">
        <f t="array" ref="B1204">_xlfn.IFS(Datasets!Q1204=1,"LoW",Table1[[#This Row],[JobSatisfaction]]=2,"Medium",Table1[[#This Row],[JobSatisfaction]]=3,"High",Table1[[#This Row],[JobSatisfaction]]=4,"Very High")</f>
        <v>Medium</v>
      </c>
      <c r="H1204" s="5">
        <v>4</v>
      </c>
      <c r="I1204" t="str" cm="1">
        <f t="array" ref="I1204">_xlfn.IFS(H1204=1,"low",H1204=2,"medium",H1204=3,"balanced",H1204=4,"Good")</f>
        <v>Good</v>
      </c>
    </row>
    <row r="1205" spans="1:9" x14ac:dyDescent="0.3">
      <c r="A1205" s="13">
        <v>1</v>
      </c>
      <c r="B1205" t="str" cm="1">
        <f t="array" ref="B1205">_xlfn.IFS(Datasets!Q1205=1,"LoW",Table1[[#This Row],[JobSatisfaction]]=2,"Medium",Table1[[#This Row],[JobSatisfaction]]=3,"High",Table1[[#This Row],[JobSatisfaction]]=4,"Very High")</f>
        <v>LoW</v>
      </c>
      <c r="H1205" s="5">
        <v>3</v>
      </c>
      <c r="I1205" t="str" cm="1">
        <f t="array" ref="I1205">_xlfn.IFS(H1205=1,"low",H1205=2,"medium",H1205=3,"balanced",H1205=4,"Good")</f>
        <v>balanced</v>
      </c>
    </row>
    <row r="1206" spans="1:9" x14ac:dyDescent="0.3">
      <c r="A1206" s="14">
        <v>4</v>
      </c>
      <c r="B1206" t="str" cm="1">
        <f t="array" ref="B1206">_xlfn.IFS(Datasets!Q1206=1,"LoW",Table1[[#This Row],[JobSatisfaction]]=2,"Medium",Table1[[#This Row],[JobSatisfaction]]=3,"High",Table1[[#This Row],[JobSatisfaction]]=4,"Very High")</f>
        <v>Very High</v>
      </c>
      <c r="H1206" s="5">
        <v>2</v>
      </c>
      <c r="I1206" t="str" cm="1">
        <f t="array" ref="I1206">_xlfn.IFS(H1206=1,"low",H1206=2,"medium",H1206=3,"balanced",H1206=4,"Good")</f>
        <v>medium</v>
      </c>
    </row>
    <row r="1207" spans="1:9" x14ac:dyDescent="0.3">
      <c r="A1207" s="13">
        <v>4</v>
      </c>
      <c r="B1207" t="str" cm="1">
        <f t="array" ref="B1207">_xlfn.IFS(Datasets!Q1207=1,"LoW",Table1[[#This Row],[JobSatisfaction]]=2,"Medium",Table1[[#This Row],[JobSatisfaction]]=3,"High",Table1[[#This Row],[JobSatisfaction]]=4,"Very High")</f>
        <v>Very High</v>
      </c>
      <c r="H1207" s="5">
        <v>3</v>
      </c>
      <c r="I1207" t="str" cm="1">
        <f t="array" ref="I1207">_xlfn.IFS(H1207=1,"low",H1207=2,"medium",H1207=3,"balanced",H1207=4,"Good")</f>
        <v>balanced</v>
      </c>
    </row>
    <row r="1208" spans="1:9" x14ac:dyDescent="0.3">
      <c r="A1208" s="14">
        <v>4</v>
      </c>
      <c r="B1208" t="str" cm="1">
        <f t="array" ref="B1208">_xlfn.IFS(Datasets!Q1208=1,"LoW",Table1[[#This Row],[JobSatisfaction]]=2,"Medium",Table1[[#This Row],[JobSatisfaction]]=3,"High",Table1[[#This Row],[JobSatisfaction]]=4,"Very High")</f>
        <v>Very High</v>
      </c>
      <c r="H1208" s="5">
        <v>3</v>
      </c>
      <c r="I1208" t="str" cm="1">
        <f t="array" ref="I1208">_xlfn.IFS(H1208=1,"low",H1208=2,"medium",H1208=3,"balanced",H1208=4,"Good")</f>
        <v>balanced</v>
      </c>
    </row>
    <row r="1209" spans="1:9" x14ac:dyDescent="0.3">
      <c r="A1209" s="13">
        <v>2</v>
      </c>
      <c r="B1209" t="str" cm="1">
        <f t="array" ref="B1209">_xlfn.IFS(Datasets!Q1209=1,"LoW",Table1[[#This Row],[JobSatisfaction]]=2,"Medium",Table1[[#This Row],[JobSatisfaction]]=3,"High",Table1[[#This Row],[JobSatisfaction]]=4,"Very High")</f>
        <v>Medium</v>
      </c>
      <c r="H1209" s="5">
        <v>3</v>
      </c>
      <c r="I1209" t="str" cm="1">
        <f t="array" ref="I1209">_xlfn.IFS(H1209=1,"low",H1209=2,"medium",H1209=3,"balanced",H1209=4,"Good")</f>
        <v>balanced</v>
      </c>
    </row>
    <row r="1210" spans="1:9" x14ac:dyDescent="0.3">
      <c r="A1210" s="14">
        <v>4</v>
      </c>
      <c r="B1210" t="str" cm="1">
        <f t="array" ref="B1210">_xlfn.IFS(Datasets!Q1210=1,"LoW",Table1[[#This Row],[JobSatisfaction]]=2,"Medium",Table1[[#This Row],[JobSatisfaction]]=3,"High",Table1[[#This Row],[JobSatisfaction]]=4,"Very High")</f>
        <v>Very High</v>
      </c>
      <c r="H1210" s="5">
        <v>2</v>
      </c>
      <c r="I1210" t="str" cm="1">
        <f t="array" ref="I1210">_xlfn.IFS(H1210=1,"low",H1210=2,"medium",H1210=3,"balanced",H1210=4,"Good")</f>
        <v>medium</v>
      </c>
    </row>
    <row r="1211" spans="1:9" x14ac:dyDescent="0.3">
      <c r="A1211" s="13">
        <v>4</v>
      </c>
      <c r="B1211" t="str" cm="1">
        <f t="array" ref="B1211">_xlfn.IFS(Datasets!Q1211=1,"LoW",Table1[[#This Row],[JobSatisfaction]]=2,"Medium",Table1[[#This Row],[JobSatisfaction]]=3,"High",Table1[[#This Row],[JobSatisfaction]]=4,"Very High")</f>
        <v>Very High</v>
      </c>
      <c r="H1211" s="5">
        <v>2</v>
      </c>
      <c r="I1211" t="str" cm="1">
        <f t="array" ref="I1211">_xlfn.IFS(H1211=1,"low",H1211=2,"medium",H1211=3,"balanced",H1211=4,"Good")</f>
        <v>medium</v>
      </c>
    </row>
    <row r="1212" spans="1:9" x14ac:dyDescent="0.3">
      <c r="A1212" s="14">
        <v>3</v>
      </c>
      <c r="B1212" t="str" cm="1">
        <f t="array" ref="B1212">_xlfn.IFS(Datasets!Q1212=1,"LoW",Table1[[#This Row],[JobSatisfaction]]=2,"Medium",Table1[[#This Row],[JobSatisfaction]]=3,"High",Table1[[#This Row],[JobSatisfaction]]=4,"Very High")</f>
        <v>High</v>
      </c>
      <c r="H1212" s="5">
        <v>2</v>
      </c>
      <c r="I1212" t="str" cm="1">
        <f t="array" ref="I1212">_xlfn.IFS(H1212=1,"low",H1212=2,"medium",H1212=3,"balanced",H1212=4,"Good")</f>
        <v>medium</v>
      </c>
    </row>
    <row r="1213" spans="1:9" x14ac:dyDescent="0.3">
      <c r="A1213" s="13">
        <v>4</v>
      </c>
      <c r="B1213" t="str" cm="1">
        <f t="array" ref="B1213">_xlfn.IFS(Datasets!Q1213=1,"LoW",Table1[[#This Row],[JobSatisfaction]]=2,"Medium",Table1[[#This Row],[JobSatisfaction]]=3,"High",Table1[[#This Row],[JobSatisfaction]]=4,"Very High")</f>
        <v>Very High</v>
      </c>
      <c r="H1213" s="5">
        <v>2</v>
      </c>
      <c r="I1213" t="str" cm="1">
        <f t="array" ref="I1213">_xlfn.IFS(H1213=1,"low",H1213=2,"medium",H1213=3,"balanced",H1213=4,"Good")</f>
        <v>medium</v>
      </c>
    </row>
    <row r="1214" spans="1:9" x14ac:dyDescent="0.3">
      <c r="A1214" s="14">
        <v>4</v>
      </c>
      <c r="B1214" t="str" cm="1">
        <f t="array" ref="B1214">_xlfn.IFS(Datasets!Q1214=1,"LoW",Table1[[#This Row],[JobSatisfaction]]=2,"Medium",Table1[[#This Row],[JobSatisfaction]]=3,"High",Table1[[#This Row],[JobSatisfaction]]=4,"Very High")</f>
        <v>Very High</v>
      </c>
      <c r="H1214" s="5">
        <v>3</v>
      </c>
      <c r="I1214" t="str" cm="1">
        <f t="array" ref="I1214">_xlfn.IFS(H1214=1,"low",H1214=2,"medium",H1214=3,"balanced",H1214=4,"Good")</f>
        <v>balanced</v>
      </c>
    </row>
    <row r="1215" spans="1:9" x14ac:dyDescent="0.3">
      <c r="A1215" s="13">
        <v>3</v>
      </c>
      <c r="B1215" t="str" cm="1">
        <f t="array" ref="B1215">_xlfn.IFS(Datasets!Q1215=1,"LoW",Table1[[#This Row],[JobSatisfaction]]=2,"Medium",Table1[[#This Row],[JobSatisfaction]]=3,"High",Table1[[#This Row],[JobSatisfaction]]=4,"Very High")</f>
        <v>High</v>
      </c>
      <c r="H1215" s="5">
        <v>3</v>
      </c>
      <c r="I1215" t="str" cm="1">
        <f t="array" ref="I1215">_xlfn.IFS(H1215=1,"low",H1215=2,"medium",H1215=3,"balanced",H1215=4,"Good")</f>
        <v>balanced</v>
      </c>
    </row>
    <row r="1216" spans="1:9" x14ac:dyDescent="0.3">
      <c r="A1216" s="14">
        <v>2</v>
      </c>
      <c r="B1216" t="str" cm="1">
        <f t="array" ref="B1216">_xlfn.IFS(Datasets!Q1216=1,"LoW",Table1[[#This Row],[JobSatisfaction]]=2,"Medium",Table1[[#This Row],[JobSatisfaction]]=3,"High",Table1[[#This Row],[JobSatisfaction]]=4,"Very High")</f>
        <v>Medium</v>
      </c>
      <c r="H1216" s="5">
        <v>3</v>
      </c>
      <c r="I1216" t="str" cm="1">
        <f t="array" ref="I1216">_xlfn.IFS(H1216=1,"low",H1216=2,"medium",H1216=3,"balanced",H1216=4,"Good")</f>
        <v>balanced</v>
      </c>
    </row>
    <row r="1217" spans="1:9" x14ac:dyDescent="0.3">
      <c r="A1217" s="13">
        <v>3</v>
      </c>
      <c r="B1217" t="str" cm="1">
        <f t="array" ref="B1217">_xlfn.IFS(Datasets!Q1217=1,"LoW",Table1[[#This Row],[JobSatisfaction]]=2,"Medium",Table1[[#This Row],[JobSatisfaction]]=3,"High",Table1[[#This Row],[JobSatisfaction]]=4,"Very High")</f>
        <v>High</v>
      </c>
      <c r="H1217" s="5">
        <v>4</v>
      </c>
      <c r="I1217" t="str" cm="1">
        <f t="array" ref="I1217">_xlfn.IFS(H1217=1,"low",H1217=2,"medium",H1217=3,"balanced",H1217=4,"Good")</f>
        <v>Good</v>
      </c>
    </row>
    <row r="1218" spans="1:9" x14ac:dyDescent="0.3">
      <c r="A1218" s="14">
        <v>1</v>
      </c>
      <c r="B1218" t="str" cm="1">
        <f t="array" ref="B1218">_xlfn.IFS(Datasets!Q1218=1,"LoW",Table1[[#This Row],[JobSatisfaction]]=2,"Medium",Table1[[#This Row],[JobSatisfaction]]=3,"High",Table1[[#This Row],[JobSatisfaction]]=4,"Very High")</f>
        <v>LoW</v>
      </c>
      <c r="H1218" s="5">
        <v>2</v>
      </c>
      <c r="I1218" t="str" cm="1">
        <f t="array" ref="I1218">_xlfn.IFS(H1218=1,"low",H1218=2,"medium",H1218=3,"balanced",H1218=4,"Good")</f>
        <v>medium</v>
      </c>
    </row>
    <row r="1219" spans="1:9" x14ac:dyDescent="0.3">
      <c r="A1219" s="13">
        <v>1</v>
      </c>
      <c r="B1219" t="str" cm="1">
        <f t="array" ref="B1219">_xlfn.IFS(Datasets!Q1219=1,"LoW",Table1[[#This Row],[JobSatisfaction]]=2,"Medium",Table1[[#This Row],[JobSatisfaction]]=3,"High",Table1[[#This Row],[JobSatisfaction]]=4,"Very High")</f>
        <v>LoW</v>
      </c>
      <c r="H1219" s="5">
        <v>3</v>
      </c>
      <c r="I1219" t="str" cm="1">
        <f t="array" ref="I1219">_xlfn.IFS(H1219=1,"low",H1219=2,"medium",H1219=3,"balanced",H1219=4,"Good")</f>
        <v>balanced</v>
      </c>
    </row>
    <row r="1220" spans="1:9" x14ac:dyDescent="0.3">
      <c r="A1220" s="14">
        <v>2</v>
      </c>
      <c r="B1220" t="str" cm="1">
        <f t="array" ref="B1220">_xlfn.IFS(Datasets!Q1220=1,"LoW",Table1[[#This Row],[JobSatisfaction]]=2,"Medium",Table1[[#This Row],[JobSatisfaction]]=3,"High",Table1[[#This Row],[JobSatisfaction]]=4,"Very High")</f>
        <v>Medium</v>
      </c>
      <c r="H1220" s="5">
        <v>3</v>
      </c>
      <c r="I1220" t="str" cm="1">
        <f t="array" ref="I1220">_xlfn.IFS(H1220=1,"low",H1220=2,"medium",H1220=3,"balanced",H1220=4,"Good")</f>
        <v>balanced</v>
      </c>
    </row>
    <row r="1221" spans="1:9" x14ac:dyDescent="0.3">
      <c r="A1221" s="13">
        <v>1</v>
      </c>
      <c r="B1221" t="str" cm="1">
        <f t="array" ref="B1221">_xlfn.IFS(Datasets!Q1221=1,"LoW",Table1[[#This Row],[JobSatisfaction]]=2,"Medium",Table1[[#This Row],[JobSatisfaction]]=3,"High",Table1[[#This Row],[JobSatisfaction]]=4,"Very High")</f>
        <v>LoW</v>
      </c>
      <c r="H1221" s="5">
        <v>3</v>
      </c>
      <c r="I1221" t="str" cm="1">
        <f t="array" ref="I1221">_xlfn.IFS(H1221=1,"low",H1221=2,"medium",H1221=3,"balanced",H1221=4,"Good")</f>
        <v>balanced</v>
      </c>
    </row>
    <row r="1222" spans="1:9" x14ac:dyDescent="0.3">
      <c r="A1222" s="14">
        <v>1</v>
      </c>
      <c r="B1222" t="str" cm="1">
        <f t="array" ref="B1222">_xlfn.IFS(Datasets!Q1222=1,"LoW",Table1[[#This Row],[JobSatisfaction]]=2,"Medium",Table1[[#This Row],[JobSatisfaction]]=3,"High",Table1[[#This Row],[JobSatisfaction]]=4,"Very High")</f>
        <v>LoW</v>
      </c>
      <c r="H1222" s="5">
        <v>3</v>
      </c>
      <c r="I1222" t="str" cm="1">
        <f t="array" ref="I1222">_xlfn.IFS(H1222=1,"low",H1222=2,"medium",H1222=3,"balanced",H1222=4,"Good")</f>
        <v>balanced</v>
      </c>
    </row>
    <row r="1223" spans="1:9" x14ac:dyDescent="0.3">
      <c r="A1223" s="13">
        <v>4</v>
      </c>
      <c r="B1223" t="str" cm="1">
        <f t="array" ref="B1223">_xlfn.IFS(Datasets!Q1223=1,"LoW",Table1[[#This Row],[JobSatisfaction]]=2,"Medium",Table1[[#This Row],[JobSatisfaction]]=3,"High",Table1[[#This Row],[JobSatisfaction]]=4,"Very High")</f>
        <v>Very High</v>
      </c>
      <c r="H1223" s="5">
        <v>3</v>
      </c>
      <c r="I1223" t="str" cm="1">
        <f t="array" ref="I1223">_xlfn.IFS(H1223=1,"low",H1223=2,"medium",H1223=3,"balanced",H1223=4,"Good")</f>
        <v>balanced</v>
      </c>
    </row>
    <row r="1224" spans="1:9" x14ac:dyDescent="0.3">
      <c r="A1224" s="14">
        <v>3</v>
      </c>
      <c r="B1224" t="str" cm="1">
        <f t="array" ref="B1224">_xlfn.IFS(Datasets!Q1224=1,"LoW",Table1[[#This Row],[JobSatisfaction]]=2,"Medium",Table1[[#This Row],[JobSatisfaction]]=3,"High",Table1[[#This Row],[JobSatisfaction]]=4,"Very High")</f>
        <v>High</v>
      </c>
      <c r="H1224" s="5">
        <v>1</v>
      </c>
      <c r="I1224" t="str" cm="1">
        <f t="array" ref="I1224">_xlfn.IFS(H1224=1,"low",H1224=2,"medium",H1224=3,"balanced",H1224=4,"Good")</f>
        <v>low</v>
      </c>
    </row>
    <row r="1225" spans="1:9" x14ac:dyDescent="0.3">
      <c r="A1225" s="13">
        <v>4</v>
      </c>
      <c r="B1225" t="str" cm="1">
        <f t="array" ref="B1225">_xlfn.IFS(Datasets!Q1225=1,"LoW",Table1[[#This Row],[JobSatisfaction]]=2,"Medium",Table1[[#This Row],[JobSatisfaction]]=3,"High",Table1[[#This Row],[JobSatisfaction]]=4,"Very High")</f>
        <v>Very High</v>
      </c>
      <c r="H1225" s="5">
        <v>2</v>
      </c>
      <c r="I1225" t="str" cm="1">
        <f t="array" ref="I1225">_xlfn.IFS(H1225=1,"low",H1225=2,"medium",H1225=3,"balanced",H1225=4,"Good")</f>
        <v>medium</v>
      </c>
    </row>
    <row r="1226" spans="1:9" x14ac:dyDescent="0.3">
      <c r="A1226" s="14">
        <v>3</v>
      </c>
      <c r="B1226" t="str" cm="1">
        <f t="array" ref="B1226">_xlfn.IFS(Datasets!Q1226=1,"LoW",Table1[[#This Row],[JobSatisfaction]]=2,"Medium",Table1[[#This Row],[JobSatisfaction]]=3,"High",Table1[[#This Row],[JobSatisfaction]]=4,"Very High")</f>
        <v>High</v>
      </c>
      <c r="H1226" s="5">
        <v>2</v>
      </c>
      <c r="I1226" t="str" cm="1">
        <f t="array" ref="I1226">_xlfn.IFS(H1226=1,"low",H1226=2,"medium",H1226=3,"balanced",H1226=4,"Good")</f>
        <v>medium</v>
      </c>
    </row>
    <row r="1227" spans="1:9" x14ac:dyDescent="0.3">
      <c r="A1227" s="13">
        <v>2</v>
      </c>
      <c r="B1227" t="str" cm="1">
        <f t="array" ref="B1227">_xlfn.IFS(Datasets!Q1227=1,"LoW",Table1[[#This Row],[JobSatisfaction]]=2,"Medium",Table1[[#This Row],[JobSatisfaction]]=3,"High",Table1[[#This Row],[JobSatisfaction]]=4,"Very High")</f>
        <v>Medium</v>
      </c>
      <c r="H1227" s="5">
        <v>3</v>
      </c>
      <c r="I1227" t="str" cm="1">
        <f t="array" ref="I1227">_xlfn.IFS(H1227=1,"low",H1227=2,"medium",H1227=3,"balanced",H1227=4,"Good")</f>
        <v>balanced</v>
      </c>
    </row>
    <row r="1228" spans="1:9" x14ac:dyDescent="0.3">
      <c r="A1228" s="14">
        <v>2</v>
      </c>
      <c r="B1228" t="str" cm="1">
        <f t="array" ref="B1228">_xlfn.IFS(Datasets!Q1228=1,"LoW",Table1[[#This Row],[JobSatisfaction]]=2,"Medium",Table1[[#This Row],[JobSatisfaction]]=3,"High",Table1[[#This Row],[JobSatisfaction]]=4,"Very High")</f>
        <v>Medium</v>
      </c>
      <c r="H1228" s="5">
        <v>3</v>
      </c>
      <c r="I1228" t="str" cm="1">
        <f t="array" ref="I1228">_xlfn.IFS(H1228=1,"low",H1228=2,"medium",H1228=3,"balanced",H1228=4,"Good")</f>
        <v>balanced</v>
      </c>
    </row>
    <row r="1229" spans="1:9" x14ac:dyDescent="0.3">
      <c r="A1229" s="13">
        <v>3</v>
      </c>
      <c r="B1229" t="str" cm="1">
        <f t="array" ref="B1229">_xlfn.IFS(Datasets!Q1229=1,"LoW",Table1[[#This Row],[JobSatisfaction]]=2,"Medium",Table1[[#This Row],[JobSatisfaction]]=3,"High",Table1[[#This Row],[JobSatisfaction]]=4,"Very High")</f>
        <v>High</v>
      </c>
      <c r="H1229" s="5">
        <v>2</v>
      </c>
      <c r="I1229" t="str" cm="1">
        <f t="array" ref="I1229">_xlfn.IFS(H1229=1,"low",H1229=2,"medium",H1229=3,"balanced",H1229=4,"Good")</f>
        <v>medium</v>
      </c>
    </row>
    <row r="1230" spans="1:9" x14ac:dyDescent="0.3">
      <c r="A1230" s="14">
        <v>3</v>
      </c>
      <c r="B1230" t="str" cm="1">
        <f t="array" ref="B1230">_xlfn.IFS(Datasets!Q1230=1,"LoW",Table1[[#This Row],[JobSatisfaction]]=2,"Medium",Table1[[#This Row],[JobSatisfaction]]=3,"High",Table1[[#This Row],[JobSatisfaction]]=4,"Very High")</f>
        <v>High</v>
      </c>
      <c r="H1230" s="5">
        <v>1</v>
      </c>
      <c r="I1230" t="str" cm="1">
        <f t="array" ref="I1230">_xlfn.IFS(H1230=1,"low",H1230=2,"medium",H1230=3,"balanced",H1230=4,"Good")</f>
        <v>low</v>
      </c>
    </row>
    <row r="1231" spans="1:9" x14ac:dyDescent="0.3">
      <c r="A1231" s="13">
        <v>2</v>
      </c>
      <c r="B1231" t="str" cm="1">
        <f t="array" ref="B1231">_xlfn.IFS(Datasets!Q1231=1,"LoW",Table1[[#This Row],[JobSatisfaction]]=2,"Medium",Table1[[#This Row],[JobSatisfaction]]=3,"High",Table1[[#This Row],[JobSatisfaction]]=4,"Very High")</f>
        <v>Medium</v>
      </c>
      <c r="H1231" s="5">
        <v>4</v>
      </c>
      <c r="I1231" t="str" cm="1">
        <f t="array" ref="I1231">_xlfn.IFS(H1231=1,"low",H1231=2,"medium",H1231=3,"balanced",H1231=4,"Good")</f>
        <v>Good</v>
      </c>
    </row>
    <row r="1232" spans="1:9" x14ac:dyDescent="0.3">
      <c r="A1232" s="14">
        <v>4</v>
      </c>
      <c r="B1232" t="str" cm="1">
        <f t="array" ref="B1232">_xlfn.IFS(Datasets!Q1232=1,"LoW",Table1[[#This Row],[JobSatisfaction]]=2,"Medium",Table1[[#This Row],[JobSatisfaction]]=3,"High",Table1[[#This Row],[JobSatisfaction]]=4,"Very High")</f>
        <v>Very High</v>
      </c>
      <c r="H1232" s="5">
        <v>3</v>
      </c>
      <c r="I1232" t="str" cm="1">
        <f t="array" ref="I1232">_xlfn.IFS(H1232=1,"low",H1232=2,"medium",H1232=3,"balanced",H1232=4,"Good")</f>
        <v>balanced</v>
      </c>
    </row>
    <row r="1233" spans="1:9" x14ac:dyDescent="0.3">
      <c r="A1233" s="13">
        <v>1</v>
      </c>
      <c r="B1233" t="str" cm="1">
        <f t="array" ref="B1233">_xlfn.IFS(Datasets!Q1233=1,"LoW",Table1[[#This Row],[JobSatisfaction]]=2,"Medium",Table1[[#This Row],[JobSatisfaction]]=3,"High",Table1[[#This Row],[JobSatisfaction]]=4,"Very High")</f>
        <v>LoW</v>
      </c>
      <c r="H1233" s="5">
        <v>2</v>
      </c>
      <c r="I1233" t="str" cm="1">
        <f t="array" ref="I1233">_xlfn.IFS(H1233=1,"low",H1233=2,"medium",H1233=3,"balanced",H1233=4,"Good")</f>
        <v>medium</v>
      </c>
    </row>
    <row r="1234" spans="1:9" x14ac:dyDescent="0.3">
      <c r="A1234" s="14">
        <v>3</v>
      </c>
      <c r="B1234" t="str" cm="1">
        <f t="array" ref="B1234">_xlfn.IFS(Datasets!Q1234=1,"LoW",Table1[[#This Row],[JobSatisfaction]]=2,"Medium",Table1[[#This Row],[JobSatisfaction]]=3,"High",Table1[[#This Row],[JobSatisfaction]]=4,"Very High")</f>
        <v>High</v>
      </c>
      <c r="H1234" s="5">
        <v>3</v>
      </c>
      <c r="I1234" t="str" cm="1">
        <f t="array" ref="I1234">_xlfn.IFS(H1234=1,"low",H1234=2,"medium",H1234=3,"balanced",H1234=4,"Good")</f>
        <v>balanced</v>
      </c>
    </row>
    <row r="1235" spans="1:9" x14ac:dyDescent="0.3">
      <c r="A1235" s="13">
        <v>3</v>
      </c>
      <c r="B1235" t="str" cm="1">
        <f t="array" ref="B1235">_xlfn.IFS(Datasets!Q1235=1,"LoW",Table1[[#This Row],[JobSatisfaction]]=2,"Medium",Table1[[#This Row],[JobSatisfaction]]=3,"High",Table1[[#This Row],[JobSatisfaction]]=4,"Very High")</f>
        <v>High</v>
      </c>
      <c r="H1235" s="5">
        <v>3</v>
      </c>
      <c r="I1235" t="str" cm="1">
        <f t="array" ref="I1235">_xlfn.IFS(H1235=1,"low",H1235=2,"medium",H1235=3,"balanced",H1235=4,"Good")</f>
        <v>balanced</v>
      </c>
    </row>
    <row r="1236" spans="1:9" x14ac:dyDescent="0.3">
      <c r="A1236" s="14">
        <v>2</v>
      </c>
      <c r="B1236" t="str" cm="1">
        <f t="array" ref="B1236">_xlfn.IFS(Datasets!Q1236=1,"LoW",Table1[[#This Row],[JobSatisfaction]]=2,"Medium",Table1[[#This Row],[JobSatisfaction]]=3,"High",Table1[[#This Row],[JobSatisfaction]]=4,"Very High")</f>
        <v>Medium</v>
      </c>
      <c r="H1236" s="5">
        <v>4</v>
      </c>
      <c r="I1236" t="str" cm="1">
        <f t="array" ref="I1236">_xlfn.IFS(H1236=1,"low",H1236=2,"medium",H1236=3,"balanced",H1236=4,"Good")</f>
        <v>Good</v>
      </c>
    </row>
    <row r="1237" spans="1:9" x14ac:dyDescent="0.3">
      <c r="A1237" s="13">
        <v>3</v>
      </c>
      <c r="B1237" t="str" cm="1">
        <f t="array" ref="B1237">_xlfn.IFS(Datasets!Q1237=1,"LoW",Table1[[#This Row],[JobSatisfaction]]=2,"Medium",Table1[[#This Row],[JobSatisfaction]]=3,"High",Table1[[#This Row],[JobSatisfaction]]=4,"Very High")</f>
        <v>High</v>
      </c>
      <c r="H1237" s="5">
        <v>3</v>
      </c>
      <c r="I1237" t="str" cm="1">
        <f t="array" ref="I1237">_xlfn.IFS(H1237=1,"low",H1237=2,"medium",H1237=3,"balanced",H1237=4,"Good")</f>
        <v>balanced</v>
      </c>
    </row>
    <row r="1238" spans="1:9" x14ac:dyDescent="0.3">
      <c r="A1238" s="14">
        <v>3</v>
      </c>
      <c r="B1238" t="str" cm="1">
        <f t="array" ref="B1238">_xlfn.IFS(Datasets!Q1238=1,"LoW",Table1[[#This Row],[JobSatisfaction]]=2,"Medium",Table1[[#This Row],[JobSatisfaction]]=3,"High",Table1[[#This Row],[JobSatisfaction]]=4,"Very High")</f>
        <v>High</v>
      </c>
      <c r="H1238" s="5">
        <v>2</v>
      </c>
      <c r="I1238" t="str" cm="1">
        <f t="array" ref="I1238">_xlfn.IFS(H1238=1,"low",H1238=2,"medium",H1238=3,"balanced",H1238=4,"Good")</f>
        <v>medium</v>
      </c>
    </row>
    <row r="1239" spans="1:9" x14ac:dyDescent="0.3">
      <c r="A1239" s="13">
        <v>1</v>
      </c>
      <c r="B1239" t="str" cm="1">
        <f t="array" ref="B1239">_xlfn.IFS(Datasets!Q1239=1,"LoW",Table1[[#This Row],[JobSatisfaction]]=2,"Medium",Table1[[#This Row],[JobSatisfaction]]=3,"High",Table1[[#This Row],[JobSatisfaction]]=4,"Very High")</f>
        <v>LoW</v>
      </c>
      <c r="H1239" s="5">
        <v>3</v>
      </c>
      <c r="I1239" t="str" cm="1">
        <f t="array" ref="I1239">_xlfn.IFS(H1239=1,"low",H1239=2,"medium",H1239=3,"balanced",H1239=4,"Good")</f>
        <v>balanced</v>
      </c>
    </row>
    <row r="1240" spans="1:9" x14ac:dyDescent="0.3">
      <c r="A1240" s="14">
        <v>4</v>
      </c>
      <c r="B1240" t="str" cm="1">
        <f t="array" ref="B1240">_xlfn.IFS(Datasets!Q1240=1,"LoW",Table1[[#This Row],[JobSatisfaction]]=2,"Medium",Table1[[#This Row],[JobSatisfaction]]=3,"High",Table1[[#This Row],[JobSatisfaction]]=4,"Very High")</f>
        <v>Very High</v>
      </c>
      <c r="H1240" s="5">
        <v>3</v>
      </c>
      <c r="I1240" t="str" cm="1">
        <f t="array" ref="I1240">_xlfn.IFS(H1240=1,"low",H1240=2,"medium",H1240=3,"balanced",H1240=4,"Good")</f>
        <v>balanced</v>
      </c>
    </row>
    <row r="1241" spans="1:9" x14ac:dyDescent="0.3">
      <c r="A1241" s="13">
        <v>4</v>
      </c>
      <c r="B1241" t="str" cm="1">
        <f t="array" ref="B1241">_xlfn.IFS(Datasets!Q1241=1,"LoW",Table1[[#This Row],[JobSatisfaction]]=2,"Medium",Table1[[#This Row],[JobSatisfaction]]=3,"High",Table1[[#This Row],[JobSatisfaction]]=4,"Very High")</f>
        <v>Very High</v>
      </c>
      <c r="H1241" s="5">
        <v>3</v>
      </c>
      <c r="I1241" t="str" cm="1">
        <f t="array" ref="I1241">_xlfn.IFS(H1241=1,"low",H1241=2,"medium",H1241=3,"balanced",H1241=4,"Good")</f>
        <v>balanced</v>
      </c>
    </row>
    <row r="1242" spans="1:9" x14ac:dyDescent="0.3">
      <c r="A1242" s="14">
        <v>1</v>
      </c>
      <c r="B1242" t="str" cm="1">
        <f t="array" ref="B1242">_xlfn.IFS(Datasets!Q1242=1,"LoW",Table1[[#This Row],[JobSatisfaction]]=2,"Medium",Table1[[#This Row],[JobSatisfaction]]=3,"High",Table1[[#This Row],[JobSatisfaction]]=4,"Very High")</f>
        <v>LoW</v>
      </c>
      <c r="H1242" s="5">
        <v>3</v>
      </c>
      <c r="I1242" t="str" cm="1">
        <f t="array" ref="I1242">_xlfn.IFS(H1242=1,"low",H1242=2,"medium",H1242=3,"balanced",H1242=4,"Good")</f>
        <v>balanced</v>
      </c>
    </row>
    <row r="1243" spans="1:9" x14ac:dyDescent="0.3">
      <c r="A1243" s="13">
        <v>3</v>
      </c>
      <c r="B1243" t="str" cm="1">
        <f t="array" ref="B1243">_xlfn.IFS(Datasets!Q1243=1,"LoW",Table1[[#This Row],[JobSatisfaction]]=2,"Medium",Table1[[#This Row],[JobSatisfaction]]=3,"High",Table1[[#This Row],[JobSatisfaction]]=4,"Very High")</f>
        <v>High</v>
      </c>
      <c r="H1243" s="5">
        <v>3</v>
      </c>
      <c r="I1243" t="str" cm="1">
        <f t="array" ref="I1243">_xlfn.IFS(H1243=1,"low",H1243=2,"medium",H1243=3,"balanced",H1243=4,"Good")</f>
        <v>balanced</v>
      </c>
    </row>
    <row r="1244" spans="1:9" x14ac:dyDescent="0.3">
      <c r="A1244" s="14">
        <v>1</v>
      </c>
      <c r="B1244" t="str" cm="1">
        <f t="array" ref="B1244">_xlfn.IFS(Datasets!Q1244=1,"LoW",Table1[[#This Row],[JobSatisfaction]]=2,"Medium",Table1[[#This Row],[JobSatisfaction]]=3,"High",Table1[[#This Row],[JobSatisfaction]]=4,"Very High")</f>
        <v>LoW</v>
      </c>
      <c r="H1244" s="5">
        <v>3</v>
      </c>
      <c r="I1244" t="str" cm="1">
        <f t="array" ref="I1244">_xlfn.IFS(H1244=1,"low",H1244=2,"medium",H1244=3,"balanced",H1244=4,"Good")</f>
        <v>balanced</v>
      </c>
    </row>
    <row r="1245" spans="1:9" x14ac:dyDescent="0.3">
      <c r="A1245" s="13">
        <v>1</v>
      </c>
      <c r="B1245" t="str" cm="1">
        <f t="array" ref="B1245">_xlfn.IFS(Datasets!Q1245=1,"LoW",Table1[[#This Row],[JobSatisfaction]]=2,"Medium",Table1[[#This Row],[JobSatisfaction]]=3,"High",Table1[[#This Row],[JobSatisfaction]]=4,"Very High")</f>
        <v>LoW</v>
      </c>
      <c r="H1245" s="5">
        <v>3</v>
      </c>
      <c r="I1245" t="str" cm="1">
        <f t="array" ref="I1245">_xlfn.IFS(H1245=1,"low",H1245=2,"medium",H1245=3,"balanced",H1245=4,"Good")</f>
        <v>balanced</v>
      </c>
    </row>
    <row r="1246" spans="1:9" x14ac:dyDescent="0.3">
      <c r="A1246" s="14">
        <v>4</v>
      </c>
      <c r="B1246" t="str" cm="1">
        <f t="array" ref="B1246">_xlfn.IFS(Datasets!Q1246=1,"LoW",Table1[[#This Row],[JobSatisfaction]]=2,"Medium",Table1[[#This Row],[JobSatisfaction]]=3,"High",Table1[[#This Row],[JobSatisfaction]]=4,"Very High")</f>
        <v>Very High</v>
      </c>
      <c r="H1246" s="5">
        <v>2</v>
      </c>
      <c r="I1246" t="str" cm="1">
        <f t="array" ref="I1246">_xlfn.IFS(H1246=1,"low",H1246=2,"medium",H1246=3,"balanced",H1246=4,"Good")</f>
        <v>medium</v>
      </c>
    </row>
    <row r="1247" spans="1:9" x14ac:dyDescent="0.3">
      <c r="A1247" s="13">
        <v>1</v>
      </c>
      <c r="B1247" t="str" cm="1">
        <f t="array" ref="B1247">_xlfn.IFS(Datasets!Q1247=1,"LoW",Table1[[#This Row],[JobSatisfaction]]=2,"Medium",Table1[[#This Row],[JobSatisfaction]]=3,"High",Table1[[#This Row],[JobSatisfaction]]=4,"Very High")</f>
        <v>LoW</v>
      </c>
      <c r="H1247" s="5">
        <v>3</v>
      </c>
      <c r="I1247" t="str" cm="1">
        <f t="array" ref="I1247">_xlfn.IFS(H1247=1,"low",H1247=2,"medium",H1247=3,"balanced",H1247=4,"Good")</f>
        <v>balanced</v>
      </c>
    </row>
    <row r="1248" spans="1:9" x14ac:dyDescent="0.3">
      <c r="A1248" s="14">
        <v>4</v>
      </c>
      <c r="B1248" t="str" cm="1">
        <f t="array" ref="B1248">_xlfn.IFS(Datasets!Q1248=1,"LoW",Table1[[#This Row],[JobSatisfaction]]=2,"Medium",Table1[[#This Row],[JobSatisfaction]]=3,"High",Table1[[#This Row],[JobSatisfaction]]=4,"Very High")</f>
        <v>Very High</v>
      </c>
      <c r="H1248" s="5">
        <v>4</v>
      </c>
      <c r="I1248" t="str" cm="1">
        <f t="array" ref="I1248">_xlfn.IFS(H1248=1,"low",H1248=2,"medium",H1248=3,"balanced",H1248=4,"Good")</f>
        <v>Good</v>
      </c>
    </row>
    <row r="1249" spans="1:9" x14ac:dyDescent="0.3">
      <c r="A1249" s="13">
        <v>2</v>
      </c>
      <c r="B1249" t="str" cm="1">
        <f t="array" ref="B1249">_xlfn.IFS(Datasets!Q1249=1,"LoW",Table1[[#This Row],[JobSatisfaction]]=2,"Medium",Table1[[#This Row],[JobSatisfaction]]=3,"High",Table1[[#This Row],[JobSatisfaction]]=4,"Very High")</f>
        <v>Medium</v>
      </c>
      <c r="H1249" s="5">
        <v>3</v>
      </c>
      <c r="I1249" t="str" cm="1">
        <f t="array" ref="I1249">_xlfn.IFS(H1249=1,"low",H1249=2,"medium",H1249=3,"balanced",H1249=4,"Good")</f>
        <v>balanced</v>
      </c>
    </row>
    <row r="1250" spans="1:9" x14ac:dyDescent="0.3">
      <c r="A1250" s="14">
        <v>3</v>
      </c>
      <c r="B1250" t="str" cm="1">
        <f t="array" ref="B1250">_xlfn.IFS(Datasets!Q1250=1,"LoW",Table1[[#This Row],[JobSatisfaction]]=2,"Medium",Table1[[#This Row],[JobSatisfaction]]=3,"High",Table1[[#This Row],[JobSatisfaction]]=4,"Very High")</f>
        <v>High</v>
      </c>
      <c r="H1250" s="5">
        <v>3</v>
      </c>
      <c r="I1250" t="str" cm="1">
        <f t="array" ref="I1250">_xlfn.IFS(H1250=1,"low",H1250=2,"medium",H1250=3,"balanced",H1250=4,"Good")</f>
        <v>balanced</v>
      </c>
    </row>
    <row r="1251" spans="1:9" x14ac:dyDescent="0.3">
      <c r="A1251" s="13">
        <v>1</v>
      </c>
      <c r="B1251" t="str" cm="1">
        <f t="array" ref="B1251">_xlfn.IFS(Datasets!Q1251=1,"LoW",Table1[[#This Row],[JobSatisfaction]]=2,"Medium",Table1[[#This Row],[JobSatisfaction]]=3,"High",Table1[[#This Row],[JobSatisfaction]]=4,"Very High")</f>
        <v>LoW</v>
      </c>
      <c r="H1251" s="5">
        <v>3</v>
      </c>
      <c r="I1251" t="str" cm="1">
        <f t="array" ref="I1251">_xlfn.IFS(H1251=1,"low",H1251=2,"medium",H1251=3,"balanced",H1251=4,"Good")</f>
        <v>balanced</v>
      </c>
    </row>
    <row r="1252" spans="1:9" x14ac:dyDescent="0.3">
      <c r="A1252" s="14">
        <v>4</v>
      </c>
      <c r="B1252" t="str" cm="1">
        <f t="array" ref="B1252">_xlfn.IFS(Datasets!Q1252=1,"LoW",Table1[[#This Row],[JobSatisfaction]]=2,"Medium",Table1[[#This Row],[JobSatisfaction]]=3,"High",Table1[[#This Row],[JobSatisfaction]]=4,"Very High")</f>
        <v>Very High</v>
      </c>
      <c r="H1252" s="5">
        <v>3</v>
      </c>
      <c r="I1252" t="str" cm="1">
        <f t="array" ref="I1252">_xlfn.IFS(H1252=1,"low",H1252=2,"medium",H1252=3,"balanced",H1252=4,"Good")</f>
        <v>balanced</v>
      </c>
    </row>
    <row r="1253" spans="1:9" x14ac:dyDescent="0.3">
      <c r="A1253" s="13">
        <v>3</v>
      </c>
      <c r="B1253" t="str" cm="1">
        <f t="array" ref="B1253">_xlfn.IFS(Datasets!Q1253=1,"LoW",Table1[[#This Row],[JobSatisfaction]]=2,"Medium",Table1[[#This Row],[JobSatisfaction]]=3,"High",Table1[[#This Row],[JobSatisfaction]]=4,"Very High")</f>
        <v>High</v>
      </c>
      <c r="H1253" s="5">
        <v>3</v>
      </c>
      <c r="I1253" t="str" cm="1">
        <f t="array" ref="I1253">_xlfn.IFS(H1253=1,"low",H1253=2,"medium",H1253=3,"balanced",H1253=4,"Good")</f>
        <v>balanced</v>
      </c>
    </row>
    <row r="1254" spans="1:9" x14ac:dyDescent="0.3">
      <c r="A1254" s="14">
        <v>3</v>
      </c>
      <c r="B1254" t="str" cm="1">
        <f t="array" ref="B1254">_xlfn.IFS(Datasets!Q1254=1,"LoW",Table1[[#This Row],[JobSatisfaction]]=2,"Medium",Table1[[#This Row],[JobSatisfaction]]=3,"High",Table1[[#This Row],[JobSatisfaction]]=4,"Very High")</f>
        <v>High</v>
      </c>
      <c r="H1254" s="5">
        <v>3</v>
      </c>
      <c r="I1254" t="str" cm="1">
        <f t="array" ref="I1254">_xlfn.IFS(H1254=1,"low",H1254=2,"medium",H1254=3,"balanced",H1254=4,"Good")</f>
        <v>balanced</v>
      </c>
    </row>
    <row r="1255" spans="1:9" x14ac:dyDescent="0.3">
      <c r="A1255" s="13">
        <v>2</v>
      </c>
      <c r="B1255" t="str" cm="1">
        <f t="array" ref="B1255">_xlfn.IFS(Datasets!Q1255=1,"LoW",Table1[[#This Row],[JobSatisfaction]]=2,"Medium",Table1[[#This Row],[JobSatisfaction]]=3,"High",Table1[[#This Row],[JobSatisfaction]]=4,"Very High")</f>
        <v>Medium</v>
      </c>
      <c r="H1255" s="5">
        <v>3</v>
      </c>
      <c r="I1255" t="str" cm="1">
        <f t="array" ref="I1255">_xlfn.IFS(H1255=1,"low",H1255=2,"medium",H1255=3,"balanced",H1255=4,"Good")</f>
        <v>balanced</v>
      </c>
    </row>
    <row r="1256" spans="1:9" x14ac:dyDescent="0.3">
      <c r="A1256" s="14">
        <v>3</v>
      </c>
      <c r="B1256" t="str" cm="1">
        <f t="array" ref="B1256">_xlfn.IFS(Datasets!Q1256=1,"LoW",Table1[[#This Row],[JobSatisfaction]]=2,"Medium",Table1[[#This Row],[JobSatisfaction]]=3,"High",Table1[[#This Row],[JobSatisfaction]]=4,"Very High")</f>
        <v>High</v>
      </c>
      <c r="H1256" s="5">
        <v>3</v>
      </c>
      <c r="I1256" t="str" cm="1">
        <f t="array" ref="I1256">_xlfn.IFS(H1256=1,"low",H1256=2,"medium",H1256=3,"balanced",H1256=4,"Good")</f>
        <v>balanced</v>
      </c>
    </row>
    <row r="1257" spans="1:9" x14ac:dyDescent="0.3">
      <c r="A1257" s="13">
        <v>3</v>
      </c>
      <c r="B1257" t="str" cm="1">
        <f t="array" ref="B1257">_xlfn.IFS(Datasets!Q1257=1,"LoW",Table1[[#This Row],[JobSatisfaction]]=2,"Medium",Table1[[#This Row],[JobSatisfaction]]=3,"High",Table1[[#This Row],[JobSatisfaction]]=4,"Very High")</f>
        <v>High</v>
      </c>
      <c r="H1257" s="5">
        <v>4</v>
      </c>
      <c r="I1257" t="str" cm="1">
        <f t="array" ref="I1257">_xlfn.IFS(H1257=1,"low",H1257=2,"medium",H1257=3,"balanced",H1257=4,"Good")</f>
        <v>Good</v>
      </c>
    </row>
    <row r="1258" spans="1:9" x14ac:dyDescent="0.3">
      <c r="A1258" s="14">
        <v>4</v>
      </c>
      <c r="B1258" t="str" cm="1">
        <f t="array" ref="B1258">_xlfn.IFS(Datasets!Q1258=1,"LoW",Table1[[#This Row],[JobSatisfaction]]=2,"Medium",Table1[[#This Row],[JobSatisfaction]]=3,"High",Table1[[#This Row],[JobSatisfaction]]=4,"Very High")</f>
        <v>Very High</v>
      </c>
      <c r="H1258" s="5">
        <v>2</v>
      </c>
      <c r="I1258" t="str" cm="1">
        <f t="array" ref="I1258">_xlfn.IFS(H1258=1,"low",H1258=2,"medium",H1258=3,"balanced",H1258=4,"Good")</f>
        <v>medium</v>
      </c>
    </row>
    <row r="1259" spans="1:9" x14ac:dyDescent="0.3">
      <c r="A1259" s="13">
        <v>4</v>
      </c>
      <c r="B1259" t="str" cm="1">
        <f t="array" ref="B1259">_xlfn.IFS(Datasets!Q1259=1,"LoW",Table1[[#This Row],[JobSatisfaction]]=2,"Medium",Table1[[#This Row],[JobSatisfaction]]=3,"High",Table1[[#This Row],[JobSatisfaction]]=4,"Very High")</f>
        <v>Very High</v>
      </c>
      <c r="H1259" s="5">
        <v>3</v>
      </c>
      <c r="I1259" t="str" cm="1">
        <f t="array" ref="I1259">_xlfn.IFS(H1259=1,"low",H1259=2,"medium",H1259=3,"balanced",H1259=4,"Good")</f>
        <v>balanced</v>
      </c>
    </row>
    <row r="1260" spans="1:9" x14ac:dyDescent="0.3">
      <c r="A1260" s="14">
        <v>4</v>
      </c>
      <c r="B1260" t="str" cm="1">
        <f t="array" ref="B1260">_xlfn.IFS(Datasets!Q1260=1,"LoW",Table1[[#This Row],[JobSatisfaction]]=2,"Medium",Table1[[#This Row],[JobSatisfaction]]=3,"High",Table1[[#This Row],[JobSatisfaction]]=4,"Very High")</f>
        <v>Very High</v>
      </c>
      <c r="H1260" s="5">
        <v>4</v>
      </c>
      <c r="I1260" t="str" cm="1">
        <f t="array" ref="I1260">_xlfn.IFS(H1260=1,"low",H1260=2,"medium",H1260=3,"balanced",H1260=4,"Good")</f>
        <v>Good</v>
      </c>
    </row>
    <row r="1261" spans="1:9" x14ac:dyDescent="0.3">
      <c r="A1261" s="13">
        <v>3</v>
      </c>
      <c r="B1261" t="str" cm="1">
        <f t="array" ref="B1261">_xlfn.IFS(Datasets!Q1261=1,"LoW",Table1[[#This Row],[JobSatisfaction]]=2,"Medium",Table1[[#This Row],[JobSatisfaction]]=3,"High",Table1[[#This Row],[JobSatisfaction]]=4,"Very High")</f>
        <v>High</v>
      </c>
      <c r="H1261" s="5">
        <v>3</v>
      </c>
      <c r="I1261" t="str" cm="1">
        <f t="array" ref="I1261">_xlfn.IFS(H1261=1,"low",H1261=2,"medium",H1261=3,"balanced",H1261=4,"Good")</f>
        <v>balanced</v>
      </c>
    </row>
    <row r="1262" spans="1:9" x14ac:dyDescent="0.3">
      <c r="A1262" s="14">
        <v>1</v>
      </c>
      <c r="B1262" t="str" cm="1">
        <f t="array" ref="B1262">_xlfn.IFS(Datasets!Q1262=1,"LoW",Table1[[#This Row],[JobSatisfaction]]=2,"Medium",Table1[[#This Row],[JobSatisfaction]]=3,"High",Table1[[#This Row],[JobSatisfaction]]=4,"Very High")</f>
        <v>LoW</v>
      </c>
      <c r="H1262" s="5">
        <v>2</v>
      </c>
      <c r="I1262" t="str" cm="1">
        <f t="array" ref="I1262">_xlfn.IFS(H1262=1,"low",H1262=2,"medium",H1262=3,"balanced",H1262=4,"Good")</f>
        <v>medium</v>
      </c>
    </row>
    <row r="1263" spans="1:9" x14ac:dyDescent="0.3">
      <c r="A1263" s="13">
        <v>4</v>
      </c>
      <c r="B1263" t="str" cm="1">
        <f t="array" ref="B1263">_xlfn.IFS(Datasets!Q1263=1,"LoW",Table1[[#This Row],[JobSatisfaction]]=2,"Medium",Table1[[#This Row],[JobSatisfaction]]=3,"High",Table1[[#This Row],[JobSatisfaction]]=4,"Very High")</f>
        <v>Very High</v>
      </c>
      <c r="H1263" s="5">
        <v>3</v>
      </c>
      <c r="I1263" t="str" cm="1">
        <f t="array" ref="I1263">_xlfn.IFS(H1263=1,"low",H1263=2,"medium",H1263=3,"balanced",H1263=4,"Good")</f>
        <v>balanced</v>
      </c>
    </row>
    <row r="1264" spans="1:9" x14ac:dyDescent="0.3">
      <c r="A1264" s="14">
        <v>4</v>
      </c>
      <c r="B1264" t="str" cm="1">
        <f t="array" ref="B1264">_xlfn.IFS(Datasets!Q1264=1,"LoW",Table1[[#This Row],[JobSatisfaction]]=2,"Medium",Table1[[#This Row],[JobSatisfaction]]=3,"High",Table1[[#This Row],[JobSatisfaction]]=4,"Very High")</f>
        <v>Very High</v>
      </c>
      <c r="H1264" s="5">
        <v>2</v>
      </c>
      <c r="I1264" t="str" cm="1">
        <f t="array" ref="I1264">_xlfn.IFS(H1264=1,"low",H1264=2,"medium",H1264=3,"balanced",H1264=4,"Good")</f>
        <v>medium</v>
      </c>
    </row>
    <row r="1265" spans="1:9" x14ac:dyDescent="0.3">
      <c r="A1265" s="13">
        <v>1</v>
      </c>
      <c r="B1265" t="str" cm="1">
        <f t="array" ref="B1265">_xlfn.IFS(Datasets!Q1265=1,"LoW",Table1[[#This Row],[JobSatisfaction]]=2,"Medium",Table1[[#This Row],[JobSatisfaction]]=3,"High",Table1[[#This Row],[JobSatisfaction]]=4,"Very High")</f>
        <v>LoW</v>
      </c>
      <c r="H1265" s="5">
        <v>3</v>
      </c>
      <c r="I1265" t="str" cm="1">
        <f t="array" ref="I1265">_xlfn.IFS(H1265=1,"low",H1265=2,"medium",H1265=3,"balanced",H1265=4,"Good")</f>
        <v>balanced</v>
      </c>
    </row>
    <row r="1266" spans="1:9" x14ac:dyDescent="0.3">
      <c r="A1266" s="14">
        <v>3</v>
      </c>
      <c r="B1266" t="str" cm="1">
        <f t="array" ref="B1266">_xlfn.IFS(Datasets!Q1266=1,"LoW",Table1[[#This Row],[JobSatisfaction]]=2,"Medium",Table1[[#This Row],[JobSatisfaction]]=3,"High",Table1[[#This Row],[JobSatisfaction]]=4,"Very High")</f>
        <v>High</v>
      </c>
      <c r="H1266" s="5">
        <v>4</v>
      </c>
      <c r="I1266" t="str" cm="1">
        <f t="array" ref="I1266">_xlfn.IFS(H1266=1,"low",H1266=2,"medium",H1266=3,"balanced",H1266=4,"Good")</f>
        <v>Good</v>
      </c>
    </row>
    <row r="1267" spans="1:9" x14ac:dyDescent="0.3">
      <c r="A1267" s="13">
        <v>1</v>
      </c>
      <c r="B1267" t="str" cm="1">
        <f t="array" ref="B1267">_xlfn.IFS(Datasets!Q1267=1,"LoW",Table1[[#This Row],[JobSatisfaction]]=2,"Medium",Table1[[#This Row],[JobSatisfaction]]=3,"High",Table1[[#This Row],[JobSatisfaction]]=4,"Very High")</f>
        <v>LoW</v>
      </c>
      <c r="H1267" s="5">
        <v>3</v>
      </c>
      <c r="I1267" t="str" cm="1">
        <f t="array" ref="I1267">_xlfn.IFS(H1267=1,"low",H1267=2,"medium",H1267=3,"balanced",H1267=4,"Good")</f>
        <v>balanced</v>
      </c>
    </row>
    <row r="1268" spans="1:9" x14ac:dyDescent="0.3">
      <c r="A1268" s="14">
        <v>4</v>
      </c>
      <c r="B1268" t="str" cm="1">
        <f t="array" ref="B1268">_xlfn.IFS(Datasets!Q1268=1,"LoW",Table1[[#This Row],[JobSatisfaction]]=2,"Medium",Table1[[#This Row],[JobSatisfaction]]=3,"High",Table1[[#This Row],[JobSatisfaction]]=4,"Very High")</f>
        <v>Very High</v>
      </c>
      <c r="H1268" s="5">
        <v>3</v>
      </c>
      <c r="I1268" t="str" cm="1">
        <f t="array" ref="I1268">_xlfn.IFS(H1268=1,"low",H1268=2,"medium",H1268=3,"balanced",H1268=4,"Good")</f>
        <v>balanced</v>
      </c>
    </row>
    <row r="1269" spans="1:9" x14ac:dyDescent="0.3">
      <c r="A1269" s="13">
        <v>2</v>
      </c>
      <c r="B1269" t="str" cm="1">
        <f t="array" ref="B1269">_xlfn.IFS(Datasets!Q1269=1,"LoW",Table1[[#This Row],[JobSatisfaction]]=2,"Medium",Table1[[#This Row],[JobSatisfaction]]=3,"High",Table1[[#This Row],[JobSatisfaction]]=4,"Very High")</f>
        <v>Medium</v>
      </c>
      <c r="H1269" s="5">
        <v>2</v>
      </c>
      <c r="I1269" t="str" cm="1">
        <f t="array" ref="I1269">_xlfn.IFS(H1269=1,"low",H1269=2,"medium",H1269=3,"balanced",H1269=4,"Good")</f>
        <v>medium</v>
      </c>
    </row>
    <row r="1270" spans="1:9" x14ac:dyDescent="0.3">
      <c r="A1270" s="14">
        <v>2</v>
      </c>
      <c r="B1270" t="str" cm="1">
        <f t="array" ref="B1270">_xlfn.IFS(Datasets!Q1270=1,"LoW",Table1[[#This Row],[JobSatisfaction]]=2,"Medium",Table1[[#This Row],[JobSatisfaction]]=3,"High",Table1[[#This Row],[JobSatisfaction]]=4,"Very High")</f>
        <v>Medium</v>
      </c>
      <c r="H1270" s="5">
        <v>3</v>
      </c>
      <c r="I1270" t="str" cm="1">
        <f t="array" ref="I1270">_xlfn.IFS(H1270=1,"low",H1270=2,"medium",H1270=3,"balanced",H1270=4,"Good")</f>
        <v>balanced</v>
      </c>
    </row>
    <row r="1271" spans="1:9" x14ac:dyDescent="0.3">
      <c r="A1271" s="13">
        <v>4</v>
      </c>
      <c r="B1271" t="str" cm="1">
        <f t="array" ref="B1271">_xlfn.IFS(Datasets!Q1271=1,"LoW",Table1[[#This Row],[JobSatisfaction]]=2,"Medium",Table1[[#This Row],[JobSatisfaction]]=3,"High",Table1[[#This Row],[JobSatisfaction]]=4,"Very High")</f>
        <v>Very High</v>
      </c>
      <c r="H1271" s="5">
        <v>1</v>
      </c>
      <c r="I1271" t="str" cm="1">
        <f t="array" ref="I1271">_xlfn.IFS(H1271=1,"low",H1271=2,"medium",H1271=3,"balanced",H1271=4,"Good")</f>
        <v>low</v>
      </c>
    </row>
    <row r="1272" spans="1:9" x14ac:dyDescent="0.3">
      <c r="A1272" s="14">
        <v>1</v>
      </c>
      <c r="B1272" t="str" cm="1">
        <f t="array" ref="B1272">_xlfn.IFS(Datasets!Q1272=1,"LoW",Table1[[#This Row],[JobSatisfaction]]=2,"Medium",Table1[[#This Row],[JobSatisfaction]]=3,"High",Table1[[#This Row],[JobSatisfaction]]=4,"Very High")</f>
        <v>LoW</v>
      </c>
      <c r="H1272" s="5">
        <v>3</v>
      </c>
      <c r="I1272" t="str" cm="1">
        <f t="array" ref="I1272">_xlfn.IFS(H1272=1,"low",H1272=2,"medium",H1272=3,"balanced",H1272=4,"Good")</f>
        <v>balanced</v>
      </c>
    </row>
    <row r="1273" spans="1:9" x14ac:dyDescent="0.3">
      <c r="A1273" s="13">
        <v>3</v>
      </c>
      <c r="B1273" t="str" cm="1">
        <f t="array" ref="B1273">_xlfn.IFS(Datasets!Q1273=1,"LoW",Table1[[#This Row],[JobSatisfaction]]=2,"Medium",Table1[[#This Row],[JobSatisfaction]]=3,"High",Table1[[#This Row],[JobSatisfaction]]=4,"Very High")</f>
        <v>High</v>
      </c>
      <c r="H1273" s="5">
        <v>3</v>
      </c>
      <c r="I1273" t="str" cm="1">
        <f t="array" ref="I1273">_xlfn.IFS(H1273=1,"low",H1273=2,"medium",H1273=3,"balanced",H1273=4,"Good")</f>
        <v>balanced</v>
      </c>
    </row>
    <row r="1274" spans="1:9" x14ac:dyDescent="0.3">
      <c r="A1274" s="14">
        <v>2</v>
      </c>
      <c r="B1274" t="str" cm="1">
        <f t="array" ref="B1274">_xlfn.IFS(Datasets!Q1274=1,"LoW",Table1[[#This Row],[JobSatisfaction]]=2,"Medium",Table1[[#This Row],[JobSatisfaction]]=3,"High",Table1[[#This Row],[JobSatisfaction]]=4,"Very High")</f>
        <v>Medium</v>
      </c>
      <c r="H1274" s="5">
        <v>1</v>
      </c>
      <c r="I1274" t="str" cm="1">
        <f t="array" ref="I1274">_xlfn.IFS(H1274=1,"low",H1274=2,"medium",H1274=3,"balanced",H1274=4,"Good")</f>
        <v>low</v>
      </c>
    </row>
    <row r="1275" spans="1:9" x14ac:dyDescent="0.3">
      <c r="A1275" s="13">
        <v>2</v>
      </c>
      <c r="B1275" t="str" cm="1">
        <f t="array" ref="B1275">_xlfn.IFS(Datasets!Q1275=1,"LoW",Table1[[#This Row],[JobSatisfaction]]=2,"Medium",Table1[[#This Row],[JobSatisfaction]]=3,"High",Table1[[#This Row],[JobSatisfaction]]=4,"Very High")</f>
        <v>Medium</v>
      </c>
      <c r="H1275" s="5">
        <v>3</v>
      </c>
      <c r="I1275" t="str" cm="1">
        <f t="array" ref="I1275">_xlfn.IFS(H1275=1,"low",H1275=2,"medium",H1275=3,"balanced",H1275=4,"Good")</f>
        <v>balanced</v>
      </c>
    </row>
    <row r="1276" spans="1:9" x14ac:dyDescent="0.3">
      <c r="A1276" s="14">
        <v>2</v>
      </c>
      <c r="B1276" t="str" cm="1">
        <f t="array" ref="B1276">_xlfn.IFS(Datasets!Q1276=1,"LoW",Table1[[#This Row],[JobSatisfaction]]=2,"Medium",Table1[[#This Row],[JobSatisfaction]]=3,"High",Table1[[#This Row],[JobSatisfaction]]=4,"Very High")</f>
        <v>Medium</v>
      </c>
      <c r="H1276" s="5">
        <v>2</v>
      </c>
      <c r="I1276" t="str" cm="1">
        <f t="array" ref="I1276">_xlfn.IFS(H1276=1,"low",H1276=2,"medium",H1276=3,"balanced",H1276=4,"Good")</f>
        <v>medium</v>
      </c>
    </row>
    <row r="1277" spans="1:9" x14ac:dyDescent="0.3">
      <c r="A1277" s="13">
        <v>4</v>
      </c>
      <c r="B1277" t="str" cm="1">
        <f t="array" ref="B1277">_xlfn.IFS(Datasets!Q1277=1,"LoW",Table1[[#This Row],[JobSatisfaction]]=2,"Medium",Table1[[#This Row],[JobSatisfaction]]=3,"High",Table1[[#This Row],[JobSatisfaction]]=4,"Very High")</f>
        <v>Very High</v>
      </c>
      <c r="H1277" s="5">
        <v>2</v>
      </c>
      <c r="I1277" t="str" cm="1">
        <f t="array" ref="I1277">_xlfn.IFS(H1277=1,"low",H1277=2,"medium",H1277=3,"balanced",H1277=4,"Good")</f>
        <v>medium</v>
      </c>
    </row>
    <row r="1278" spans="1:9" x14ac:dyDescent="0.3">
      <c r="A1278" s="14">
        <v>2</v>
      </c>
      <c r="B1278" t="str" cm="1">
        <f t="array" ref="B1278">_xlfn.IFS(Datasets!Q1278=1,"LoW",Table1[[#This Row],[JobSatisfaction]]=2,"Medium",Table1[[#This Row],[JobSatisfaction]]=3,"High",Table1[[#This Row],[JobSatisfaction]]=4,"Very High")</f>
        <v>Medium</v>
      </c>
      <c r="H1278" s="5">
        <v>3</v>
      </c>
      <c r="I1278" t="str" cm="1">
        <f t="array" ref="I1278">_xlfn.IFS(H1278=1,"low",H1278=2,"medium",H1278=3,"balanced",H1278=4,"Good")</f>
        <v>balanced</v>
      </c>
    </row>
    <row r="1279" spans="1:9" x14ac:dyDescent="0.3">
      <c r="A1279" s="13">
        <v>4</v>
      </c>
      <c r="B1279" t="str" cm="1">
        <f t="array" ref="B1279">_xlfn.IFS(Datasets!Q1279=1,"LoW",Table1[[#This Row],[JobSatisfaction]]=2,"Medium",Table1[[#This Row],[JobSatisfaction]]=3,"High",Table1[[#This Row],[JobSatisfaction]]=4,"Very High")</f>
        <v>Very High</v>
      </c>
      <c r="H1279" s="5">
        <v>3</v>
      </c>
      <c r="I1279" t="str" cm="1">
        <f t="array" ref="I1279">_xlfn.IFS(H1279=1,"low",H1279=2,"medium",H1279=3,"balanced",H1279=4,"Good")</f>
        <v>balanced</v>
      </c>
    </row>
    <row r="1280" spans="1:9" x14ac:dyDescent="0.3">
      <c r="A1280" s="14">
        <v>4</v>
      </c>
      <c r="B1280" t="str" cm="1">
        <f t="array" ref="B1280">_xlfn.IFS(Datasets!Q1280=1,"LoW",Table1[[#This Row],[JobSatisfaction]]=2,"Medium",Table1[[#This Row],[JobSatisfaction]]=3,"High",Table1[[#This Row],[JobSatisfaction]]=4,"Very High")</f>
        <v>Very High</v>
      </c>
      <c r="H1280" s="5">
        <v>3</v>
      </c>
      <c r="I1280" t="str" cm="1">
        <f t="array" ref="I1280">_xlfn.IFS(H1280=1,"low",H1280=2,"medium",H1280=3,"balanced",H1280=4,"Good")</f>
        <v>balanced</v>
      </c>
    </row>
    <row r="1281" spans="1:9" x14ac:dyDescent="0.3">
      <c r="A1281" s="13">
        <v>2</v>
      </c>
      <c r="B1281" t="str" cm="1">
        <f t="array" ref="B1281">_xlfn.IFS(Datasets!Q1281=1,"LoW",Table1[[#This Row],[JobSatisfaction]]=2,"Medium",Table1[[#This Row],[JobSatisfaction]]=3,"High",Table1[[#This Row],[JobSatisfaction]]=4,"Very High")</f>
        <v>Medium</v>
      </c>
      <c r="H1281" s="5">
        <v>1</v>
      </c>
      <c r="I1281" t="str" cm="1">
        <f t="array" ref="I1281">_xlfn.IFS(H1281=1,"low",H1281=2,"medium",H1281=3,"balanced",H1281=4,"Good")</f>
        <v>low</v>
      </c>
    </row>
    <row r="1282" spans="1:9" x14ac:dyDescent="0.3">
      <c r="A1282" s="14">
        <v>3</v>
      </c>
      <c r="B1282" t="str" cm="1">
        <f t="array" ref="B1282">_xlfn.IFS(Datasets!Q1282=1,"LoW",Table1[[#This Row],[JobSatisfaction]]=2,"Medium",Table1[[#This Row],[JobSatisfaction]]=3,"High",Table1[[#This Row],[JobSatisfaction]]=4,"Very High")</f>
        <v>High</v>
      </c>
      <c r="H1282" s="5">
        <v>1</v>
      </c>
      <c r="I1282" t="str" cm="1">
        <f t="array" ref="I1282">_xlfn.IFS(H1282=1,"low",H1282=2,"medium",H1282=3,"balanced",H1282=4,"Good")</f>
        <v>low</v>
      </c>
    </row>
    <row r="1283" spans="1:9" x14ac:dyDescent="0.3">
      <c r="A1283" s="13">
        <v>4</v>
      </c>
      <c r="B1283" t="str" cm="1">
        <f t="array" ref="B1283">_xlfn.IFS(Datasets!Q1283=1,"LoW",Table1[[#This Row],[JobSatisfaction]]=2,"Medium",Table1[[#This Row],[JobSatisfaction]]=3,"High",Table1[[#This Row],[JobSatisfaction]]=4,"Very High")</f>
        <v>Very High</v>
      </c>
      <c r="H1283" s="5">
        <v>3</v>
      </c>
      <c r="I1283" t="str" cm="1">
        <f t="array" ref="I1283">_xlfn.IFS(H1283=1,"low",H1283=2,"medium",H1283=3,"balanced",H1283=4,"Good")</f>
        <v>balanced</v>
      </c>
    </row>
    <row r="1284" spans="1:9" x14ac:dyDescent="0.3">
      <c r="A1284" s="14">
        <v>4</v>
      </c>
      <c r="B1284" t="str" cm="1">
        <f t="array" ref="B1284">_xlfn.IFS(Datasets!Q1284=1,"LoW",Table1[[#This Row],[JobSatisfaction]]=2,"Medium",Table1[[#This Row],[JobSatisfaction]]=3,"High",Table1[[#This Row],[JobSatisfaction]]=4,"Very High")</f>
        <v>Very High</v>
      </c>
      <c r="H1284" s="5">
        <v>3</v>
      </c>
      <c r="I1284" t="str" cm="1">
        <f t="array" ref="I1284">_xlfn.IFS(H1284=1,"low",H1284=2,"medium",H1284=3,"balanced",H1284=4,"Good")</f>
        <v>balanced</v>
      </c>
    </row>
    <row r="1285" spans="1:9" x14ac:dyDescent="0.3">
      <c r="A1285" s="13">
        <v>3</v>
      </c>
      <c r="B1285" t="str" cm="1">
        <f t="array" ref="B1285">_xlfn.IFS(Datasets!Q1285=1,"LoW",Table1[[#This Row],[JobSatisfaction]]=2,"Medium",Table1[[#This Row],[JobSatisfaction]]=3,"High",Table1[[#This Row],[JobSatisfaction]]=4,"Very High")</f>
        <v>High</v>
      </c>
      <c r="H1285" s="5">
        <v>1</v>
      </c>
      <c r="I1285" t="str" cm="1">
        <f t="array" ref="I1285">_xlfn.IFS(H1285=1,"low",H1285=2,"medium",H1285=3,"balanced",H1285=4,"Good")</f>
        <v>low</v>
      </c>
    </row>
    <row r="1286" spans="1:9" x14ac:dyDescent="0.3">
      <c r="A1286" s="14">
        <v>3</v>
      </c>
      <c r="B1286" t="str" cm="1">
        <f t="array" ref="B1286">_xlfn.IFS(Datasets!Q1286=1,"LoW",Table1[[#This Row],[JobSatisfaction]]=2,"Medium",Table1[[#This Row],[JobSatisfaction]]=3,"High",Table1[[#This Row],[JobSatisfaction]]=4,"Very High")</f>
        <v>High</v>
      </c>
      <c r="H1286" s="5">
        <v>2</v>
      </c>
      <c r="I1286" t="str" cm="1">
        <f t="array" ref="I1286">_xlfn.IFS(H1286=1,"low",H1286=2,"medium",H1286=3,"balanced",H1286=4,"Good")</f>
        <v>medium</v>
      </c>
    </row>
    <row r="1287" spans="1:9" x14ac:dyDescent="0.3">
      <c r="A1287" s="13">
        <v>3</v>
      </c>
      <c r="B1287" t="str" cm="1">
        <f t="array" ref="B1287">_xlfn.IFS(Datasets!Q1287=1,"LoW",Table1[[#This Row],[JobSatisfaction]]=2,"Medium",Table1[[#This Row],[JobSatisfaction]]=3,"High",Table1[[#This Row],[JobSatisfaction]]=4,"Very High")</f>
        <v>High</v>
      </c>
      <c r="H1287" s="5">
        <v>3</v>
      </c>
      <c r="I1287" t="str" cm="1">
        <f t="array" ref="I1287">_xlfn.IFS(H1287=1,"low",H1287=2,"medium",H1287=3,"balanced",H1287=4,"Good")</f>
        <v>balanced</v>
      </c>
    </row>
    <row r="1288" spans="1:9" x14ac:dyDescent="0.3">
      <c r="A1288" s="14">
        <v>2</v>
      </c>
      <c r="B1288" t="str" cm="1">
        <f t="array" ref="B1288">_xlfn.IFS(Datasets!Q1288=1,"LoW",Table1[[#This Row],[JobSatisfaction]]=2,"Medium",Table1[[#This Row],[JobSatisfaction]]=3,"High",Table1[[#This Row],[JobSatisfaction]]=4,"Very High")</f>
        <v>Medium</v>
      </c>
      <c r="H1288" s="5">
        <v>3</v>
      </c>
      <c r="I1288" t="str" cm="1">
        <f t="array" ref="I1288">_xlfn.IFS(H1288=1,"low",H1288=2,"medium",H1288=3,"balanced",H1288=4,"Good")</f>
        <v>balanced</v>
      </c>
    </row>
    <row r="1289" spans="1:9" x14ac:dyDescent="0.3">
      <c r="A1289" s="13">
        <v>2</v>
      </c>
      <c r="B1289" t="str" cm="1">
        <f t="array" ref="B1289">_xlfn.IFS(Datasets!Q1289=1,"LoW",Table1[[#This Row],[JobSatisfaction]]=2,"Medium",Table1[[#This Row],[JobSatisfaction]]=3,"High",Table1[[#This Row],[JobSatisfaction]]=4,"Very High")</f>
        <v>Medium</v>
      </c>
      <c r="H1289" s="5">
        <v>2</v>
      </c>
      <c r="I1289" t="str" cm="1">
        <f t="array" ref="I1289">_xlfn.IFS(H1289=1,"low",H1289=2,"medium",H1289=3,"balanced",H1289=4,"Good")</f>
        <v>medium</v>
      </c>
    </row>
    <row r="1290" spans="1:9" x14ac:dyDescent="0.3">
      <c r="A1290" s="14">
        <v>1</v>
      </c>
      <c r="B1290" t="str" cm="1">
        <f t="array" ref="B1290">_xlfn.IFS(Datasets!Q1290=1,"LoW",Table1[[#This Row],[JobSatisfaction]]=2,"Medium",Table1[[#This Row],[JobSatisfaction]]=3,"High",Table1[[#This Row],[JobSatisfaction]]=4,"Very High")</f>
        <v>LoW</v>
      </c>
      <c r="H1290" s="5">
        <v>3</v>
      </c>
      <c r="I1290" t="str" cm="1">
        <f t="array" ref="I1290">_xlfn.IFS(H1290=1,"low",H1290=2,"medium",H1290=3,"balanced",H1290=4,"Good")</f>
        <v>balanced</v>
      </c>
    </row>
    <row r="1291" spans="1:9" x14ac:dyDescent="0.3">
      <c r="A1291" s="13">
        <v>2</v>
      </c>
      <c r="B1291" t="str" cm="1">
        <f t="array" ref="B1291">_xlfn.IFS(Datasets!Q1291=1,"LoW",Table1[[#This Row],[JobSatisfaction]]=2,"Medium",Table1[[#This Row],[JobSatisfaction]]=3,"High",Table1[[#This Row],[JobSatisfaction]]=4,"Very High")</f>
        <v>Medium</v>
      </c>
      <c r="H1291" s="5">
        <v>2</v>
      </c>
      <c r="I1291" t="str" cm="1">
        <f t="array" ref="I1291">_xlfn.IFS(H1291=1,"low",H1291=2,"medium",H1291=3,"balanced",H1291=4,"Good")</f>
        <v>medium</v>
      </c>
    </row>
    <row r="1292" spans="1:9" x14ac:dyDescent="0.3">
      <c r="A1292" s="14">
        <v>3</v>
      </c>
      <c r="B1292" t="str" cm="1">
        <f t="array" ref="B1292">_xlfn.IFS(Datasets!Q1292=1,"LoW",Table1[[#This Row],[JobSatisfaction]]=2,"Medium",Table1[[#This Row],[JobSatisfaction]]=3,"High",Table1[[#This Row],[JobSatisfaction]]=4,"Very High")</f>
        <v>High</v>
      </c>
      <c r="H1292" s="5">
        <v>3</v>
      </c>
      <c r="I1292" t="str" cm="1">
        <f t="array" ref="I1292">_xlfn.IFS(H1292=1,"low",H1292=2,"medium",H1292=3,"balanced",H1292=4,"Good")</f>
        <v>balanced</v>
      </c>
    </row>
    <row r="1293" spans="1:9" x14ac:dyDescent="0.3">
      <c r="A1293" s="13">
        <v>1</v>
      </c>
      <c r="B1293" t="str" cm="1">
        <f t="array" ref="B1293">_xlfn.IFS(Datasets!Q1293=1,"LoW",Table1[[#This Row],[JobSatisfaction]]=2,"Medium",Table1[[#This Row],[JobSatisfaction]]=3,"High",Table1[[#This Row],[JobSatisfaction]]=4,"Very High")</f>
        <v>LoW</v>
      </c>
      <c r="H1293" s="5">
        <v>2</v>
      </c>
      <c r="I1293" t="str" cm="1">
        <f t="array" ref="I1293">_xlfn.IFS(H1293=1,"low",H1293=2,"medium",H1293=3,"balanced",H1293=4,"Good")</f>
        <v>medium</v>
      </c>
    </row>
    <row r="1294" spans="1:9" x14ac:dyDescent="0.3">
      <c r="A1294" s="14">
        <v>1</v>
      </c>
      <c r="B1294" t="str" cm="1">
        <f t="array" ref="B1294">_xlfn.IFS(Datasets!Q1294=1,"LoW",Table1[[#This Row],[JobSatisfaction]]=2,"Medium",Table1[[#This Row],[JobSatisfaction]]=3,"High",Table1[[#This Row],[JobSatisfaction]]=4,"Very High")</f>
        <v>LoW</v>
      </c>
      <c r="H1294" s="5">
        <v>3</v>
      </c>
      <c r="I1294" t="str" cm="1">
        <f t="array" ref="I1294">_xlfn.IFS(H1294=1,"low",H1294=2,"medium",H1294=3,"balanced",H1294=4,"Good")</f>
        <v>balanced</v>
      </c>
    </row>
    <row r="1295" spans="1:9" x14ac:dyDescent="0.3">
      <c r="A1295" s="13">
        <v>3</v>
      </c>
      <c r="B1295" t="str" cm="1">
        <f t="array" ref="B1295">_xlfn.IFS(Datasets!Q1295=1,"LoW",Table1[[#This Row],[JobSatisfaction]]=2,"Medium",Table1[[#This Row],[JobSatisfaction]]=3,"High",Table1[[#This Row],[JobSatisfaction]]=4,"Very High")</f>
        <v>High</v>
      </c>
      <c r="H1295" s="5">
        <v>3</v>
      </c>
      <c r="I1295" t="str" cm="1">
        <f t="array" ref="I1295">_xlfn.IFS(H1295=1,"low",H1295=2,"medium",H1295=3,"balanced",H1295=4,"Good")</f>
        <v>balanced</v>
      </c>
    </row>
    <row r="1296" spans="1:9" x14ac:dyDescent="0.3">
      <c r="A1296" s="14">
        <v>1</v>
      </c>
      <c r="B1296" t="str" cm="1">
        <f t="array" ref="B1296">_xlfn.IFS(Datasets!Q1296=1,"LoW",Table1[[#This Row],[JobSatisfaction]]=2,"Medium",Table1[[#This Row],[JobSatisfaction]]=3,"High",Table1[[#This Row],[JobSatisfaction]]=4,"Very High")</f>
        <v>LoW</v>
      </c>
      <c r="H1296" s="5">
        <v>4</v>
      </c>
      <c r="I1296" t="str" cm="1">
        <f t="array" ref="I1296">_xlfn.IFS(H1296=1,"low",H1296=2,"medium",H1296=3,"balanced",H1296=4,"Good")</f>
        <v>Good</v>
      </c>
    </row>
    <row r="1297" spans="1:9" x14ac:dyDescent="0.3">
      <c r="A1297" s="13">
        <v>3</v>
      </c>
      <c r="B1297" t="str" cm="1">
        <f t="array" ref="B1297">_xlfn.IFS(Datasets!Q1297=1,"LoW",Table1[[#This Row],[JobSatisfaction]]=2,"Medium",Table1[[#This Row],[JobSatisfaction]]=3,"High",Table1[[#This Row],[JobSatisfaction]]=4,"Very High")</f>
        <v>High</v>
      </c>
      <c r="H1297" s="5">
        <v>2</v>
      </c>
      <c r="I1297" t="str" cm="1">
        <f t="array" ref="I1297">_xlfn.IFS(H1297=1,"low",H1297=2,"medium",H1297=3,"balanced",H1297=4,"Good")</f>
        <v>medium</v>
      </c>
    </row>
    <row r="1298" spans="1:9" x14ac:dyDescent="0.3">
      <c r="A1298" s="14">
        <v>1</v>
      </c>
      <c r="B1298" t="str" cm="1">
        <f t="array" ref="B1298">_xlfn.IFS(Datasets!Q1298=1,"LoW",Table1[[#This Row],[JobSatisfaction]]=2,"Medium",Table1[[#This Row],[JobSatisfaction]]=3,"High",Table1[[#This Row],[JobSatisfaction]]=4,"Very High")</f>
        <v>LoW</v>
      </c>
      <c r="H1298" s="5">
        <v>3</v>
      </c>
      <c r="I1298" t="str" cm="1">
        <f t="array" ref="I1298">_xlfn.IFS(H1298=1,"low",H1298=2,"medium",H1298=3,"balanced",H1298=4,"Good")</f>
        <v>balanced</v>
      </c>
    </row>
    <row r="1299" spans="1:9" x14ac:dyDescent="0.3">
      <c r="A1299" s="13">
        <v>4</v>
      </c>
      <c r="B1299" t="str" cm="1">
        <f t="array" ref="B1299">_xlfn.IFS(Datasets!Q1299=1,"LoW",Table1[[#This Row],[JobSatisfaction]]=2,"Medium",Table1[[#This Row],[JobSatisfaction]]=3,"High",Table1[[#This Row],[JobSatisfaction]]=4,"Very High")</f>
        <v>Very High</v>
      </c>
      <c r="H1299" s="5">
        <v>3</v>
      </c>
      <c r="I1299" t="str" cm="1">
        <f t="array" ref="I1299">_xlfn.IFS(H1299=1,"low",H1299=2,"medium",H1299=3,"balanced",H1299=4,"Good")</f>
        <v>balanced</v>
      </c>
    </row>
    <row r="1300" spans="1:9" x14ac:dyDescent="0.3">
      <c r="A1300" s="14">
        <v>1</v>
      </c>
      <c r="B1300" t="str" cm="1">
        <f t="array" ref="B1300">_xlfn.IFS(Datasets!Q1300=1,"LoW",Table1[[#This Row],[JobSatisfaction]]=2,"Medium",Table1[[#This Row],[JobSatisfaction]]=3,"High",Table1[[#This Row],[JobSatisfaction]]=4,"Very High")</f>
        <v>LoW</v>
      </c>
      <c r="H1300" s="5">
        <v>3</v>
      </c>
      <c r="I1300" t="str" cm="1">
        <f t="array" ref="I1300">_xlfn.IFS(H1300=1,"low",H1300=2,"medium",H1300=3,"balanced",H1300=4,"Good")</f>
        <v>balanced</v>
      </c>
    </row>
    <row r="1301" spans="1:9" x14ac:dyDescent="0.3">
      <c r="A1301" s="13">
        <v>1</v>
      </c>
      <c r="B1301" t="str" cm="1">
        <f t="array" ref="B1301">_xlfn.IFS(Datasets!Q1301=1,"LoW",Table1[[#This Row],[JobSatisfaction]]=2,"Medium",Table1[[#This Row],[JobSatisfaction]]=3,"High",Table1[[#This Row],[JobSatisfaction]]=4,"Very High")</f>
        <v>LoW</v>
      </c>
      <c r="H1301" s="5">
        <v>4</v>
      </c>
      <c r="I1301" t="str" cm="1">
        <f t="array" ref="I1301">_xlfn.IFS(H1301=1,"low",H1301=2,"medium",H1301=3,"balanced",H1301=4,"Good")</f>
        <v>Good</v>
      </c>
    </row>
    <row r="1302" spans="1:9" x14ac:dyDescent="0.3">
      <c r="A1302" s="14">
        <v>2</v>
      </c>
      <c r="B1302" t="str" cm="1">
        <f t="array" ref="B1302">_xlfn.IFS(Datasets!Q1302=1,"LoW",Table1[[#This Row],[JobSatisfaction]]=2,"Medium",Table1[[#This Row],[JobSatisfaction]]=3,"High",Table1[[#This Row],[JobSatisfaction]]=4,"Very High")</f>
        <v>Medium</v>
      </c>
      <c r="H1302" s="5">
        <v>3</v>
      </c>
      <c r="I1302" t="str" cm="1">
        <f t="array" ref="I1302">_xlfn.IFS(H1302=1,"low",H1302=2,"medium",H1302=3,"balanced",H1302=4,"Good")</f>
        <v>balanced</v>
      </c>
    </row>
    <row r="1303" spans="1:9" x14ac:dyDescent="0.3">
      <c r="A1303" s="13">
        <v>4</v>
      </c>
      <c r="B1303" t="str" cm="1">
        <f t="array" ref="B1303">_xlfn.IFS(Datasets!Q1303=1,"LoW",Table1[[#This Row],[JobSatisfaction]]=2,"Medium",Table1[[#This Row],[JobSatisfaction]]=3,"High",Table1[[#This Row],[JobSatisfaction]]=4,"Very High")</f>
        <v>Very High</v>
      </c>
      <c r="H1303" s="5">
        <v>3</v>
      </c>
      <c r="I1303" t="str" cm="1">
        <f t="array" ref="I1303">_xlfn.IFS(H1303=1,"low",H1303=2,"medium",H1303=3,"balanced",H1303=4,"Good")</f>
        <v>balanced</v>
      </c>
    </row>
    <row r="1304" spans="1:9" x14ac:dyDescent="0.3">
      <c r="A1304" s="14">
        <v>3</v>
      </c>
      <c r="B1304" t="str" cm="1">
        <f t="array" ref="B1304">_xlfn.IFS(Datasets!Q1304=1,"LoW",Table1[[#This Row],[JobSatisfaction]]=2,"Medium",Table1[[#This Row],[JobSatisfaction]]=3,"High",Table1[[#This Row],[JobSatisfaction]]=4,"Very High")</f>
        <v>High</v>
      </c>
      <c r="H1304" s="5">
        <v>3</v>
      </c>
      <c r="I1304" t="str" cm="1">
        <f t="array" ref="I1304">_xlfn.IFS(H1304=1,"low",H1304=2,"medium",H1304=3,"balanced",H1304=4,"Good")</f>
        <v>balanced</v>
      </c>
    </row>
    <row r="1305" spans="1:9" x14ac:dyDescent="0.3">
      <c r="A1305" s="13">
        <v>4</v>
      </c>
      <c r="B1305" t="str" cm="1">
        <f t="array" ref="B1305">_xlfn.IFS(Datasets!Q1305=1,"LoW",Table1[[#This Row],[JobSatisfaction]]=2,"Medium",Table1[[#This Row],[JobSatisfaction]]=3,"High",Table1[[#This Row],[JobSatisfaction]]=4,"Very High")</f>
        <v>Very High</v>
      </c>
      <c r="H1305" s="5">
        <v>3</v>
      </c>
      <c r="I1305" t="str" cm="1">
        <f t="array" ref="I1305">_xlfn.IFS(H1305=1,"low",H1305=2,"medium",H1305=3,"balanced",H1305=4,"Good")</f>
        <v>balanced</v>
      </c>
    </row>
    <row r="1306" spans="1:9" x14ac:dyDescent="0.3">
      <c r="A1306" s="14">
        <v>3</v>
      </c>
      <c r="B1306" t="str" cm="1">
        <f t="array" ref="B1306">_xlfn.IFS(Datasets!Q1306=1,"LoW",Table1[[#This Row],[JobSatisfaction]]=2,"Medium",Table1[[#This Row],[JobSatisfaction]]=3,"High",Table1[[#This Row],[JobSatisfaction]]=4,"Very High")</f>
        <v>High</v>
      </c>
      <c r="H1306" s="5">
        <v>2</v>
      </c>
      <c r="I1306" t="str" cm="1">
        <f t="array" ref="I1306">_xlfn.IFS(H1306=1,"low",H1306=2,"medium",H1306=3,"balanced",H1306=4,"Good")</f>
        <v>medium</v>
      </c>
    </row>
    <row r="1307" spans="1:9" x14ac:dyDescent="0.3">
      <c r="A1307" s="13">
        <v>2</v>
      </c>
      <c r="B1307" t="str" cm="1">
        <f t="array" ref="B1307">_xlfn.IFS(Datasets!Q1307=1,"LoW",Table1[[#This Row],[JobSatisfaction]]=2,"Medium",Table1[[#This Row],[JobSatisfaction]]=3,"High",Table1[[#This Row],[JobSatisfaction]]=4,"Very High")</f>
        <v>Medium</v>
      </c>
      <c r="H1307" s="5">
        <v>2</v>
      </c>
      <c r="I1307" t="str" cm="1">
        <f t="array" ref="I1307">_xlfn.IFS(H1307=1,"low",H1307=2,"medium",H1307=3,"balanced",H1307=4,"Good")</f>
        <v>medium</v>
      </c>
    </row>
    <row r="1308" spans="1:9" x14ac:dyDescent="0.3">
      <c r="A1308" s="14">
        <v>2</v>
      </c>
      <c r="B1308" t="str" cm="1">
        <f t="array" ref="B1308">_xlfn.IFS(Datasets!Q1308=1,"LoW",Table1[[#This Row],[JobSatisfaction]]=2,"Medium",Table1[[#This Row],[JobSatisfaction]]=3,"High",Table1[[#This Row],[JobSatisfaction]]=4,"Very High")</f>
        <v>Medium</v>
      </c>
      <c r="H1308" s="5">
        <v>4</v>
      </c>
      <c r="I1308" t="str" cm="1">
        <f t="array" ref="I1308">_xlfn.IFS(H1308=1,"low",H1308=2,"medium",H1308=3,"balanced",H1308=4,"Good")</f>
        <v>Good</v>
      </c>
    </row>
    <row r="1309" spans="1:9" x14ac:dyDescent="0.3">
      <c r="A1309" s="13">
        <v>3</v>
      </c>
      <c r="B1309" t="str" cm="1">
        <f t="array" ref="B1309">_xlfn.IFS(Datasets!Q1309=1,"LoW",Table1[[#This Row],[JobSatisfaction]]=2,"Medium",Table1[[#This Row],[JobSatisfaction]]=3,"High",Table1[[#This Row],[JobSatisfaction]]=4,"Very High")</f>
        <v>High</v>
      </c>
      <c r="H1309" s="5">
        <v>1</v>
      </c>
      <c r="I1309" t="str" cm="1">
        <f t="array" ref="I1309">_xlfn.IFS(H1309=1,"low",H1309=2,"medium",H1309=3,"balanced",H1309=4,"Good")</f>
        <v>low</v>
      </c>
    </row>
    <row r="1310" spans="1:9" x14ac:dyDescent="0.3">
      <c r="A1310" s="14">
        <v>2</v>
      </c>
      <c r="B1310" t="str" cm="1">
        <f t="array" ref="B1310">_xlfn.IFS(Datasets!Q1310=1,"LoW",Table1[[#This Row],[JobSatisfaction]]=2,"Medium",Table1[[#This Row],[JobSatisfaction]]=3,"High",Table1[[#This Row],[JobSatisfaction]]=4,"Very High")</f>
        <v>Medium</v>
      </c>
      <c r="H1310" s="5">
        <v>3</v>
      </c>
      <c r="I1310" t="str" cm="1">
        <f t="array" ref="I1310">_xlfn.IFS(H1310=1,"low",H1310=2,"medium",H1310=3,"balanced",H1310=4,"Good")</f>
        <v>balanced</v>
      </c>
    </row>
    <row r="1311" spans="1:9" x14ac:dyDescent="0.3">
      <c r="A1311" s="13">
        <v>2</v>
      </c>
      <c r="B1311" t="str" cm="1">
        <f t="array" ref="B1311">_xlfn.IFS(Datasets!Q1311=1,"LoW",Table1[[#This Row],[JobSatisfaction]]=2,"Medium",Table1[[#This Row],[JobSatisfaction]]=3,"High",Table1[[#This Row],[JobSatisfaction]]=4,"Very High")</f>
        <v>Medium</v>
      </c>
      <c r="H1311" s="5">
        <v>3</v>
      </c>
      <c r="I1311" t="str" cm="1">
        <f t="array" ref="I1311">_xlfn.IFS(H1311=1,"low",H1311=2,"medium",H1311=3,"balanced",H1311=4,"Good")</f>
        <v>balanced</v>
      </c>
    </row>
    <row r="1312" spans="1:9" x14ac:dyDescent="0.3">
      <c r="A1312" s="14">
        <v>1</v>
      </c>
      <c r="B1312" t="str" cm="1">
        <f t="array" ref="B1312">_xlfn.IFS(Datasets!Q1312=1,"LoW",Table1[[#This Row],[JobSatisfaction]]=2,"Medium",Table1[[#This Row],[JobSatisfaction]]=3,"High",Table1[[#This Row],[JobSatisfaction]]=4,"Very High")</f>
        <v>LoW</v>
      </c>
      <c r="H1312" s="5">
        <v>3</v>
      </c>
      <c r="I1312" t="str" cm="1">
        <f t="array" ref="I1312">_xlfn.IFS(H1312=1,"low",H1312=2,"medium",H1312=3,"balanced",H1312=4,"Good")</f>
        <v>balanced</v>
      </c>
    </row>
    <row r="1313" spans="1:9" x14ac:dyDescent="0.3">
      <c r="A1313" s="13">
        <v>4</v>
      </c>
      <c r="B1313" t="str" cm="1">
        <f t="array" ref="B1313">_xlfn.IFS(Datasets!Q1313=1,"LoW",Table1[[#This Row],[JobSatisfaction]]=2,"Medium",Table1[[#This Row],[JobSatisfaction]]=3,"High",Table1[[#This Row],[JobSatisfaction]]=4,"Very High")</f>
        <v>Very High</v>
      </c>
      <c r="H1313" s="5">
        <v>3</v>
      </c>
      <c r="I1313" t="str" cm="1">
        <f t="array" ref="I1313">_xlfn.IFS(H1313=1,"low",H1313=2,"medium",H1313=3,"balanced",H1313=4,"Good")</f>
        <v>balanced</v>
      </c>
    </row>
    <row r="1314" spans="1:9" x14ac:dyDescent="0.3">
      <c r="A1314" s="14">
        <v>4</v>
      </c>
      <c r="B1314" t="str" cm="1">
        <f t="array" ref="B1314">_xlfn.IFS(Datasets!Q1314=1,"LoW",Table1[[#This Row],[JobSatisfaction]]=2,"Medium",Table1[[#This Row],[JobSatisfaction]]=3,"High",Table1[[#This Row],[JobSatisfaction]]=4,"Very High")</f>
        <v>Very High</v>
      </c>
      <c r="H1314" s="5">
        <v>3</v>
      </c>
      <c r="I1314" t="str" cm="1">
        <f t="array" ref="I1314">_xlfn.IFS(H1314=1,"low",H1314=2,"medium",H1314=3,"balanced",H1314=4,"Good")</f>
        <v>balanced</v>
      </c>
    </row>
    <row r="1315" spans="1:9" x14ac:dyDescent="0.3">
      <c r="A1315" s="13">
        <v>3</v>
      </c>
      <c r="B1315" t="str" cm="1">
        <f t="array" ref="B1315">_xlfn.IFS(Datasets!Q1315=1,"LoW",Table1[[#This Row],[JobSatisfaction]]=2,"Medium",Table1[[#This Row],[JobSatisfaction]]=3,"High",Table1[[#This Row],[JobSatisfaction]]=4,"Very High")</f>
        <v>High</v>
      </c>
      <c r="H1315" s="5">
        <v>4</v>
      </c>
      <c r="I1315" t="str" cm="1">
        <f t="array" ref="I1315">_xlfn.IFS(H1315=1,"low",H1315=2,"medium",H1315=3,"balanced",H1315=4,"Good")</f>
        <v>Good</v>
      </c>
    </row>
    <row r="1316" spans="1:9" x14ac:dyDescent="0.3">
      <c r="A1316" s="14">
        <v>3</v>
      </c>
      <c r="B1316" t="str" cm="1">
        <f t="array" ref="B1316">_xlfn.IFS(Datasets!Q1316=1,"LoW",Table1[[#This Row],[JobSatisfaction]]=2,"Medium",Table1[[#This Row],[JobSatisfaction]]=3,"High",Table1[[#This Row],[JobSatisfaction]]=4,"Very High")</f>
        <v>High</v>
      </c>
      <c r="H1316" s="5">
        <v>4</v>
      </c>
      <c r="I1316" t="str" cm="1">
        <f t="array" ref="I1316">_xlfn.IFS(H1316=1,"low",H1316=2,"medium",H1316=3,"balanced",H1316=4,"Good")</f>
        <v>Good</v>
      </c>
    </row>
    <row r="1317" spans="1:9" x14ac:dyDescent="0.3">
      <c r="A1317" s="13">
        <v>3</v>
      </c>
      <c r="B1317" t="str" cm="1">
        <f t="array" ref="B1317">_xlfn.IFS(Datasets!Q1317=1,"LoW",Table1[[#This Row],[JobSatisfaction]]=2,"Medium",Table1[[#This Row],[JobSatisfaction]]=3,"High",Table1[[#This Row],[JobSatisfaction]]=4,"Very High")</f>
        <v>High</v>
      </c>
      <c r="H1317" s="5">
        <v>3</v>
      </c>
      <c r="I1317" t="str" cm="1">
        <f t="array" ref="I1317">_xlfn.IFS(H1317=1,"low",H1317=2,"medium",H1317=3,"balanced",H1317=4,"Good")</f>
        <v>balanced</v>
      </c>
    </row>
    <row r="1318" spans="1:9" x14ac:dyDescent="0.3">
      <c r="A1318" s="14">
        <v>3</v>
      </c>
      <c r="B1318" t="str" cm="1">
        <f t="array" ref="B1318">_xlfn.IFS(Datasets!Q1318=1,"LoW",Table1[[#This Row],[JobSatisfaction]]=2,"Medium",Table1[[#This Row],[JobSatisfaction]]=3,"High",Table1[[#This Row],[JobSatisfaction]]=4,"Very High")</f>
        <v>High</v>
      </c>
      <c r="H1318" s="5">
        <v>2</v>
      </c>
      <c r="I1318" t="str" cm="1">
        <f t="array" ref="I1318">_xlfn.IFS(H1318=1,"low",H1318=2,"medium",H1318=3,"balanced",H1318=4,"Good")</f>
        <v>medium</v>
      </c>
    </row>
    <row r="1319" spans="1:9" x14ac:dyDescent="0.3">
      <c r="A1319" s="13">
        <v>4</v>
      </c>
      <c r="B1319" t="str" cm="1">
        <f t="array" ref="B1319">_xlfn.IFS(Datasets!Q1319=1,"LoW",Table1[[#This Row],[JobSatisfaction]]=2,"Medium",Table1[[#This Row],[JobSatisfaction]]=3,"High",Table1[[#This Row],[JobSatisfaction]]=4,"Very High")</f>
        <v>Very High</v>
      </c>
      <c r="H1319" s="5">
        <v>3</v>
      </c>
      <c r="I1319" t="str" cm="1">
        <f t="array" ref="I1319">_xlfn.IFS(H1319=1,"low",H1319=2,"medium",H1319=3,"balanced",H1319=4,"Good")</f>
        <v>balanced</v>
      </c>
    </row>
    <row r="1320" spans="1:9" x14ac:dyDescent="0.3">
      <c r="A1320" s="14">
        <v>2</v>
      </c>
      <c r="B1320" t="str" cm="1">
        <f t="array" ref="B1320">_xlfn.IFS(Datasets!Q1320=1,"LoW",Table1[[#This Row],[JobSatisfaction]]=2,"Medium",Table1[[#This Row],[JobSatisfaction]]=3,"High",Table1[[#This Row],[JobSatisfaction]]=4,"Very High")</f>
        <v>Medium</v>
      </c>
      <c r="H1320" s="5">
        <v>3</v>
      </c>
      <c r="I1320" t="str" cm="1">
        <f t="array" ref="I1320">_xlfn.IFS(H1320=1,"low",H1320=2,"medium",H1320=3,"balanced",H1320=4,"Good")</f>
        <v>balanced</v>
      </c>
    </row>
    <row r="1321" spans="1:9" x14ac:dyDescent="0.3">
      <c r="A1321" s="13">
        <v>4</v>
      </c>
      <c r="B1321" t="str" cm="1">
        <f t="array" ref="B1321">_xlfn.IFS(Datasets!Q1321=1,"LoW",Table1[[#This Row],[JobSatisfaction]]=2,"Medium",Table1[[#This Row],[JobSatisfaction]]=3,"High",Table1[[#This Row],[JobSatisfaction]]=4,"Very High")</f>
        <v>Very High</v>
      </c>
      <c r="H1321" s="5">
        <v>3</v>
      </c>
      <c r="I1321" t="str" cm="1">
        <f t="array" ref="I1321">_xlfn.IFS(H1321=1,"low",H1321=2,"medium",H1321=3,"balanced",H1321=4,"Good")</f>
        <v>balanced</v>
      </c>
    </row>
    <row r="1322" spans="1:9" x14ac:dyDescent="0.3">
      <c r="A1322" s="14">
        <v>2</v>
      </c>
      <c r="B1322" t="str" cm="1">
        <f t="array" ref="B1322">_xlfn.IFS(Datasets!Q1322=1,"LoW",Table1[[#This Row],[JobSatisfaction]]=2,"Medium",Table1[[#This Row],[JobSatisfaction]]=3,"High",Table1[[#This Row],[JobSatisfaction]]=4,"Very High")</f>
        <v>Medium</v>
      </c>
      <c r="H1322" s="5">
        <v>3</v>
      </c>
      <c r="I1322" t="str" cm="1">
        <f t="array" ref="I1322">_xlfn.IFS(H1322=1,"low",H1322=2,"medium",H1322=3,"balanced",H1322=4,"Good")</f>
        <v>balanced</v>
      </c>
    </row>
    <row r="1323" spans="1:9" x14ac:dyDescent="0.3">
      <c r="A1323" s="13">
        <v>1</v>
      </c>
      <c r="B1323" t="str" cm="1">
        <f t="array" ref="B1323">_xlfn.IFS(Datasets!Q1323=1,"LoW",Table1[[#This Row],[JobSatisfaction]]=2,"Medium",Table1[[#This Row],[JobSatisfaction]]=3,"High",Table1[[#This Row],[JobSatisfaction]]=4,"Very High")</f>
        <v>LoW</v>
      </c>
      <c r="H1323" s="5">
        <v>2</v>
      </c>
      <c r="I1323" t="str" cm="1">
        <f t="array" ref="I1323">_xlfn.IFS(H1323=1,"low",H1323=2,"medium",H1323=3,"balanced",H1323=4,"Good")</f>
        <v>medium</v>
      </c>
    </row>
    <row r="1324" spans="1:9" x14ac:dyDescent="0.3">
      <c r="A1324" s="14">
        <v>3</v>
      </c>
      <c r="B1324" t="str" cm="1">
        <f t="array" ref="B1324">_xlfn.IFS(Datasets!Q1324=1,"LoW",Table1[[#This Row],[JobSatisfaction]]=2,"Medium",Table1[[#This Row],[JobSatisfaction]]=3,"High",Table1[[#This Row],[JobSatisfaction]]=4,"Very High")</f>
        <v>High</v>
      </c>
      <c r="H1324" s="5">
        <v>2</v>
      </c>
      <c r="I1324" t="str" cm="1">
        <f t="array" ref="I1324">_xlfn.IFS(H1324=1,"low",H1324=2,"medium",H1324=3,"balanced",H1324=4,"Good")</f>
        <v>medium</v>
      </c>
    </row>
    <row r="1325" spans="1:9" x14ac:dyDescent="0.3">
      <c r="A1325" s="13">
        <v>4</v>
      </c>
      <c r="B1325" t="str" cm="1">
        <f t="array" ref="B1325">_xlfn.IFS(Datasets!Q1325=1,"LoW",Table1[[#This Row],[JobSatisfaction]]=2,"Medium",Table1[[#This Row],[JobSatisfaction]]=3,"High",Table1[[#This Row],[JobSatisfaction]]=4,"Very High")</f>
        <v>Very High</v>
      </c>
      <c r="H1325" s="5">
        <v>3</v>
      </c>
      <c r="I1325" t="str" cm="1">
        <f t="array" ref="I1325">_xlfn.IFS(H1325=1,"low",H1325=2,"medium",H1325=3,"balanced",H1325=4,"Good")</f>
        <v>balanced</v>
      </c>
    </row>
    <row r="1326" spans="1:9" x14ac:dyDescent="0.3">
      <c r="A1326" s="14">
        <v>3</v>
      </c>
      <c r="B1326" t="str" cm="1">
        <f t="array" ref="B1326">_xlfn.IFS(Datasets!Q1326=1,"LoW",Table1[[#This Row],[JobSatisfaction]]=2,"Medium",Table1[[#This Row],[JobSatisfaction]]=3,"High",Table1[[#This Row],[JobSatisfaction]]=4,"Very High")</f>
        <v>High</v>
      </c>
      <c r="H1326" s="5">
        <v>2</v>
      </c>
      <c r="I1326" t="str" cm="1">
        <f t="array" ref="I1326">_xlfn.IFS(H1326=1,"low",H1326=2,"medium",H1326=3,"balanced",H1326=4,"Good")</f>
        <v>medium</v>
      </c>
    </row>
    <row r="1327" spans="1:9" x14ac:dyDescent="0.3">
      <c r="A1327" s="13">
        <v>3</v>
      </c>
      <c r="B1327" t="str" cm="1">
        <f t="array" ref="B1327">_xlfn.IFS(Datasets!Q1327=1,"LoW",Table1[[#This Row],[JobSatisfaction]]=2,"Medium",Table1[[#This Row],[JobSatisfaction]]=3,"High",Table1[[#This Row],[JobSatisfaction]]=4,"Very High")</f>
        <v>High</v>
      </c>
      <c r="H1327" s="5">
        <v>3</v>
      </c>
      <c r="I1327" t="str" cm="1">
        <f t="array" ref="I1327">_xlfn.IFS(H1327=1,"low",H1327=2,"medium",H1327=3,"balanced",H1327=4,"Good")</f>
        <v>balanced</v>
      </c>
    </row>
    <row r="1328" spans="1:9" x14ac:dyDescent="0.3">
      <c r="A1328" s="14">
        <v>3</v>
      </c>
      <c r="B1328" t="str" cm="1">
        <f t="array" ref="B1328">_xlfn.IFS(Datasets!Q1328=1,"LoW",Table1[[#This Row],[JobSatisfaction]]=2,"Medium",Table1[[#This Row],[JobSatisfaction]]=3,"High",Table1[[#This Row],[JobSatisfaction]]=4,"Very High")</f>
        <v>High</v>
      </c>
      <c r="H1328" s="5">
        <v>3</v>
      </c>
      <c r="I1328" t="str" cm="1">
        <f t="array" ref="I1328">_xlfn.IFS(H1328=1,"low",H1328=2,"medium",H1328=3,"balanced",H1328=4,"Good")</f>
        <v>balanced</v>
      </c>
    </row>
    <row r="1329" spans="1:9" x14ac:dyDescent="0.3">
      <c r="A1329" s="13">
        <v>3</v>
      </c>
      <c r="B1329" t="str" cm="1">
        <f t="array" ref="B1329">_xlfn.IFS(Datasets!Q1329=1,"LoW",Table1[[#This Row],[JobSatisfaction]]=2,"Medium",Table1[[#This Row],[JobSatisfaction]]=3,"High",Table1[[#This Row],[JobSatisfaction]]=4,"Very High")</f>
        <v>High</v>
      </c>
      <c r="H1329" s="5">
        <v>3</v>
      </c>
      <c r="I1329" t="str" cm="1">
        <f t="array" ref="I1329">_xlfn.IFS(H1329=1,"low",H1329=2,"medium",H1329=3,"balanced",H1329=4,"Good")</f>
        <v>balanced</v>
      </c>
    </row>
    <row r="1330" spans="1:9" x14ac:dyDescent="0.3">
      <c r="A1330" s="14">
        <v>2</v>
      </c>
      <c r="B1330" t="str" cm="1">
        <f t="array" ref="B1330">_xlfn.IFS(Datasets!Q1330=1,"LoW",Table1[[#This Row],[JobSatisfaction]]=2,"Medium",Table1[[#This Row],[JobSatisfaction]]=3,"High",Table1[[#This Row],[JobSatisfaction]]=4,"Very High")</f>
        <v>Medium</v>
      </c>
      <c r="H1330" s="5">
        <v>3</v>
      </c>
      <c r="I1330" t="str" cm="1">
        <f t="array" ref="I1330">_xlfn.IFS(H1330=1,"low",H1330=2,"medium",H1330=3,"balanced",H1330=4,"Good")</f>
        <v>balanced</v>
      </c>
    </row>
    <row r="1331" spans="1:9" x14ac:dyDescent="0.3">
      <c r="A1331" s="13">
        <v>4</v>
      </c>
      <c r="B1331" t="str" cm="1">
        <f t="array" ref="B1331">_xlfn.IFS(Datasets!Q1331=1,"LoW",Table1[[#This Row],[JobSatisfaction]]=2,"Medium",Table1[[#This Row],[JobSatisfaction]]=3,"High",Table1[[#This Row],[JobSatisfaction]]=4,"Very High")</f>
        <v>Very High</v>
      </c>
      <c r="H1331" s="5">
        <v>2</v>
      </c>
      <c r="I1331" t="str" cm="1">
        <f t="array" ref="I1331">_xlfn.IFS(H1331=1,"low",H1331=2,"medium",H1331=3,"balanced",H1331=4,"Good")</f>
        <v>medium</v>
      </c>
    </row>
    <row r="1332" spans="1:9" x14ac:dyDescent="0.3">
      <c r="A1332" s="14">
        <v>4</v>
      </c>
      <c r="B1332" t="str" cm="1">
        <f t="array" ref="B1332">_xlfn.IFS(Datasets!Q1332=1,"LoW",Table1[[#This Row],[JobSatisfaction]]=2,"Medium",Table1[[#This Row],[JobSatisfaction]]=3,"High",Table1[[#This Row],[JobSatisfaction]]=4,"Very High")</f>
        <v>Very High</v>
      </c>
      <c r="H1332" s="5">
        <v>3</v>
      </c>
      <c r="I1332" t="str" cm="1">
        <f t="array" ref="I1332">_xlfn.IFS(H1332=1,"low",H1332=2,"medium",H1332=3,"balanced",H1332=4,"Good")</f>
        <v>balanced</v>
      </c>
    </row>
    <row r="1333" spans="1:9" x14ac:dyDescent="0.3">
      <c r="A1333" s="13">
        <v>2</v>
      </c>
      <c r="B1333" t="str" cm="1">
        <f t="array" ref="B1333">_xlfn.IFS(Datasets!Q1333=1,"LoW",Table1[[#This Row],[JobSatisfaction]]=2,"Medium",Table1[[#This Row],[JobSatisfaction]]=3,"High",Table1[[#This Row],[JobSatisfaction]]=4,"Very High")</f>
        <v>Medium</v>
      </c>
      <c r="H1333" s="5">
        <v>3</v>
      </c>
      <c r="I1333" t="str" cm="1">
        <f t="array" ref="I1333">_xlfn.IFS(H1333=1,"low",H1333=2,"medium",H1333=3,"balanced",H1333=4,"Good")</f>
        <v>balanced</v>
      </c>
    </row>
    <row r="1334" spans="1:9" x14ac:dyDescent="0.3">
      <c r="A1334" s="14">
        <v>4</v>
      </c>
      <c r="B1334" t="str" cm="1">
        <f t="array" ref="B1334">_xlfn.IFS(Datasets!Q1334=1,"LoW",Table1[[#This Row],[JobSatisfaction]]=2,"Medium",Table1[[#This Row],[JobSatisfaction]]=3,"High",Table1[[#This Row],[JobSatisfaction]]=4,"Very High")</f>
        <v>Very High</v>
      </c>
      <c r="H1334" s="5">
        <v>3</v>
      </c>
      <c r="I1334" t="str" cm="1">
        <f t="array" ref="I1334">_xlfn.IFS(H1334=1,"low",H1334=2,"medium",H1334=3,"balanced",H1334=4,"Good")</f>
        <v>balanced</v>
      </c>
    </row>
    <row r="1335" spans="1:9" x14ac:dyDescent="0.3">
      <c r="A1335" s="13">
        <v>4</v>
      </c>
      <c r="B1335" t="str" cm="1">
        <f t="array" ref="B1335">_xlfn.IFS(Datasets!Q1335=1,"LoW",Table1[[#This Row],[JobSatisfaction]]=2,"Medium",Table1[[#This Row],[JobSatisfaction]]=3,"High",Table1[[#This Row],[JobSatisfaction]]=4,"Very High")</f>
        <v>Very High</v>
      </c>
      <c r="H1335" s="5">
        <v>4</v>
      </c>
      <c r="I1335" t="str" cm="1">
        <f t="array" ref="I1335">_xlfn.IFS(H1335=1,"low",H1335=2,"medium",H1335=3,"balanced",H1335=4,"Good")</f>
        <v>Good</v>
      </c>
    </row>
    <row r="1336" spans="1:9" x14ac:dyDescent="0.3">
      <c r="A1336" s="14">
        <v>3</v>
      </c>
      <c r="B1336" t="str" cm="1">
        <f t="array" ref="B1336">_xlfn.IFS(Datasets!Q1336=1,"LoW",Table1[[#This Row],[JobSatisfaction]]=2,"Medium",Table1[[#This Row],[JobSatisfaction]]=3,"High",Table1[[#This Row],[JobSatisfaction]]=4,"Very High")</f>
        <v>High</v>
      </c>
      <c r="H1336" s="5">
        <v>3</v>
      </c>
      <c r="I1336" t="str" cm="1">
        <f t="array" ref="I1336">_xlfn.IFS(H1336=1,"low",H1336=2,"medium",H1336=3,"balanced",H1336=4,"Good")</f>
        <v>balanced</v>
      </c>
    </row>
    <row r="1337" spans="1:9" x14ac:dyDescent="0.3">
      <c r="A1337" s="13">
        <v>3</v>
      </c>
      <c r="B1337" t="str" cm="1">
        <f t="array" ref="B1337">_xlfn.IFS(Datasets!Q1337=1,"LoW",Table1[[#This Row],[JobSatisfaction]]=2,"Medium",Table1[[#This Row],[JobSatisfaction]]=3,"High",Table1[[#This Row],[JobSatisfaction]]=4,"Very High")</f>
        <v>High</v>
      </c>
      <c r="H1337" s="5">
        <v>3</v>
      </c>
      <c r="I1337" t="str" cm="1">
        <f t="array" ref="I1337">_xlfn.IFS(H1337=1,"low",H1337=2,"medium",H1337=3,"balanced",H1337=4,"Good")</f>
        <v>balanced</v>
      </c>
    </row>
    <row r="1338" spans="1:9" x14ac:dyDescent="0.3">
      <c r="A1338" s="14">
        <v>3</v>
      </c>
      <c r="B1338" t="str" cm="1">
        <f t="array" ref="B1338">_xlfn.IFS(Datasets!Q1338=1,"LoW",Table1[[#This Row],[JobSatisfaction]]=2,"Medium",Table1[[#This Row],[JobSatisfaction]]=3,"High",Table1[[#This Row],[JobSatisfaction]]=4,"Very High")</f>
        <v>High</v>
      </c>
      <c r="H1338" s="5">
        <v>4</v>
      </c>
      <c r="I1338" t="str" cm="1">
        <f t="array" ref="I1338">_xlfn.IFS(H1338=1,"low",H1338=2,"medium",H1338=3,"balanced",H1338=4,"Good")</f>
        <v>Good</v>
      </c>
    </row>
    <row r="1339" spans="1:9" x14ac:dyDescent="0.3">
      <c r="A1339" s="13">
        <v>4</v>
      </c>
      <c r="B1339" t="str" cm="1">
        <f t="array" ref="B1339">_xlfn.IFS(Datasets!Q1339=1,"LoW",Table1[[#This Row],[JobSatisfaction]]=2,"Medium",Table1[[#This Row],[JobSatisfaction]]=3,"High",Table1[[#This Row],[JobSatisfaction]]=4,"Very High")</f>
        <v>Very High</v>
      </c>
      <c r="H1339" s="5">
        <v>3</v>
      </c>
      <c r="I1339" t="str" cm="1">
        <f t="array" ref="I1339">_xlfn.IFS(H1339=1,"low",H1339=2,"medium",H1339=3,"balanced",H1339=4,"Good")</f>
        <v>balanced</v>
      </c>
    </row>
    <row r="1340" spans="1:9" x14ac:dyDescent="0.3">
      <c r="A1340" s="14">
        <v>3</v>
      </c>
      <c r="B1340" t="str" cm="1">
        <f t="array" ref="B1340">_xlfn.IFS(Datasets!Q1340=1,"LoW",Table1[[#This Row],[JobSatisfaction]]=2,"Medium",Table1[[#This Row],[JobSatisfaction]]=3,"High",Table1[[#This Row],[JobSatisfaction]]=4,"Very High")</f>
        <v>High</v>
      </c>
      <c r="H1340" s="5">
        <v>3</v>
      </c>
      <c r="I1340" t="str" cm="1">
        <f t="array" ref="I1340">_xlfn.IFS(H1340=1,"low",H1340=2,"medium",H1340=3,"balanced",H1340=4,"Good")</f>
        <v>balanced</v>
      </c>
    </row>
    <row r="1341" spans="1:9" x14ac:dyDescent="0.3">
      <c r="A1341" s="13">
        <v>1</v>
      </c>
      <c r="B1341" t="str" cm="1">
        <f t="array" ref="B1341">_xlfn.IFS(Datasets!Q1341=1,"LoW",Table1[[#This Row],[JobSatisfaction]]=2,"Medium",Table1[[#This Row],[JobSatisfaction]]=3,"High",Table1[[#This Row],[JobSatisfaction]]=4,"Very High")</f>
        <v>LoW</v>
      </c>
      <c r="H1341" s="5">
        <v>1</v>
      </c>
      <c r="I1341" t="str" cm="1">
        <f t="array" ref="I1341">_xlfn.IFS(H1341=1,"low",H1341=2,"medium",H1341=3,"balanced",H1341=4,"Good")</f>
        <v>low</v>
      </c>
    </row>
    <row r="1342" spans="1:9" x14ac:dyDescent="0.3">
      <c r="A1342" s="14">
        <v>4</v>
      </c>
      <c r="B1342" t="str" cm="1">
        <f t="array" ref="B1342">_xlfn.IFS(Datasets!Q1342=1,"LoW",Table1[[#This Row],[JobSatisfaction]]=2,"Medium",Table1[[#This Row],[JobSatisfaction]]=3,"High",Table1[[#This Row],[JobSatisfaction]]=4,"Very High")</f>
        <v>Very High</v>
      </c>
      <c r="H1342" s="5">
        <v>3</v>
      </c>
      <c r="I1342" t="str" cm="1">
        <f t="array" ref="I1342">_xlfn.IFS(H1342=1,"low",H1342=2,"medium",H1342=3,"balanced",H1342=4,"Good")</f>
        <v>balanced</v>
      </c>
    </row>
    <row r="1343" spans="1:9" x14ac:dyDescent="0.3">
      <c r="A1343" s="13">
        <v>3</v>
      </c>
      <c r="B1343" t="str" cm="1">
        <f t="array" ref="B1343">_xlfn.IFS(Datasets!Q1343=1,"LoW",Table1[[#This Row],[JobSatisfaction]]=2,"Medium",Table1[[#This Row],[JobSatisfaction]]=3,"High",Table1[[#This Row],[JobSatisfaction]]=4,"Very High")</f>
        <v>High</v>
      </c>
      <c r="H1343" s="5">
        <v>3</v>
      </c>
      <c r="I1343" t="str" cm="1">
        <f t="array" ref="I1343">_xlfn.IFS(H1343=1,"low",H1343=2,"medium",H1343=3,"balanced",H1343=4,"Good")</f>
        <v>balanced</v>
      </c>
    </row>
    <row r="1344" spans="1:9" x14ac:dyDescent="0.3">
      <c r="A1344" s="14">
        <v>2</v>
      </c>
      <c r="B1344" t="str" cm="1">
        <f t="array" ref="B1344">_xlfn.IFS(Datasets!Q1344=1,"LoW",Table1[[#This Row],[JobSatisfaction]]=2,"Medium",Table1[[#This Row],[JobSatisfaction]]=3,"High",Table1[[#This Row],[JobSatisfaction]]=4,"Very High")</f>
        <v>Medium</v>
      </c>
      <c r="H1344" s="5">
        <v>3</v>
      </c>
      <c r="I1344" t="str" cm="1">
        <f t="array" ref="I1344">_xlfn.IFS(H1344=1,"low",H1344=2,"medium",H1344=3,"balanced",H1344=4,"Good")</f>
        <v>balanced</v>
      </c>
    </row>
    <row r="1345" spans="1:9" x14ac:dyDescent="0.3">
      <c r="A1345" s="13">
        <v>4</v>
      </c>
      <c r="B1345" t="str" cm="1">
        <f t="array" ref="B1345">_xlfn.IFS(Datasets!Q1345=1,"LoW",Table1[[#This Row],[JobSatisfaction]]=2,"Medium",Table1[[#This Row],[JobSatisfaction]]=3,"High",Table1[[#This Row],[JobSatisfaction]]=4,"Very High")</f>
        <v>Very High</v>
      </c>
      <c r="H1345" s="5">
        <v>3</v>
      </c>
      <c r="I1345" t="str" cm="1">
        <f t="array" ref="I1345">_xlfn.IFS(H1345=1,"low",H1345=2,"medium",H1345=3,"balanced",H1345=4,"Good")</f>
        <v>balanced</v>
      </c>
    </row>
    <row r="1346" spans="1:9" x14ac:dyDescent="0.3">
      <c r="A1346" s="14">
        <v>2</v>
      </c>
      <c r="B1346" t="str" cm="1">
        <f t="array" ref="B1346">_xlfn.IFS(Datasets!Q1346=1,"LoW",Table1[[#This Row],[JobSatisfaction]]=2,"Medium",Table1[[#This Row],[JobSatisfaction]]=3,"High",Table1[[#This Row],[JobSatisfaction]]=4,"Very High")</f>
        <v>Medium</v>
      </c>
      <c r="H1346" s="5">
        <v>3</v>
      </c>
      <c r="I1346" t="str" cm="1">
        <f t="array" ref="I1346">_xlfn.IFS(H1346=1,"low",H1346=2,"medium",H1346=3,"balanced",H1346=4,"Good")</f>
        <v>balanced</v>
      </c>
    </row>
    <row r="1347" spans="1:9" x14ac:dyDescent="0.3">
      <c r="A1347" s="13">
        <v>4</v>
      </c>
      <c r="B1347" t="str" cm="1">
        <f t="array" ref="B1347">_xlfn.IFS(Datasets!Q1347=1,"LoW",Table1[[#This Row],[JobSatisfaction]]=2,"Medium",Table1[[#This Row],[JobSatisfaction]]=3,"High",Table1[[#This Row],[JobSatisfaction]]=4,"Very High")</f>
        <v>Very High</v>
      </c>
      <c r="H1347" s="5">
        <v>3</v>
      </c>
      <c r="I1347" t="str" cm="1">
        <f t="array" ref="I1347">_xlfn.IFS(H1347=1,"low",H1347=2,"medium",H1347=3,"balanced",H1347=4,"Good")</f>
        <v>balanced</v>
      </c>
    </row>
    <row r="1348" spans="1:9" x14ac:dyDescent="0.3">
      <c r="A1348" s="14">
        <v>4</v>
      </c>
      <c r="B1348" t="str" cm="1">
        <f t="array" ref="B1348">_xlfn.IFS(Datasets!Q1348=1,"LoW",Table1[[#This Row],[JobSatisfaction]]=2,"Medium",Table1[[#This Row],[JobSatisfaction]]=3,"High",Table1[[#This Row],[JobSatisfaction]]=4,"Very High")</f>
        <v>Very High</v>
      </c>
      <c r="H1348" s="5">
        <v>3</v>
      </c>
      <c r="I1348" t="str" cm="1">
        <f t="array" ref="I1348">_xlfn.IFS(H1348=1,"low",H1348=2,"medium",H1348=3,"balanced",H1348=4,"Good")</f>
        <v>balanced</v>
      </c>
    </row>
    <row r="1349" spans="1:9" x14ac:dyDescent="0.3">
      <c r="A1349" s="13">
        <v>4</v>
      </c>
      <c r="B1349" t="str" cm="1">
        <f t="array" ref="B1349">_xlfn.IFS(Datasets!Q1349=1,"LoW",Table1[[#This Row],[JobSatisfaction]]=2,"Medium",Table1[[#This Row],[JobSatisfaction]]=3,"High",Table1[[#This Row],[JobSatisfaction]]=4,"Very High")</f>
        <v>Very High</v>
      </c>
      <c r="H1349" s="5">
        <v>2</v>
      </c>
      <c r="I1349" t="str" cm="1">
        <f t="array" ref="I1349">_xlfn.IFS(H1349=1,"low",H1349=2,"medium",H1349=3,"balanced",H1349=4,"Good")</f>
        <v>medium</v>
      </c>
    </row>
    <row r="1350" spans="1:9" x14ac:dyDescent="0.3">
      <c r="A1350" s="14">
        <v>3</v>
      </c>
      <c r="B1350" t="str" cm="1">
        <f t="array" ref="B1350">_xlfn.IFS(Datasets!Q1350=1,"LoW",Table1[[#This Row],[JobSatisfaction]]=2,"Medium",Table1[[#This Row],[JobSatisfaction]]=3,"High",Table1[[#This Row],[JobSatisfaction]]=4,"Very High")</f>
        <v>High</v>
      </c>
      <c r="H1350" s="5">
        <v>3</v>
      </c>
      <c r="I1350" t="str" cm="1">
        <f t="array" ref="I1350">_xlfn.IFS(H1350=1,"low",H1350=2,"medium",H1350=3,"balanced",H1350=4,"Good")</f>
        <v>balanced</v>
      </c>
    </row>
    <row r="1351" spans="1:9" x14ac:dyDescent="0.3">
      <c r="A1351" s="13">
        <v>2</v>
      </c>
      <c r="B1351" t="str" cm="1">
        <f t="array" ref="B1351">_xlfn.IFS(Datasets!Q1351=1,"LoW",Table1[[#This Row],[JobSatisfaction]]=2,"Medium",Table1[[#This Row],[JobSatisfaction]]=3,"High",Table1[[#This Row],[JobSatisfaction]]=4,"Very High")</f>
        <v>Medium</v>
      </c>
      <c r="H1351" s="5">
        <v>2</v>
      </c>
      <c r="I1351" t="str" cm="1">
        <f t="array" ref="I1351">_xlfn.IFS(H1351=1,"low",H1351=2,"medium",H1351=3,"balanced",H1351=4,"Good")</f>
        <v>medium</v>
      </c>
    </row>
    <row r="1352" spans="1:9" x14ac:dyDescent="0.3">
      <c r="A1352" s="14">
        <v>3</v>
      </c>
      <c r="B1352" t="str" cm="1">
        <f t="array" ref="B1352">_xlfn.IFS(Datasets!Q1352=1,"LoW",Table1[[#This Row],[JobSatisfaction]]=2,"Medium",Table1[[#This Row],[JobSatisfaction]]=3,"High",Table1[[#This Row],[JobSatisfaction]]=4,"Very High")</f>
        <v>High</v>
      </c>
      <c r="H1352" s="5">
        <v>2</v>
      </c>
      <c r="I1352" t="str" cm="1">
        <f t="array" ref="I1352">_xlfn.IFS(H1352=1,"low",H1352=2,"medium",H1352=3,"balanced",H1352=4,"Good")</f>
        <v>medium</v>
      </c>
    </row>
    <row r="1353" spans="1:9" x14ac:dyDescent="0.3">
      <c r="A1353" s="13">
        <v>1</v>
      </c>
      <c r="B1353" t="str" cm="1">
        <f t="array" ref="B1353">_xlfn.IFS(Datasets!Q1353=1,"LoW",Table1[[#This Row],[JobSatisfaction]]=2,"Medium",Table1[[#This Row],[JobSatisfaction]]=3,"High",Table1[[#This Row],[JobSatisfaction]]=4,"Very High")</f>
        <v>LoW</v>
      </c>
      <c r="H1353" s="5">
        <v>4</v>
      </c>
      <c r="I1353" t="str" cm="1">
        <f t="array" ref="I1353">_xlfn.IFS(H1353=1,"low",H1353=2,"medium",H1353=3,"balanced",H1353=4,"Good")</f>
        <v>Good</v>
      </c>
    </row>
    <row r="1354" spans="1:9" x14ac:dyDescent="0.3">
      <c r="A1354" s="14">
        <v>2</v>
      </c>
      <c r="B1354" t="str" cm="1">
        <f t="array" ref="B1354">_xlfn.IFS(Datasets!Q1354=1,"LoW",Table1[[#This Row],[JobSatisfaction]]=2,"Medium",Table1[[#This Row],[JobSatisfaction]]=3,"High",Table1[[#This Row],[JobSatisfaction]]=4,"Very High")</f>
        <v>Medium</v>
      </c>
      <c r="H1354" s="5">
        <v>3</v>
      </c>
      <c r="I1354" t="str" cm="1">
        <f t="array" ref="I1354">_xlfn.IFS(H1354=1,"low",H1354=2,"medium",H1354=3,"balanced",H1354=4,"Good")</f>
        <v>balanced</v>
      </c>
    </row>
    <row r="1355" spans="1:9" x14ac:dyDescent="0.3">
      <c r="A1355" s="13">
        <v>2</v>
      </c>
      <c r="B1355" t="str" cm="1">
        <f t="array" ref="B1355">_xlfn.IFS(Datasets!Q1355=1,"LoW",Table1[[#This Row],[JobSatisfaction]]=2,"Medium",Table1[[#This Row],[JobSatisfaction]]=3,"High",Table1[[#This Row],[JobSatisfaction]]=4,"Very High")</f>
        <v>Medium</v>
      </c>
      <c r="H1355" s="5">
        <v>4</v>
      </c>
      <c r="I1355" t="str" cm="1">
        <f t="array" ref="I1355">_xlfn.IFS(H1355=1,"low",H1355=2,"medium",H1355=3,"balanced",H1355=4,"Good")</f>
        <v>Good</v>
      </c>
    </row>
    <row r="1356" spans="1:9" x14ac:dyDescent="0.3">
      <c r="A1356" s="14">
        <v>4</v>
      </c>
      <c r="B1356" t="str" cm="1">
        <f t="array" ref="B1356">_xlfn.IFS(Datasets!Q1356=1,"LoW",Table1[[#This Row],[JobSatisfaction]]=2,"Medium",Table1[[#This Row],[JobSatisfaction]]=3,"High",Table1[[#This Row],[JobSatisfaction]]=4,"Very High")</f>
        <v>Very High</v>
      </c>
      <c r="H1356" s="5">
        <v>3</v>
      </c>
      <c r="I1356" t="str" cm="1">
        <f t="array" ref="I1356">_xlfn.IFS(H1356=1,"low",H1356=2,"medium",H1356=3,"balanced",H1356=4,"Good")</f>
        <v>balanced</v>
      </c>
    </row>
    <row r="1357" spans="1:9" x14ac:dyDescent="0.3">
      <c r="A1357" s="13">
        <v>4</v>
      </c>
      <c r="B1357" t="str" cm="1">
        <f t="array" ref="B1357">_xlfn.IFS(Datasets!Q1357=1,"LoW",Table1[[#This Row],[JobSatisfaction]]=2,"Medium",Table1[[#This Row],[JobSatisfaction]]=3,"High",Table1[[#This Row],[JobSatisfaction]]=4,"Very High")</f>
        <v>Very High</v>
      </c>
      <c r="H1357" s="5">
        <v>1</v>
      </c>
      <c r="I1357" t="str" cm="1">
        <f t="array" ref="I1357">_xlfn.IFS(H1357=1,"low",H1357=2,"medium",H1357=3,"balanced",H1357=4,"Good")</f>
        <v>low</v>
      </c>
    </row>
    <row r="1358" spans="1:9" x14ac:dyDescent="0.3">
      <c r="A1358" s="14">
        <v>1</v>
      </c>
      <c r="B1358" t="str" cm="1">
        <f t="array" ref="B1358">_xlfn.IFS(Datasets!Q1358=1,"LoW",Table1[[#This Row],[JobSatisfaction]]=2,"Medium",Table1[[#This Row],[JobSatisfaction]]=3,"High",Table1[[#This Row],[JobSatisfaction]]=4,"Very High")</f>
        <v>LoW</v>
      </c>
      <c r="H1358" s="5">
        <v>3</v>
      </c>
      <c r="I1358" t="str" cm="1">
        <f t="array" ref="I1358">_xlfn.IFS(H1358=1,"low",H1358=2,"medium",H1358=3,"balanced",H1358=4,"Good")</f>
        <v>balanced</v>
      </c>
    </row>
    <row r="1359" spans="1:9" x14ac:dyDescent="0.3">
      <c r="A1359" s="13">
        <v>2</v>
      </c>
      <c r="B1359" t="str" cm="1">
        <f t="array" ref="B1359">_xlfn.IFS(Datasets!Q1359=1,"LoW",Table1[[#This Row],[JobSatisfaction]]=2,"Medium",Table1[[#This Row],[JobSatisfaction]]=3,"High",Table1[[#This Row],[JobSatisfaction]]=4,"Very High")</f>
        <v>Medium</v>
      </c>
      <c r="H1359" s="5">
        <v>2</v>
      </c>
      <c r="I1359" t="str" cm="1">
        <f t="array" ref="I1359">_xlfn.IFS(H1359=1,"low",H1359=2,"medium",H1359=3,"balanced",H1359=4,"Good")</f>
        <v>medium</v>
      </c>
    </row>
    <row r="1360" spans="1:9" x14ac:dyDescent="0.3">
      <c r="A1360" s="14">
        <v>2</v>
      </c>
      <c r="B1360" t="str" cm="1">
        <f t="array" ref="B1360">_xlfn.IFS(Datasets!Q1360=1,"LoW",Table1[[#This Row],[JobSatisfaction]]=2,"Medium",Table1[[#This Row],[JobSatisfaction]]=3,"High",Table1[[#This Row],[JobSatisfaction]]=4,"Very High")</f>
        <v>Medium</v>
      </c>
      <c r="H1360" s="5">
        <v>4</v>
      </c>
      <c r="I1360" t="str" cm="1">
        <f t="array" ref="I1360">_xlfn.IFS(H1360=1,"low",H1360=2,"medium",H1360=3,"balanced",H1360=4,"Good")</f>
        <v>Good</v>
      </c>
    </row>
    <row r="1361" spans="1:9" x14ac:dyDescent="0.3">
      <c r="A1361" s="13">
        <v>4</v>
      </c>
      <c r="B1361" t="str" cm="1">
        <f t="array" ref="B1361">_xlfn.IFS(Datasets!Q1361=1,"LoW",Table1[[#This Row],[JobSatisfaction]]=2,"Medium",Table1[[#This Row],[JobSatisfaction]]=3,"High",Table1[[#This Row],[JobSatisfaction]]=4,"Very High")</f>
        <v>Very High</v>
      </c>
      <c r="H1361" s="5">
        <v>2</v>
      </c>
      <c r="I1361" t="str" cm="1">
        <f t="array" ref="I1361">_xlfn.IFS(H1361=1,"low",H1361=2,"medium",H1361=3,"balanced",H1361=4,"Good")</f>
        <v>medium</v>
      </c>
    </row>
    <row r="1362" spans="1:9" x14ac:dyDescent="0.3">
      <c r="A1362" s="14">
        <v>4</v>
      </c>
      <c r="B1362" t="str" cm="1">
        <f t="array" ref="B1362">_xlfn.IFS(Datasets!Q1362=1,"LoW",Table1[[#This Row],[JobSatisfaction]]=2,"Medium",Table1[[#This Row],[JobSatisfaction]]=3,"High",Table1[[#This Row],[JobSatisfaction]]=4,"Very High")</f>
        <v>Very High</v>
      </c>
      <c r="H1362" s="5">
        <v>3</v>
      </c>
      <c r="I1362" t="str" cm="1">
        <f t="array" ref="I1362">_xlfn.IFS(H1362=1,"low",H1362=2,"medium",H1362=3,"balanced",H1362=4,"Good")</f>
        <v>balanced</v>
      </c>
    </row>
    <row r="1363" spans="1:9" x14ac:dyDescent="0.3">
      <c r="A1363" s="13">
        <v>2</v>
      </c>
      <c r="B1363" t="str" cm="1">
        <f t="array" ref="B1363">_xlfn.IFS(Datasets!Q1363=1,"LoW",Table1[[#This Row],[JobSatisfaction]]=2,"Medium",Table1[[#This Row],[JobSatisfaction]]=3,"High",Table1[[#This Row],[JobSatisfaction]]=4,"Very High")</f>
        <v>Medium</v>
      </c>
      <c r="H1363" s="5">
        <v>3</v>
      </c>
      <c r="I1363" t="str" cm="1">
        <f t="array" ref="I1363">_xlfn.IFS(H1363=1,"low",H1363=2,"medium",H1363=3,"balanced",H1363=4,"Good")</f>
        <v>balanced</v>
      </c>
    </row>
    <row r="1364" spans="1:9" x14ac:dyDescent="0.3">
      <c r="A1364" s="14">
        <v>4</v>
      </c>
      <c r="B1364" t="str" cm="1">
        <f t="array" ref="B1364">_xlfn.IFS(Datasets!Q1364=1,"LoW",Table1[[#This Row],[JobSatisfaction]]=2,"Medium",Table1[[#This Row],[JobSatisfaction]]=3,"High",Table1[[#This Row],[JobSatisfaction]]=4,"Very High")</f>
        <v>Very High</v>
      </c>
      <c r="H1364" s="5">
        <v>2</v>
      </c>
      <c r="I1364" t="str" cm="1">
        <f t="array" ref="I1364">_xlfn.IFS(H1364=1,"low",H1364=2,"medium",H1364=3,"balanced",H1364=4,"Good")</f>
        <v>medium</v>
      </c>
    </row>
    <row r="1365" spans="1:9" x14ac:dyDescent="0.3">
      <c r="A1365" s="13">
        <v>1</v>
      </c>
      <c r="B1365" t="str" cm="1">
        <f t="array" ref="B1365">_xlfn.IFS(Datasets!Q1365=1,"LoW",Table1[[#This Row],[JobSatisfaction]]=2,"Medium",Table1[[#This Row],[JobSatisfaction]]=3,"High",Table1[[#This Row],[JobSatisfaction]]=4,"Very High")</f>
        <v>LoW</v>
      </c>
      <c r="H1365" s="5">
        <v>4</v>
      </c>
      <c r="I1365" t="str" cm="1">
        <f t="array" ref="I1365">_xlfn.IFS(H1365=1,"low",H1365=2,"medium",H1365=3,"balanced",H1365=4,"Good")</f>
        <v>Good</v>
      </c>
    </row>
    <row r="1366" spans="1:9" x14ac:dyDescent="0.3">
      <c r="A1366" s="14">
        <v>4</v>
      </c>
      <c r="B1366" t="str" cm="1">
        <f t="array" ref="B1366">_xlfn.IFS(Datasets!Q1366=1,"LoW",Table1[[#This Row],[JobSatisfaction]]=2,"Medium",Table1[[#This Row],[JobSatisfaction]]=3,"High",Table1[[#This Row],[JobSatisfaction]]=4,"Very High")</f>
        <v>Very High</v>
      </c>
      <c r="H1366" s="5">
        <v>3</v>
      </c>
      <c r="I1366" t="str" cm="1">
        <f t="array" ref="I1366">_xlfn.IFS(H1366=1,"low",H1366=2,"medium",H1366=3,"balanced",H1366=4,"Good")</f>
        <v>balanced</v>
      </c>
    </row>
    <row r="1367" spans="1:9" x14ac:dyDescent="0.3">
      <c r="A1367" s="13">
        <v>1</v>
      </c>
      <c r="B1367" t="str" cm="1">
        <f t="array" ref="B1367">_xlfn.IFS(Datasets!Q1367=1,"LoW",Table1[[#This Row],[JobSatisfaction]]=2,"Medium",Table1[[#This Row],[JobSatisfaction]]=3,"High",Table1[[#This Row],[JobSatisfaction]]=4,"Very High")</f>
        <v>LoW</v>
      </c>
      <c r="H1367" s="5">
        <v>3</v>
      </c>
      <c r="I1367" t="str" cm="1">
        <f t="array" ref="I1367">_xlfn.IFS(H1367=1,"low",H1367=2,"medium",H1367=3,"balanced",H1367=4,"Good")</f>
        <v>balanced</v>
      </c>
    </row>
    <row r="1368" spans="1:9" x14ac:dyDescent="0.3">
      <c r="A1368" s="14">
        <v>1</v>
      </c>
      <c r="B1368" t="str" cm="1">
        <f t="array" ref="B1368">_xlfn.IFS(Datasets!Q1368=1,"LoW",Table1[[#This Row],[JobSatisfaction]]=2,"Medium",Table1[[#This Row],[JobSatisfaction]]=3,"High",Table1[[#This Row],[JobSatisfaction]]=4,"Very High")</f>
        <v>LoW</v>
      </c>
      <c r="H1368" s="5">
        <v>3</v>
      </c>
      <c r="I1368" t="str" cm="1">
        <f t="array" ref="I1368">_xlfn.IFS(H1368=1,"low",H1368=2,"medium",H1368=3,"balanced",H1368=4,"Good")</f>
        <v>balanced</v>
      </c>
    </row>
    <row r="1369" spans="1:9" x14ac:dyDescent="0.3">
      <c r="A1369" s="13">
        <v>2</v>
      </c>
      <c r="B1369" t="str" cm="1">
        <f t="array" ref="B1369">_xlfn.IFS(Datasets!Q1369=1,"LoW",Table1[[#This Row],[JobSatisfaction]]=2,"Medium",Table1[[#This Row],[JobSatisfaction]]=3,"High",Table1[[#This Row],[JobSatisfaction]]=4,"Very High")</f>
        <v>Medium</v>
      </c>
      <c r="H1369" s="5">
        <v>3</v>
      </c>
      <c r="I1369" t="str" cm="1">
        <f t="array" ref="I1369">_xlfn.IFS(H1369=1,"low",H1369=2,"medium",H1369=3,"balanced",H1369=4,"Good")</f>
        <v>balanced</v>
      </c>
    </row>
    <row r="1370" spans="1:9" x14ac:dyDescent="0.3">
      <c r="A1370" s="14">
        <v>1</v>
      </c>
      <c r="B1370" t="str" cm="1">
        <f t="array" ref="B1370">_xlfn.IFS(Datasets!Q1370=1,"LoW",Table1[[#This Row],[JobSatisfaction]]=2,"Medium",Table1[[#This Row],[JobSatisfaction]]=3,"High",Table1[[#This Row],[JobSatisfaction]]=4,"Very High")</f>
        <v>LoW</v>
      </c>
      <c r="H1370" s="5">
        <v>4</v>
      </c>
      <c r="I1370" t="str" cm="1">
        <f t="array" ref="I1370">_xlfn.IFS(H1370=1,"low",H1370=2,"medium",H1370=3,"balanced",H1370=4,"Good")</f>
        <v>Good</v>
      </c>
    </row>
    <row r="1371" spans="1:9" x14ac:dyDescent="0.3">
      <c r="A1371" s="13">
        <v>2</v>
      </c>
      <c r="B1371" t="str" cm="1">
        <f t="array" ref="B1371">_xlfn.IFS(Datasets!Q1371=1,"LoW",Table1[[#This Row],[JobSatisfaction]]=2,"Medium",Table1[[#This Row],[JobSatisfaction]]=3,"High",Table1[[#This Row],[JobSatisfaction]]=4,"Very High")</f>
        <v>Medium</v>
      </c>
      <c r="H1371" s="5">
        <v>2</v>
      </c>
      <c r="I1371" t="str" cm="1">
        <f t="array" ref="I1371">_xlfn.IFS(H1371=1,"low",H1371=2,"medium",H1371=3,"balanced",H1371=4,"Good")</f>
        <v>medium</v>
      </c>
    </row>
    <row r="1372" spans="1:9" x14ac:dyDescent="0.3">
      <c r="A1372" s="14">
        <v>1</v>
      </c>
      <c r="B1372" t="str" cm="1">
        <f t="array" ref="B1372">_xlfn.IFS(Datasets!Q1372=1,"LoW",Table1[[#This Row],[JobSatisfaction]]=2,"Medium",Table1[[#This Row],[JobSatisfaction]]=3,"High",Table1[[#This Row],[JobSatisfaction]]=4,"Very High")</f>
        <v>LoW</v>
      </c>
      <c r="H1372" s="5">
        <v>3</v>
      </c>
      <c r="I1372" t="str" cm="1">
        <f t="array" ref="I1372">_xlfn.IFS(H1372=1,"low",H1372=2,"medium",H1372=3,"balanced",H1372=4,"Good")</f>
        <v>balanced</v>
      </c>
    </row>
    <row r="1373" spans="1:9" x14ac:dyDescent="0.3">
      <c r="A1373" s="13">
        <v>4</v>
      </c>
      <c r="B1373" t="str" cm="1">
        <f t="array" ref="B1373">_xlfn.IFS(Datasets!Q1373=1,"LoW",Table1[[#This Row],[JobSatisfaction]]=2,"Medium",Table1[[#This Row],[JobSatisfaction]]=3,"High",Table1[[#This Row],[JobSatisfaction]]=4,"Very High")</f>
        <v>Very High</v>
      </c>
      <c r="H1373" s="5">
        <v>2</v>
      </c>
      <c r="I1373" t="str" cm="1">
        <f t="array" ref="I1373">_xlfn.IFS(H1373=1,"low",H1373=2,"medium",H1373=3,"balanced",H1373=4,"Good")</f>
        <v>medium</v>
      </c>
    </row>
    <row r="1374" spans="1:9" x14ac:dyDescent="0.3">
      <c r="A1374" s="14">
        <v>4</v>
      </c>
      <c r="B1374" t="str" cm="1">
        <f t="array" ref="B1374">_xlfn.IFS(Datasets!Q1374=1,"LoW",Table1[[#This Row],[JobSatisfaction]]=2,"Medium",Table1[[#This Row],[JobSatisfaction]]=3,"High",Table1[[#This Row],[JobSatisfaction]]=4,"Very High")</f>
        <v>Very High</v>
      </c>
      <c r="H1374" s="5">
        <v>4</v>
      </c>
      <c r="I1374" t="str" cm="1">
        <f t="array" ref="I1374">_xlfn.IFS(H1374=1,"low",H1374=2,"medium",H1374=3,"balanced",H1374=4,"Good")</f>
        <v>Good</v>
      </c>
    </row>
    <row r="1375" spans="1:9" x14ac:dyDescent="0.3">
      <c r="A1375" s="13">
        <v>1</v>
      </c>
      <c r="B1375" t="str" cm="1">
        <f t="array" ref="B1375">_xlfn.IFS(Datasets!Q1375=1,"LoW",Table1[[#This Row],[JobSatisfaction]]=2,"Medium",Table1[[#This Row],[JobSatisfaction]]=3,"High",Table1[[#This Row],[JobSatisfaction]]=4,"Very High")</f>
        <v>LoW</v>
      </c>
      <c r="H1375" s="5">
        <v>2</v>
      </c>
      <c r="I1375" t="str" cm="1">
        <f t="array" ref="I1375">_xlfn.IFS(H1375=1,"low",H1375=2,"medium",H1375=3,"balanced",H1375=4,"Good")</f>
        <v>medium</v>
      </c>
    </row>
    <row r="1376" spans="1:9" x14ac:dyDescent="0.3">
      <c r="A1376" s="14">
        <v>3</v>
      </c>
      <c r="B1376" t="str" cm="1">
        <f t="array" ref="B1376">_xlfn.IFS(Datasets!Q1376=1,"LoW",Table1[[#This Row],[JobSatisfaction]]=2,"Medium",Table1[[#This Row],[JobSatisfaction]]=3,"High",Table1[[#This Row],[JobSatisfaction]]=4,"Very High")</f>
        <v>High</v>
      </c>
      <c r="H1376" s="5">
        <v>3</v>
      </c>
      <c r="I1376" t="str" cm="1">
        <f t="array" ref="I1376">_xlfn.IFS(H1376=1,"low",H1376=2,"medium",H1376=3,"balanced",H1376=4,"Good")</f>
        <v>balanced</v>
      </c>
    </row>
    <row r="1377" spans="1:9" x14ac:dyDescent="0.3">
      <c r="A1377" s="13">
        <v>1</v>
      </c>
      <c r="B1377" t="str" cm="1">
        <f t="array" ref="B1377">_xlfn.IFS(Datasets!Q1377=1,"LoW",Table1[[#This Row],[JobSatisfaction]]=2,"Medium",Table1[[#This Row],[JobSatisfaction]]=3,"High",Table1[[#This Row],[JobSatisfaction]]=4,"Very High")</f>
        <v>LoW</v>
      </c>
      <c r="H1377" s="5">
        <v>3</v>
      </c>
      <c r="I1377" t="str" cm="1">
        <f t="array" ref="I1377">_xlfn.IFS(H1377=1,"low",H1377=2,"medium",H1377=3,"balanced",H1377=4,"Good")</f>
        <v>balanced</v>
      </c>
    </row>
    <row r="1378" spans="1:9" x14ac:dyDescent="0.3">
      <c r="A1378" s="14">
        <v>1</v>
      </c>
      <c r="B1378" t="str" cm="1">
        <f t="array" ref="B1378">_xlfn.IFS(Datasets!Q1378=1,"LoW",Table1[[#This Row],[JobSatisfaction]]=2,"Medium",Table1[[#This Row],[JobSatisfaction]]=3,"High",Table1[[#This Row],[JobSatisfaction]]=4,"Very High")</f>
        <v>LoW</v>
      </c>
      <c r="H1378" s="5">
        <v>3</v>
      </c>
      <c r="I1378" t="str" cm="1">
        <f t="array" ref="I1378">_xlfn.IFS(H1378=1,"low",H1378=2,"medium",H1378=3,"balanced",H1378=4,"Good")</f>
        <v>balanced</v>
      </c>
    </row>
    <row r="1379" spans="1:9" x14ac:dyDescent="0.3">
      <c r="A1379" s="13">
        <v>4</v>
      </c>
      <c r="B1379" t="str" cm="1">
        <f t="array" ref="B1379">_xlfn.IFS(Datasets!Q1379=1,"LoW",Table1[[#This Row],[JobSatisfaction]]=2,"Medium",Table1[[#This Row],[JobSatisfaction]]=3,"High",Table1[[#This Row],[JobSatisfaction]]=4,"Very High")</f>
        <v>Very High</v>
      </c>
      <c r="H1379" s="5">
        <v>2</v>
      </c>
      <c r="I1379" t="str" cm="1">
        <f t="array" ref="I1379">_xlfn.IFS(H1379=1,"low",H1379=2,"medium",H1379=3,"balanced",H1379=4,"Good")</f>
        <v>medium</v>
      </c>
    </row>
    <row r="1380" spans="1:9" x14ac:dyDescent="0.3">
      <c r="A1380" s="14">
        <v>2</v>
      </c>
      <c r="B1380" t="str" cm="1">
        <f t="array" ref="B1380">_xlfn.IFS(Datasets!Q1380=1,"LoW",Table1[[#This Row],[JobSatisfaction]]=2,"Medium",Table1[[#This Row],[JobSatisfaction]]=3,"High",Table1[[#This Row],[JobSatisfaction]]=4,"Very High")</f>
        <v>Medium</v>
      </c>
      <c r="H1380" s="5">
        <v>3</v>
      </c>
      <c r="I1380" t="str" cm="1">
        <f t="array" ref="I1380">_xlfn.IFS(H1380=1,"low",H1380=2,"medium",H1380=3,"balanced",H1380=4,"Good")</f>
        <v>balanced</v>
      </c>
    </row>
    <row r="1381" spans="1:9" x14ac:dyDescent="0.3">
      <c r="A1381" s="13">
        <v>1</v>
      </c>
      <c r="B1381" t="str" cm="1">
        <f t="array" ref="B1381">_xlfn.IFS(Datasets!Q1381=1,"LoW",Table1[[#This Row],[JobSatisfaction]]=2,"Medium",Table1[[#This Row],[JobSatisfaction]]=3,"High",Table1[[#This Row],[JobSatisfaction]]=4,"Very High")</f>
        <v>LoW</v>
      </c>
      <c r="H1381" s="5">
        <v>3</v>
      </c>
      <c r="I1381" t="str" cm="1">
        <f t="array" ref="I1381">_xlfn.IFS(H1381=1,"low",H1381=2,"medium",H1381=3,"balanced",H1381=4,"Good")</f>
        <v>balanced</v>
      </c>
    </row>
    <row r="1382" spans="1:9" x14ac:dyDescent="0.3">
      <c r="A1382" s="14">
        <v>3</v>
      </c>
      <c r="B1382" t="str" cm="1">
        <f t="array" ref="B1382">_xlfn.IFS(Datasets!Q1382=1,"LoW",Table1[[#This Row],[JobSatisfaction]]=2,"Medium",Table1[[#This Row],[JobSatisfaction]]=3,"High",Table1[[#This Row],[JobSatisfaction]]=4,"Very High")</f>
        <v>High</v>
      </c>
      <c r="H1382" s="5">
        <v>4</v>
      </c>
      <c r="I1382" t="str" cm="1">
        <f t="array" ref="I1382">_xlfn.IFS(H1382=1,"low",H1382=2,"medium",H1382=3,"balanced",H1382=4,"Good")</f>
        <v>Good</v>
      </c>
    </row>
    <row r="1383" spans="1:9" x14ac:dyDescent="0.3">
      <c r="A1383" s="13">
        <v>4</v>
      </c>
      <c r="B1383" t="str" cm="1">
        <f t="array" ref="B1383">_xlfn.IFS(Datasets!Q1383=1,"LoW",Table1[[#This Row],[JobSatisfaction]]=2,"Medium",Table1[[#This Row],[JobSatisfaction]]=3,"High",Table1[[#This Row],[JobSatisfaction]]=4,"Very High")</f>
        <v>Very High</v>
      </c>
      <c r="H1383" s="5">
        <v>3</v>
      </c>
      <c r="I1383" t="str" cm="1">
        <f t="array" ref="I1383">_xlfn.IFS(H1383=1,"low",H1383=2,"medium",H1383=3,"balanced",H1383=4,"Good")</f>
        <v>balanced</v>
      </c>
    </row>
    <row r="1384" spans="1:9" x14ac:dyDescent="0.3">
      <c r="A1384" s="14">
        <v>1</v>
      </c>
      <c r="B1384" t="str" cm="1">
        <f t="array" ref="B1384">_xlfn.IFS(Datasets!Q1384=1,"LoW",Table1[[#This Row],[JobSatisfaction]]=2,"Medium",Table1[[#This Row],[JobSatisfaction]]=3,"High",Table1[[#This Row],[JobSatisfaction]]=4,"Very High")</f>
        <v>LoW</v>
      </c>
      <c r="H1384" s="5">
        <v>2</v>
      </c>
      <c r="I1384" t="str" cm="1">
        <f t="array" ref="I1384">_xlfn.IFS(H1384=1,"low",H1384=2,"medium",H1384=3,"balanced",H1384=4,"Good")</f>
        <v>medium</v>
      </c>
    </row>
    <row r="1385" spans="1:9" x14ac:dyDescent="0.3">
      <c r="A1385" s="13">
        <v>4</v>
      </c>
      <c r="B1385" t="str" cm="1">
        <f t="array" ref="B1385">_xlfn.IFS(Datasets!Q1385=1,"LoW",Table1[[#This Row],[JobSatisfaction]]=2,"Medium",Table1[[#This Row],[JobSatisfaction]]=3,"High",Table1[[#This Row],[JobSatisfaction]]=4,"Very High")</f>
        <v>Very High</v>
      </c>
      <c r="H1385" s="5">
        <v>3</v>
      </c>
      <c r="I1385" t="str" cm="1">
        <f t="array" ref="I1385">_xlfn.IFS(H1385=1,"low",H1385=2,"medium",H1385=3,"balanced",H1385=4,"Good")</f>
        <v>balanced</v>
      </c>
    </row>
    <row r="1386" spans="1:9" x14ac:dyDescent="0.3">
      <c r="A1386" s="14">
        <v>4</v>
      </c>
      <c r="B1386" t="str" cm="1">
        <f t="array" ref="B1386">_xlfn.IFS(Datasets!Q1386=1,"LoW",Table1[[#This Row],[JobSatisfaction]]=2,"Medium",Table1[[#This Row],[JobSatisfaction]]=3,"High",Table1[[#This Row],[JobSatisfaction]]=4,"Very High")</f>
        <v>Very High</v>
      </c>
      <c r="H1386" s="5">
        <v>2</v>
      </c>
      <c r="I1386" t="str" cm="1">
        <f t="array" ref="I1386">_xlfn.IFS(H1386=1,"low",H1386=2,"medium",H1386=3,"balanced",H1386=4,"Good")</f>
        <v>medium</v>
      </c>
    </row>
    <row r="1387" spans="1:9" x14ac:dyDescent="0.3">
      <c r="A1387" s="13">
        <v>4</v>
      </c>
      <c r="B1387" t="str" cm="1">
        <f t="array" ref="B1387">_xlfn.IFS(Datasets!Q1387=1,"LoW",Table1[[#This Row],[JobSatisfaction]]=2,"Medium",Table1[[#This Row],[JobSatisfaction]]=3,"High",Table1[[#This Row],[JobSatisfaction]]=4,"Very High")</f>
        <v>Very High</v>
      </c>
      <c r="H1387" s="5">
        <v>2</v>
      </c>
      <c r="I1387" t="str" cm="1">
        <f t="array" ref="I1387">_xlfn.IFS(H1387=1,"low",H1387=2,"medium",H1387=3,"balanced",H1387=4,"Good")</f>
        <v>medium</v>
      </c>
    </row>
    <row r="1388" spans="1:9" x14ac:dyDescent="0.3">
      <c r="A1388" s="14">
        <v>3</v>
      </c>
      <c r="B1388" t="str" cm="1">
        <f t="array" ref="B1388">_xlfn.IFS(Datasets!Q1388=1,"LoW",Table1[[#This Row],[JobSatisfaction]]=2,"Medium",Table1[[#This Row],[JobSatisfaction]]=3,"High",Table1[[#This Row],[JobSatisfaction]]=4,"Very High")</f>
        <v>High</v>
      </c>
      <c r="H1388" s="5">
        <v>3</v>
      </c>
      <c r="I1388" t="str" cm="1">
        <f t="array" ref="I1388">_xlfn.IFS(H1388=1,"low",H1388=2,"medium",H1388=3,"balanced",H1388=4,"Good")</f>
        <v>balanced</v>
      </c>
    </row>
    <row r="1389" spans="1:9" x14ac:dyDescent="0.3">
      <c r="A1389" s="13">
        <v>3</v>
      </c>
      <c r="B1389" t="str" cm="1">
        <f t="array" ref="B1389">_xlfn.IFS(Datasets!Q1389=1,"LoW",Table1[[#This Row],[JobSatisfaction]]=2,"Medium",Table1[[#This Row],[JobSatisfaction]]=3,"High",Table1[[#This Row],[JobSatisfaction]]=4,"Very High")</f>
        <v>High</v>
      </c>
      <c r="H1389" s="5">
        <v>3</v>
      </c>
      <c r="I1389" t="str" cm="1">
        <f t="array" ref="I1389">_xlfn.IFS(H1389=1,"low",H1389=2,"medium",H1389=3,"balanced",H1389=4,"Good")</f>
        <v>balanced</v>
      </c>
    </row>
    <row r="1390" spans="1:9" x14ac:dyDescent="0.3">
      <c r="A1390" s="14">
        <v>3</v>
      </c>
      <c r="B1390" t="str" cm="1">
        <f t="array" ref="B1390">_xlfn.IFS(Datasets!Q1390=1,"LoW",Table1[[#This Row],[JobSatisfaction]]=2,"Medium",Table1[[#This Row],[JobSatisfaction]]=3,"High",Table1[[#This Row],[JobSatisfaction]]=4,"Very High")</f>
        <v>High</v>
      </c>
      <c r="H1390" s="5">
        <v>3</v>
      </c>
      <c r="I1390" t="str" cm="1">
        <f t="array" ref="I1390">_xlfn.IFS(H1390=1,"low",H1390=2,"medium",H1390=3,"balanced",H1390=4,"Good")</f>
        <v>balanced</v>
      </c>
    </row>
    <row r="1391" spans="1:9" x14ac:dyDescent="0.3">
      <c r="A1391" s="13">
        <v>1</v>
      </c>
      <c r="B1391" t="str" cm="1">
        <f t="array" ref="B1391">_xlfn.IFS(Datasets!Q1391=1,"LoW",Table1[[#This Row],[JobSatisfaction]]=2,"Medium",Table1[[#This Row],[JobSatisfaction]]=3,"High",Table1[[#This Row],[JobSatisfaction]]=4,"Very High")</f>
        <v>LoW</v>
      </c>
      <c r="H1391" s="5">
        <v>1</v>
      </c>
      <c r="I1391" t="str" cm="1">
        <f t="array" ref="I1391">_xlfn.IFS(H1391=1,"low",H1391=2,"medium",H1391=3,"balanced",H1391=4,"Good")</f>
        <v>low</v>
      </c>
    </row>
    <row r="1392" spans="1:9" x14ac:dyDescent="0.3">
      <c r="A1392" s="14">
        <v>3</v>
      </c>
      <c r="B1392" t="str" cm="1">
        <f t="array" ref="B1392">_xlfn.IFS(Datasets!Q1392=1,"LoW",Table1[[#This Row],[JobSatisfaction]]=2,"Medium",Table1[[#This Row],[JobSatisfaction]]=3,"High",Table1[[#This Row],[JobSatisfaction]]=4,"Very High")</f>
        <v>High</v>
      </c>
      <c r="H1392" s="5">
        <v>2</v>
      </c>
      <c r="I1392" t="str" cm="1">
        <f t="array" ref="I1392">_xlfn.IFS(H1392=1,"low",H1392=2,"medium",H1392=3,"balanced",H1392=4,"Good")</f>
        <v>medium</v>
      </c>
    </row>
    <row r="1393" spans="1:9" x14ac:dyDescent="0.3">
      <c r="A1393" s="13">
        <v>3</v>
      </c>
      <c r="B1393" t="str" cm="1">
        <f t="array" ref="B1393">_xlfn.IFS(Datasets!Q1393=1,"LoW",Table1[[#This Row],[JobSatisfaction]]=2,"Medium",Table1[[#This Row],[JobSatisfaction]]=3,"High",Table1[[#This Row],[JobSatisfaction]]=4,"Very High")</f>
        <v>High</v>
      </c>
      <c r="H1393" s="5">
        <v>3</v>
      </c>
      <c r="I1393" t="str" cm="1">
        <f t="array" ref="I1393">_xlfn.IFS(H1393=1,"low",H1393=2,"medium",H1393=3,"balanced",H1393=4,"Good")</f>
        <v>balanced</v>
      </c>
    </row>
    <row r="1394" spans="1:9" x14ac:dyDescent="0.3">
      <c r="A1394" s="14">
        <v>3</v>
      </c>
      <c r="B1394" t="str" cm="1">
        <f t="array" ref="B1394">_xlfn.IFS(Datasets!Q1394=1,"LoW",Table1[[#This Row],[JobSatisfaction]]=2,"Medium",Table1[[#This Row],[JobSatisfaction]]=3,"High",Table1[[#This Row],[JobSatisfaction]]=4,"Very High")</f>
        <v>High</v>
      </c>
      <c r="H1394" s="5">
        <v>3</v>
      </c>
      <c r="I1394" t="str" cm="1">
        <f t="array" ref="I1394">_xlfn.IFS(H1394=1,"low",H1394=2,"medium",H1394=3,"balanced",H1394=4,"Good")</f>
        <v>balanced</v>
      </c>
    </row>
    <row r="1395" spans="1:9" x14ac:dyDescent="0.3">
      <c r="A1395" s="13">
        <v>4</v>
      </c>
      <c r="B1395" t="str" cm="1">
        <f t="array" ref="B1395">_xlfn.IFS(Datasets!Q1395=1,"LoW",Table1[[#This Row],[JobSatisfaction]]=2,"Medium",Table1[[#This Row],[JobSatisfaction]]=3,"High",Table1[[#This Row],[JobSatisfaction]]=4,"Very High")</f>
        <v>Very High</v>
      </c>
      <c r="H1395" s="5">
        <v>4</v>
      </c>
      <c r="I1395" t="str" cm="1">
        <f t="array" ref="I1395">_xlfn.IFS(H1395=1,"low",H1395=2,"medium",H1395=3,"balanced",H1395=4,"Good")</f>
        <v>Good</v>
      </c>
    </row>
    <row r="1396" spans="1:9" x14ac:dyDescent="0.3">
      <c r="A1396" s="14">
        <v>1</v>
      </c>
      <c r="B1396" t="str" cm="1">
        <f t="array" ref="B1396">_xlfn.IFS(Datasets!Q1396=1,"LoW",Table1[[#This Row],[JobSatisfaction]]=2,"Medium",Table1[[#This Row],[JobSatisfaction]]=3,"High",Table1[[#This Row],[JobSatisfaction]]=4,"Very High")</f>
        <v>LoW</v>
      </c>
      <c r="H1396" s="5">
        <v>3</v>
      </c>
      <c r="I1396" t="str" cm="1">
        <f t="array" ref="I1396">_xlfn.IFS(H1396=1,"low",H1396=2,"medium",H1396=3,"balanced",H1396=4,"Good")</f>
        <v>balanced</v>
      </c>
    </row>
    <row r="1397" spans="1:9" x14ac:dyDescent="0.3">
      <c r="A1397" s="13">
        <v>4</v>
      </c>
      <c r="B1397" t="str" cm="1">
        <f t="array" ref="B1397">_xlfn.IFS(Datasets!Q1397=1,"LoW",Table1[[#This Row],[JobSatisfaction]]=2,"Medium",Table1[[#This Row],[JobSatisfaction]]=3,"High",Table1[[#This Row],[JobSatisfaction]]=4,"Very High")</f>
        <v>Very High</v>
      </c>
      <c r="H1397" s="5">
        <v>3</v>
      </c>
      <c r="I1397" t="str" cm="1">
        <f t="array" ref="I1397">_xlfn.IFS(H1397=1,"low",H1397=2,"medium",H1397=3,"balanced",H1397=4,"Good")</f>
        <v>balanced</v>
      </c>
    </row>
    <row r="1398" spans="1:9" x14ac:dyDescent="0.3">
      <c r="A1398" s="14">
        <v>1</v>
      </c>
      <c r="B1398" t="str" cm="1">
        <f t="array" ref="B1398">_xlfn.IFS(Datasets!Q1398=1,"LoW",Table1[[#This Row],[JobSatisfaction]]=2,"Medium",Table1[[#This Row],[JobSatisfaction]]=3,"High",Table1[[#This Row],[JobSatisfaction]]=4,"Very High")</f>
        <v>LoW</v>
      </c>
      <c r="H1398" s="5">
        <v>3</v>
      </c>
      <c r="I1398" t="str" cm="1">
        <f t="array" ref="I1398">_xlfn.IFS(H1398=1,"low",H1398=2,"medium",H1398=3,"balanced",H1398=4,"Good")</f>
        <v>balanced</v>
      </c>
    </row>
    <row r="1399" spans="1:9" x14ac:dyDescent="0.3">
      <c r="A1399" s="13">
        <v>3</v>
      </c>
      <c r="B1399" t="str" cm="1">
        <f t="array" ref="B1399">_xlfn.IFS(Datasets!Q1399=1,"LoW",Table1[[#This Row],[JobSatisfaction]]=2,"Medium",Table1[[#This Row],[JobSatisfaction]]=3,"High",Table1[[#This Row],[JobSatisfaction]]=4,"Very High")</f>
        <v>High</v>
      </c>
      <c r="H1399" s="5">
        <v>1</v>
      </c>
      <c r="I1399" t="str" cm="1">
        <f t="array" ref="I1399">_xlfn.IFS(H1399=1,"low",H1399=2,"medium",H1399=3,"balanced",H1399=4,"Good")</f>
        <v>low</v>
      </c>
    </row>
    <row r="1400" spans="1:9" x14ac:dyDescent="0.3">
      <c r="A1400" s="14">
        <v>3</v>
      </c>
      <c r="B1400" t="str" cm="1">
        <f t="array" ref="B1400">_xlfn.IFS(Datasets!Q1400=1,"LoW",Table1[[#This Row],[JobSatisfaction]]=2,"Medium",Table1[[#This Row],[JobSatisfaction]]=3,"High",Table1[[#This Row],[JobSatisfaction]]=4,"Very High")</f>
        <v>High</v>
      </c>
      <c r="H1400" s="5">
        <v>2</v>
      </c>
      <c r="I1400" t="str" cm="1">
        <f t="array" ref="I1400">_xlfn.IFS(H1400=1,"low",H1400=2,"medium",H1400=3,"balanced",H1400=4,"Good")</f>
        <v>medium</v>
      </c>
    </row>
    <row r="1401" spans="1:9" x14ac:dyDescent="0.3">
      <c r="A1401" s="13">
        <v>4</v>
      </c>
      <c r="B1401" t="str" cm="1">
        <f t="array" ref="B1401">_xlfn.IFS(Datasets!Q1401=1,"LoW",Table1[[#This Row],[JobSatisfaction]]=2,"Medium",Table1[[#This Row],[JobSatisfaction]]=3,"High",Table1[[#This Row],[JobSatisfaction]]=4,"Very High")</f>
        <v>Very High</v>
      </c>
      <c r="H1401" s="5">
        <v>2</v>
      </c>
      <c r="I1401" t="str" cm="1">
        <f t="array" ref="I1401">_xlfn.IFS(H1401=1,"low",H1401=2,"medium",H1401=3,"balanced",H1401=4,"Good")</f>
        <v>medium</v>
      </c>
    </row>
    <row r="1402" spans="1:9" x14ac:dyDescent="0.3">
      <c r="A1402" s="14">
        <v>1</v>
      </c>
      <c r="B1402" t="str" cm="1">
        <f t="array" ref="B1402">_xlfn.IFS(Datasets!Q1402=1,"LoW",Table1[[#This Row],[JobSatisfaction]]=2,"Medium",Table1[[#This Row],[JobSatisfaction]]=3,"High",Table1[[#This Row],[JobSatisfaction]]=4,"Very High")</f>
        <v>LoW</v>
      </c>
      <c r="H1402" s="5">
        <v>3</v>
      </c>
      <c r="I1402" t="str" cm="1">
        <f t="array" ref="I1402">_xlfn.IFS(H1402=1,"low",H1402=2,"medium",H1402=3,"balanced",H1402=4,"Good")</f>
        <v>balanced</v>
      </c>
    </row>
    <row r="1403" spans="1:9" x14ac:dyDescent="0.3">
      <c r="A1403" s="13">
        <v>3</v>
      </c>
      <c r="B1403" t="str" cm="1">
        <f t="array" ref="B1403">_xlfn.IFS(Datasets!Q1403=1,"LoW",Table1[[#This Row],[JobSatisfaction]]=2,"Medium",Table1[[#This Row],[JobSatisfaction]]=3,"High",Table1[[#This Row],[JobSatisfaction]]=4,"Very High")</f>
        <v>High</v>
      </c>
      <c r="H1403" s="5">
        <v>3</v>
      </c>
      <c r="I1403" t="str" cm="1">
        <f t="array" ref="I1403">_xlfn.IFS(H1403=1,"low",H1403=2,"medium",H1403=3,"balanced",H1403=4,"Good")</f>
        <v>balanced</v>
      </c>
    </row>
    <row r="1404" spans="1:9" x14ac:dyDescent="0.3">
      <c r="A1404" s="14">
        <v>2</v>
      </c>
      <c r="B1404" t="str" cm="1">
        <f t="array" ref="B1404">_xlfn.IFS(Datasets!Q1404=1,"LoW",Table1[[#This Row],[JobSatisfaction]]=2,"Medium",Table1[[#This Row],[JobSatisfaction]]=3,"High",Table1[[#This Row],[JobSatisfaction]]=4,"Very High")</f>
        <v>Medium</v>
      </c>
      <c r="H1404" s="5">
        <v>3</v>
      </c>
      <c r="I1404" t="str" cm="1">
        <f t="array" ref="I1404">_xlfn.IFS(H1404=1,"low",H1404=2,"medium",H1404=3,"balanced",H1404=4,"Good")</f>
        <v>balanced</v>
      </c>
    </row>
    <row r="1405" spans="1:9" x14ac:dyDescent="0.3">
      <c r="A1405" s="13">
        <v>2</v>
      </c>
      <c r="B1405" t="str" cm="1">
        <f t="array" ref="B1405">_xlfn.IFS(Datasets!Q1405=1,"LoW",Table1[[#This Row],[JobSatisfaction]]=2,"Medium",Table1[[#This Row],[JobSatisfaction]]=3,"High",Table1[[#This Row],[JobSatisfaction]]=4,"Very High")</f>
        <v>Medium</v>
      </c>
      <c r="H1405" s="5">
        <v>2</v>
      </c>
      <c r="I1405" t="str" cm="1">
        <f t="array" ref="I1405">_xlfn.IFS(H1405=1,"low",H1405=2,"medium",H1405=3,"balanced",H1405=4,"Good")</f>
        <v>medium</v>
      </c>
    </row>
    <row r="1406" spans="1:9" x14ac:dyDescent="0.3">
      <c r="A1406" s="14">
        <v>2</v>
      </c>
      <c r="B1406" t="str" cm="1">
        <f t="array" ref="B1406">_xlfn.IFS(Datasets!Q1406=1,"LoW",Table1[[#This Row],[JobSatisfaction]]=2,"Medium",Table1[[#This Row],[JobSatisfaction]]=3,"High",Table1[[#This Row],[JobSatisfaction]]=4,"Very High")</f>
        <v>Medium</v>
      </c>
      <c r="H1406" s="5">
        <v>3</v>
      </c>
      <c r="I1406" t="str" cm="1">
        <f t="array" ref="I1406">_xlfn.IFS(H1406=1,"low",H1406=2,"medium",H1406=3,"balanced",H1406=4,"Good")</f>
        <v>balanced</v>
      </c>
    </row>
    <row r="1407" spans="1:9" x14ac:dyDescent="0.3">
      <c r="A1407" s="13">
        <v>2</v>
      </c>
      <c r="B1407" t="str" cm="1">
        <f t="array" ref="B1407">_xlfn.IFS(Datasets!Q1407=1,"LoW",Table1[[#This Row],[JobSatisfaction]]=2,"Medium",Table1[[#This Row],[JobSatisfaction]]=3,"High",Table1[[#This Row],[JobSatisfaction]]=4,"Very High")</f>
        <v>Medium</v>
      </c>
      <c r="H1407" s="5">
        <v>3</v>
      </c>
      <c r="I1407" t="str" cm="1">
        <f t="array" ref="I1407">_xlfn.IFS(H1407=1,"low",H1407=2,"medium",H1407=3,"balanced",H1407=4,"Good")</f>
        <v>balanced</v>
      </c>
    </row>
    <row r="1408" spans="1:9" x14ac:dyDescent="0.3">
      <c r="A1408" s="14">
        <v>4</v>
      </c>
      <c r="B1408" t="str" cm="1">
        <f t="array" ref="B1408">_xlfn.IFS(Datasets!Q1408=1,"LoW",Table1[[#This Row],[JobSatisfaction]]=2,"Medium",Table1[[#This Row],[JobSatisfaction]]=3,"High",Table1[[#This Row],[JobSatisfaction]]=4,"Very High")</f>
        <v>Very High</v>
      </c>
      <c r="H1408" s="5">
        <v>4</v>
      </c>
      <c r="I1408" t="str" cm="1">
        <f t="array" ref="I1408">_xlfn.IFS(H1408=1,"low",H1408=2,"medium",H1408=3,"balanced",H1408=4,"Good")</f>
        <v>Good</v>
      </c>
    </row>
    <row r="1409" spans="1:9" x14ac:dyDescent="0.3">
      <c r="A1409" s="13">
        <v>3</v>
      </c>
      <c r="B1409" t="str" cm="1">
        <f t="array" ref="B1409">_xlfn.IFS(Datasets!Q1409=1,"LoW",Table1[[#This Row],[JobSatisfaction]]=2,"Medium",Table1[[#This Row],[JobSatisfaction]]=3,"High",Table1[[#This Row],[JobSatisfaction]]=4,"Very High")</f>
        <v>High</v>
      </c>
      <c r="H1409" s="5">
        <v>3</v>
      </c>
      <c r="I1409" t="str" cm="1">
        <f t="array" ref="I1409">_xlfn.IFS(H1409=1,"low",H1409=2,"medium",H1409=3,"balanced",H1409=4,"Good")</f>
        <v>balanced</v>
      </c>
    </row>
    <row r="1410" spans="1:9" x14ac:dyDescent="0.3">
      <c r="A1410" s="14">
        <v>3</v>
      </c>
      <c r="B1410" t="str" cm="1">
        <f t="array" ref="B1410">_xlfn.IFS(Datasets!Q1410=1,"LoW",Table1[[#This Row],[JobSatisfaction]]=2,"Medium",Table1[[#This Row],[JobSatisfaction]]=3,"High",Table1[[#This Row],[JobSatisfaction]]=4,"Very High")</f>
        <v>High</v>
      </c>
      <c r="H1410" s="5">
        <v>4</v>
      </c>
      <c r="I1410" t="str" cm="1">
        <f t="array" ref="I1410">_xlfn.IFS(H1410=1,"low",H1410=2,"medium",H1410=3,"balanced",H1410=4,"Good")</f>
        <v>Good</v>
      </c>
    </row>
    <row r="1411" spans="1:9" x14ac:dyDescent="0.3">
      <c r="A1411" s="13">
        <v>4</v>
      </c>
      <c r="B1411" t="str" cm="1">
        <f t="array" ref="B1411">_xlfn.IFS(Datasets!Q1411=1,"LoW",Table1[[#This Row],[JobSatisfaction]]=2,"Medium",Table1[[#This Row],[JobSatisfaction]]=3,"High",Table1[[#This Row],[JobSatisfaction]]=4,"Very High")</f>
        <v>Very High</v>
      </c>
      <c r="H1411" s="5">
        <v>2</v>
      </c>
      <c r="I1411" t="str" cm="1">
        <f t="array" ref="I1411">_xlfn.IFS(H1411=1,"low",H1411=2,"medium",H1411=3,"balanced",H1411=4,"Good")</f>
        <v>medium</v>
      </c>
    </row>
    <row r="1412" spans="1:9" x14ac:dyDescent="0.3">
      <c r="A1412" s="14">
        <v>3</v>
      </c>
      <c r="B1412" t="str" cm="1">
        <f t="array" ref="B1412">_xlfn.IFS(Datasets!Q1412=1,"LoW",Table1[[#This Row],[JobSatisfaction]]=2,"Medium",Table1[[#This Row],[JobSatisfaction]]=3,"High",Table1[[#This Row],[JobSatisfaction]]=4,"Very High")</f>
        <v>High</v>
      </c>
      <c r="H1412" s="5">
        <v>3</v>
      </c>
      <c r="I1412" t="str" cm="1">
        <f t="array" ref="I1412">_xlfn.IFS(H1412=1,"low",H1412=2,"medium",H1412=3,"balanced",H1412=4,"Good")</f>
        <v>balanced</v>
      </c>
    </row>
    <row r="1413" spans="1:9" x14ac:dyDescent="0.3">
      <c r="A1413" s="13">
        <v>1</v>
      </c>
      <c r="B1413" t="str" cm="1">
        <f t="array" ref="B1413">_xlfn.IFS(Datasets!Q1413=1,"LoW",Table1[[#This Row],[JobSatisfaction]]=2,"Medium",Table1[[#This Row],[JobSatisfaction]]=3,"High",Table1[[#This Row],[JobSatisfaction]]=4,"Very High")</f>
        <v>LoW</v>
      </c>
      <c r="H1413" s="5">
        <v>3</v>
      </c>
      <c r="I1413" t="str" cm="1">
        <f t="array" ref="I1413">_xlfn.IFS(H1413=1,"low",H1413=2,"medium",H1413=3,"balanced",H1413=4,"Good")</f>
        <v>balanced</v>
      </c>
    </row>
    <row r="1414" spans="1:9" x14ac:dyDescent="0.3">
      <c r="A1414" s="14">
        <v>3</v>
      </c>
      <c r="B1414" t="str" cm="1">
        <f t="array" ref="B1414">_xlfn.IFS(Datasets!Q1414=1,"LoW",Table1[[#This Row],[JobSatisfaction]]=2,"Medium",Table1[[#This Row],[JobSatisfaction]]=3,"High",Table1[[#This Row],[JobSatisfaction]]=4,"Very High")</f>
        <v>High</v>
      </c>
      <c r="H1414" s="5">
        <v>4</v>
      </c>
      <c r="I1414" t="str" cm="1">
        <f t="array" ref="I1414">_xlfn.IFS(H1414=1,"low",H1414=2,"medium",H1414=3,"balanced",H1414=4,"Good")</f>
        <v>Good</v>
      </c>
    </row>
    <row r="1415" spans="1:9" x14ac:dyDescent="0.3">
      <c r="A1415" s="13">
        <v>2</v>
      </c>
      <c r="B1415" t="str" cm="1">
        <f t="array" ref="B1415">_xlfn.IFS(Datasets!Q1415=1,"LoW",Table1[[#This Row],[JobSatisfaction]]=2,"Medium",Table1[[#This Row],[JobSatisfaction]]=3,"High",Table1[[#This Row],[JobSatisfaction]]=4,"Very High")</f>
        <v>Medium</v>
      </c>
      <c r="H1415" s="5">
        <v>3</v>
      </c>
      <c r="I1415" t="str" cm="1">
        <f t="array" ref="I1415">_xlfn.IFS(H1415=1,"low",H1415=2,"medium",H1415=3,"balanced",H1415=4,"Good")</f>
        <v>balanced</v>
      </c>
    </row>
    <row r="1416" spans="1:9" x14ac:dyDescent="0.3">
      <c r="A1416" s="14">
        <v>3</v>
      </c>
      <c r="B1416" t="str" cm="1">
        <f t="array" ref="B1416">_xlfn.IFS(Datasets!Q1416=1,"LoW",Table1[[#This Row],[JobSatisfaction]]=2,"Medium",Table1[[#This Row],[JobSatisfaction]]=3,"High",Table1[[#This Row],[JobSatisfaction]]=4,"Very High")</f>
        <v>High</v>
      </c>
      <c r="H1416" s="5">
        <v>2</v>
      </c>
      <c r="I1416" t="str" cm="1">
        <f t="array" ref="I1416">_xlfn.IFS(H1416=1,"low",H1416=2,"medium",H1416=3,"balanced",H1416=4,"Good")</f>
        <v>medium</v>
      </c>
    </row>
    <row r="1417" spans="1:9" x14ac:dyDescent="0.3">
      <c r="A1417" s="13">
        <v>2</v>
      </c>
      <c r="B1417" t="str" cm="1">
        <f t="array" ref="B1417">_xlfn.IFS(Datasets!Q1417=1,"LoW",Table1[[#This Row],[JobSatisfaction]]=2,"Medium",Table1[[#This Row],[JobSatisfaction]]=3,"High",Table1[[#This Row],[JobSatisfaction]]=4,"Very High")</f>
        <v>Medium</v>
      </c>
      <c r="H1417" s="5">
        <v>3</v>
      </c>
      <c r="I1417" t="str" cm="1">
        <f t="array" ref="I1417">_xlfn.IFS(H1417=1,"low",H1417=2,"medium",H1417=3,"balanced",H1417=4,"Good")</f>
        <v>balanced</v>
      </c>
    </row>
    <row r="1418" spans="1:9" x14ac:dyDescent="0.3">
      <c r="A1418" s="14">
        <v>2</v>
      </c>
      <c r="B1418" t="str" cm="1">
        <f t="array" ref="B1418">_xlfn.IFS(Datasets!Q1418=1,"LoW",Table1[[#This Row],[JobSatisfaction]]=2,"Medium",Table1[[#This Row],[JobSatisfaction]]=3,"High",Table1[[#This Row],[JobSatisfaction]]=4,"Very High")</f>
        <v>Medium</v>
      </c>
      <c r="H1418" s="5">
        <v>3</v>
      </c>
      <c r="I1418" t="str" cm="1">
        <f t="array" ref="I1418">_xlfn.IFS(H1418=1,"low",H1418=2,"medium",H1418=3,"balanced",H1418=4,"Good")</f>
        <v>balanced</v>
      </c>
    </row>
    <row r="1419" spans="1:9" x14ac:dyDescent="0.3">
      <c r="A1419" s="13">
        <v>4</v>
      </c>
      <c r="B1419" t="str" cm="1">
        <f t="array" ref="B1419">_xlfn.IFS(Datasets!Q1419=1,"LoW",Table1[[#This Row],[JobSatisfaction]]=2,"Medium",Table1[[#This Row],[JobSatisfaction]]=3,"High",Table1[[#This Row],[JobSatisfaction]]=4,"Very High")</f>
        <v>Very High</v>
      </c>
      <c r="H1419" s="5">
        <v>3</v>
      </c>
      <c r="I1419" t="str" cm="1">
        <f t="array" ref="I1419">_xlfn.IFS(H1419=1,"low",H1419=2,"medium",H1419=3,"balanced",H1419=4,"Good")</f>
        <v>balanced</v>
      </c>
    </row>
    <row r="1420" spans="1:9" x14ac:dyDescent="0.3">
      <c r="A1420" s="14">
        <v>3</v>
      </c>
      <c r="B1420" t="str" cm="1">
        <f t="array" ref="B1420">_xlfn.IFS(Datasets!Q1420=1,"LoW",Table1[[#This Row],[JobSatisfaction]]=2,"Medium",Table1[[#This Row],[JobSatisfaction]]=3,"High",Table1[[#This Row],[JobSatisfaction]]=4,"Very High")</f>
        <v>High</v>
      </c>
      <c r="H1420" s="5">
        <v>2</v>
      </c>
      <c r="I1420" t="str" cm="1">
        <f t="array" ref="I1420">_xlfn.IFS(H1420=1,"low",H1420=2,"medium",H1420=3,"balanced",H1420=4,"Good")</f>
        <v>medium</v>
      </c>
    </row>
    <row r="1421" spans="1:9" x14ac:dyDescent="0.3">
      <c r="A1421" s="13">
        <v>1</v>
      </c>
      <c r="B1421" t="str" cm="1">
        <f t="array" ref="B1421">_xlfn.IFS(Datasets!Q1421=1,"LoW",Table1[[#This Row],[JobSatisfaction]]=2,"Medium",Table1[[#This Row],[JobSatisfaction]]=3,"High",Table1[[#This Row],[JobSatisfaction]]=4,"Very High")</f>
        <v>LoW</v>
      </c>
      <c r="H1421" s="5">
        <v>2</v>
      </c>
      <c r="I1421" t="str" cm="1">
        <f t="array" ref="I1421">_xlfn.IFS(H1421=1,"low",H1421=2,"medium",H1421=3,"balanced",H1421=4,"Good")</f>
        <v>medium</v>
      </c>
    </row>
    <row r="1422" spans="1:9" x14ac:dyDescent="0.3">
      <c r="A1422" s="14">
        <v>3</v>
      </c>
      <c r="B1422" t="str" cm="1">
        <f t="array" ref="B1422">_xlfn.IFS(Datasets!Q1422=1,"LoW",Table1[[#This Row],[JobSatisfaction]]=2,"Medium",Table1[[#This Row],[JobSatisfaction]]=3,"High",Table1[[#This Row],[JobSatisfaction]]=4,"Very High")</f>
        <v>High</v>
      </c>
      <c r="H1422" s="5">
        <v>3</v>
      </c>
      <c r="I1422" t="str" cm="1">
        <f t="array" ref="I1422">_xlfn.IFS(H1422=1,"low",H1422=2,"medium",H1422=3,"balanced",H1422=4,"Good")</f>
        <v>balanced</v>
      </c>
    </row>
    <row r="1423" spans="1:9" x14ac:dyDescent="0.3">
      <c r="A1423" s="13">
        <v>1</v>
      </c>
      <c r="B1423" t="str" cm="1">
        <f t="array" ref="B1423">_xlfn.IFS(Datasets!Q1423=1,"LoW",Table1[[#This Row],[JobSatisfaction]]=2,"Medium",Table1[[#This Row],[JobSatisfaction]]=3,"High",Table1[[#This Row],[JobSatisfaction]]=4,"Very High")</f>
        <v>LoW</v>
      </c>
      <c r="H1423" s="5">
        <v>3</v>
      </c>
      <c r="I1423" t="str" cm="1">
        <f t="array" ref="I1423">_xlfn.IFS(H1423=1,"low",H1423=2,"medium",H1423=3,"balanced",H1423=4,"Good")</f>
        <v>balanced</v>
      </c>
    </row>
    <row r="1424" spans="1:9" x14ac:dyDescent="0.3">
      <c r="A1424" s="14">
        <v>1</v>
      </c>
      <c r="B1424" t="str" cm="1">
        <f t="array" ref="B1424">_xlfn.IFS(Datasets!Q1424=1,"LoW",Table1[[#This Row],[JobSatisfaction]]=2,"Medium",Table1[[#This Row],[JobSatisfaction]]=3,"High",Table1[[#This Row],[JobSatisfaction]]=4,"Very High")</f>
        <v>LoW</v>
      </c>
      <c r="H1424" s="5">
        <v>3</v>
      </c>
      <c r="I1424" t="str" cm="1">
        <f t="array" ref="I1424">_xlfn.IFS(H1424=1,"low",H1424=2,"medium",H1424=3,"balanced",H1424=4,"Good")</f>
        <v>balanced</v>
      </c>
    </row>
    <row r="1425" spans="1:9" x14ac:dyDescent="0.3">
      <c r="A1425" s="13">
        <v>4</v>
      </c>
      <c r="B1425" t="str" cm="1">
        <f t="array" ref="B1425">_xlfn.IFS(Datasets!Q1425=1,"LoW",Table1[[#This Row],[JobSatisfaction]]=2,"Medium",Table1[[#This Row],[JobSatisfaction]]=3,"High",Table1[[#This Row],[JobSatisfaction]]=4,"Very High")</f>
        <v>Very High</v>
      </c>
      <c r="H1425" s="5">
        <v>2</v>
      </c>
      <c r="I1425" t="str" cm="1">
        <f t="array" ref="I1425">_xlfn.IFS(H1425=1,"low",H1425=2,"medium",H1425=3,"balanced",H1425=4,"Good")</f>
        <v>medium</v>
      </c>
    </row>
    <row r="1426" spans="1:9" x14ac:dyDescent="0.3">
      <c r="A1426" s="14">
        <v>3</v>
      </c>
      <c r="B1426" t="str" cm="1">
        <f t="array" ref="B1426">_xlfn.IFS(Datasets!Q1426=1,"LoW",Table1[[#This Row],[JobSatisfaction]]=2,"Medium",Table1[[#This Row],[JobSatisfaction]]=3,"High",Table1[[#This Row],[JobSatisfaction]]=4,"Very High")</f>
        <v>High</v>
      </c>
      <c r="H1426" s="5">
        <v>4</v>
      </c>
      <c r="I1426" t="str" cm="1">
        <f t="array" ref="I1426">_xlfn.IFS(H1426=1,"low",H1426=2,"medium",H1426=3,"balanced",H1426=4,"Good")</f>
        <v>Good</v>
      </c>
    </row>
    <row r="1427" spans="1:9" x14ac:dyDescent="0.3">
      <c r="A1427" s="13">
        <v>2</v>
      </c>
      <c r="B1427" t="str" cm="1">
        <f t="array" ref="B1427">_xlfn.IFS(Datasets!Q1427=1,"LoW",Table1[[#This Row],[JobSatisfaction]]=2,"Medium",Table1[[#This Row],[JobSatisfaction]]=3,"High",Table1[[#This Row],[JobSatisfaction]]=4,"Very High")</f>
        <v>Medium</v>
      </c>
      <c r="H1427" s="5">
        <v>3</v>
      </c>
      <c r="I1427" t="str" cm="1">
        <f t="array" ref="I1427">_xlfn.IFS(H1427=1,"low",H1427=2,"medium",H1427=3,"balanced",H1427=4,"Good")</f>
        <v>balanced</v>
      </c>
    </row>
    <row r="1428" spans="1:9" x14ac:dyDescent="0.3">
      <c r="A1428" s="14">
        <v>3</v>
      </c>
      <c r="B1428" t="str" cm="1">
        <f t="array" ref="B1428">_xlfn.IFS(Datasets!Q1428=1,"LoW",Table1[[#This Row],[JobSatisfaction]]=2,"Medium",Table1[[#This Row],[JobSatisfaction]]=3,"High",Table1[[#This Row],[JobSatisfaction]]=4,"Very High")</f>
        <v>High</v>
      </c>
      <c r="H1428" s="5">
        <v>2</v>
      </c>
      <c r="I1428" t="str" cm="1">
        <f t="array" ref="I1428">_xlfn.IFS(H1428=1,"low",H1428=2,"medium",H1428=3,"balanced",H1428=4,"Good")</f>
        <v>medium</v>
      </c>
    </row>
    <row r="1429" spans="1:9" x14ac:dyDescent="0.3">
      <c r="A1429" s="13">
        <v>4</v>
      </c>
      <c r="B1429" t="str" cm="1">
        <f t="array" ref="B1429">_xlfn.IFS(Datasets!Q1429=1,"LoW",Table1[[#This Row],[JobSatisfaction]]=2,"Medium",Table1[[#This Row],[JobSatisfaction]]=3,"High",Table1[[#This Row],[JobSatisfaction]]=4,"Very High")</f>
        <v>Very High</v>
      </c>
      <c r="H1429" s="5">
        <v>2</v>
      </c>
      <c r="I1429" t="str" cm="1">
        <f t="array" ref="I1429">_xlfn.IFS(H1429=1,"low",H1429=2,"medium",H1429=3,"balanced",H1429=4,"Good")</f>
        <v>medium</v>
      </c>
    </row>
    <row r="1430" spans="1:9" x14ac:dyDescent="0.3">
      <c r="A1430" s="14">
        <v>2</v>
      </c>
      <c r="B1430" t="str" cm="1">
        <f t="array" ref="B1430">_xlfn.IFS(Datasets!Q1430=1,"LoW",Table1[[#This Row],[JobSatisfaction]]=2,"Medium",Table1[[#This Row],[JobSatisfaction]]=3,"High",Table1[[#This Row],[JobSatisfaction]]=4,"Very High")</f>
        <v>Medium</v>
      </c>
      <c r="H1430" s="5">
        <v>2</v>
      </c>
      <c r="I1430" t="str" cm="1">
        <f t="array" ref="I1430">_xlfn.IFS(H1430=1,"low",H1430=2,"medium",H1430=3,"balanced",H1430=4,"Good")</f>
        <v>medium</v>
      </c>
    </row>
    <row r="1431" spans="1:9" x14ac:dyDescent="0.3">
      <c r="A1431" s="13">
        <v>4</v>
      </c>
      <c r="B1431" t="str" cm="1">
        <f t="array" ref="B1431">_xlfn.IFS(Datasets!Q1431=1,"LoW",Table1[[#This Row],[JobSatisfaction]]=2,"Medium",Table1[[#This Row],[JobSatisfaction]]=3,"High",Table1[[#This Row],[JobSatisfaction]]=4,"Very High")</f>
        <v>Very High</v>
      </c>
      <c r="H1431" s="5">
        <v>3</v>
      </c>
      <c r="I1431" t="str" cm="1">
        <f t="array" ref="I1431">_xlfn.IFS(H1431=1,"low",H1431=2,"medium",H1431=3,"balanced",H1431=4,"Good")</f>
        <v>balanced</v>
      </c>
    </row>
    <row r="1432" spans="1:9" x14ac:dyDescent="0.3">
      <c r="A1432" s="14">
        <v>3</v>
      </c>
      <c r="B1432" t="str" cm="1">
        <f t="array" ref="B1432">_xlfn.IFS(Datasets!Q1432=1,"LoW",Table1[[#This Row],[JobSatisfaction]]=2,"Medium",Table1[[#This Row],[JobSatisfaction]]=3,"High",Table1[[#This Row],[JobSatisfaction]]=4,"Very High")</f>
        <v>High</v>
      </c>
      <c r="H1432" s="5">
        <v>3</v>
      </c>
      <c r="I1432" t="str" cm="1">
        <f t="array" ref="I1432">_xlfn.IFS(H1432=1,"low",H1432=2,"medium",H1432=3,"balanced",H1432=4,"Good")</f>
        <v>balanced</v>
      </c>
    </row>
    <row r="1433" spans="1:9" x14ac:dyDescent="0.3">
      <c r="A1433" s="13">
        <v>3</v>
      </c>
      <c r="B1433" t="str" cm="1">
        <f t="array" ref="B1433">_xlfn.IFS(Datasets!Q1433=1,"LoW",Table1[[#This Row],[JobSatisfaction]]=2,"Medium",Table1[[#This Row],[JobSatisfaction]]=3,"High",Table1[[#This Row],[JobSatisfaction]]=4,"Very High")</f>
        <v>High</v>
      </c>
      <c r="H1433" s="5">
        <v>3</v>
      </c>
      <c r="I1433" t="str" cm="1">
        <f t="array" ref="I1433">_xlfn.IFS(H1433=1,"low",H1433=2,"medium",H1433=3,"balanced",H1433=4,"Good")</f>
        <v>balanced</v>
      </c>
    </row>
    <row r="1434" spans="1:9" x14ac:dyDescent="0.3">
      <c r="A1434" s="14">
        <v>1</v>
      </c>
      <c r="B1434" t="str" cm="1">
        <f t="array" ref="B1434">_xlfn.IFS(Datasets!Q1434=1,"LoW",Table1[[#This Row],[JobSatisfaction]]=2,"Medium",Table1[[#This Row],[JobSatisfaction]]=3,"High",Table1[[#This Row],[JobSatisfaction]]=4,"Very High")</f>
        <v>LoW</v>
      </c>
      <c r="H1434" s="5">
        <v>2</v>
      </c>
      <c r="I1434" t="str" cm="1">
        <f t="array" ref="I1434">_xlfn.IFS(H1434=1,"low",H1434=2,"medium",H1434=3,"balanced",H1434=4,"Good")</f>
        <v>medium</v>
      </c>
    </row>
    <row r="1435" spans="1:9" x14ac:dyDescent="0.3">
      <c r="A1435" s="13">
        <v>3</v>
      </c>
      <c r="B1435" t="str" cm="1">
        <f t="array" ref="B1435">_xlfn.IFS(Datasets!Q1435=1,"LoW",Table1[[#This Row],[JobSatisfaction]]=2,"Medium",Table1[[#This Row],[JobSatisfaction]]=3,"High",Table1[[#This Row],[JobSatisfaction]]=4,"Very High")</f>
        <v>High</v>
      </c>
      <c r="H1435" s="5">
        <v>3</v>
      </c>
      <c r="I1435" t="str" cm="1">
        <f t="array" ref="I1435">_xlfn.IFS(H1435=1,"low",H1435=2,"medium",H1435=3,"balanced",H1435=4,"Good")</f>
        <v>balanced</v>
      </c>
    </row>
    <row r="1436" spans="1:9" x14ac:dyDescent="0.3">
      <c r="A1436" s="14">
        <v>4</v>
      </c>
      <c r="B1436" t="str" cm="1">
        <f t="array" ref="B1436">_xlfn.IFS(Datasets!Q1436=1,"LoW",Table1[[#This Row],[JobSatisfaction]]=2,"Medium",Table1[[#This Row],[JobSatisfaction]]=3,"High",Table1[[#This Row],[JobSatisfaction]]=4,"Very High")</f>
        <v>Very High</v>
      </c>
      <c r="H1436" s="5">
        <v>3</v>
      </c>
      <c r="I1436" t="str" cm="1">
        <f t="array" ref="I1436">_xlfn.IFS(H1436=1,"low",H1436=2,"medium",H1436=3,"balanced",H1436=4,"Good")</f>
        <v>balanced</v>
      </c>
    </row>
    <row r="1437" spans="1:9" x14ac:dyDescent="0.3">
      <c r="A1437" s="13">
        <v>4</v>
      </c>
      <c r="B1437" t="str" cm="1">
        <f t="array" ref="B1437">_xlfn.IFS(Datasets!Q1437=1,"LoW",Table1[[#This Row],[JobSatisfaction]]=2,"Medium",Table1[[#This Row],[JobSatisfaction]]=3,"High",Table1[[#This Row],[JobSatisfaction]]=4,"Very High")</f>
        <v>Very High</v>
      </c>
      <c r="H1437" s="5">
        <v>3</v>
      </c>
      <c r="I1437" t="str" cm="1">
        <f t="array" ref="I1437">_xlfn.IFS(H1437=1,"low",H1437=2,"medium",H1437=3,"balanced",H1437=4,"Good")</f>
        <v>balanced</v>
      </c>
    </row>
    <row r="1438" spans="1:9" x14ac:dyDescent="0.3">
      <c r="A1438" s="14">
        <v>3</v>
      </c>
      <c r="B1438" t="str" cm="1">
        <f t="array" ref="B1438">_xlfn.IFS(Datasets!Q1438=1,"LoW",Table1[[#This Row],[JobSatisfaction]]=2,"Medium",Table1[[#This Row],[JobSatisfaction]]=3,"High",Table1[[#This Row],[JobSatisfaction]]=4,"Very High")</f>
        <v>High</v>
      </c>
      <c r="H1438" s="5">
        <v>2</v>
      </c>
      <c r="I1438" t="str" cm="1">
        <f t="array" ref="I1438">_xlfn.IFS(H1438=1,"low",H1438=2,"medium",H1438=3,"balanced",H1438=4,"Good")</f>
        <v>medium</v>
      </c>
    </row>
    <row r="1439" spans="1:9" x14ac:dyDescent="0.3">
      <c r="A1439" s="13">
        <v>2</v>
      </c>
      <c r="B1439" t="str" cm="1">
        <f t="array" ref="B1439">_xlfn.IFS(Datasets!Q1439=1,"LoW",Table1[[#This Row],[JobSatisfaction]]=2,"Medium",Table1[[#This Row],[JobSatisfaction]]=3,"High",Table1[[#This Row],[JobSatisfaction]]=4,"Very High")</f>
        <v>Medium</v>
      </c>
      <c r="H1439" s="5">
        <v>3</v>
      </c>
      <c r="I1439" t="str" cm="1">
        <f t="array" ref="I1439">_xlfn.IFS(H1439=1,"low",H1439=2,"medium",H1439=3,"balanced",H1439=4,"Good")</f>
        <v>balanced</v>
      </c>
    </row>
    <row r="1440" spans="1:9" x14ac:dyDescent="0.3">
      <c r="A1440" s="14">
        <v>4</v>
      </c>
      <c r="B1440" t="str" cm="1">
        <f t="array" ref="B1440">_xlfn.IFS(Datasets!Q1440=1,"LoW",Table1[[#This Row],[JobSatisfaction]]=2,"Medium",Table1[[#This Row],[JobSatisfaction]]=3,"High",Table1[[#This Row],[JobSatisfaction]]=4,"Very High")</f>
        <v>Very High</v>
      </c>
      <c r="H1440" s="5">
        <v>3</v>
      </c>
      <c r="I1440" t="str" cm="1">
        <f t="array" ref="I1440">_xlfn.IFS(H1440=1,"low",H1440=2,"medium",H1440=3,"balanced",H1440=4,"Good")</f>
        <v>balanced</v>
      </c>
    </row>
    <row r="1441" spans="1:9" x14ac:dyDescent="0.3">
      <c r="A1441" s="13">
        <v>4</v>
      </c>
      <c r="B1441" t="str" cm="1">
        <f t="array" ref="B1441">_xlfn.IFS(Datasets!Q1441=1,"LoW",Table1[[#This Row],[JobSatisfaction]]=2,"Medium",Table1[[#This Row],[JobSatisfaction]]=3,"High",Table1[[#This Row],[JobSatisfaction]]=4,"Very High")</f>
        <v>Very High</v>
      </c>
      <c r="H1441" s="5">
        <v>3</v>
      </c>
      <c r="I1441" t="str" cm="1">
        <f t="array" ref="I1441">_xlfn.IFS(H1441=1,"low",H1441=2,"medium",H1441=3,"balanced",H1441=4,"Good")</f>
        <v>balanced</v>
      </c>
    </row>
    <row r="1442" spans="1:9" x14ac:dyDescent="0.3">
      <c r="A1442" s="14">
        <v>3</v>
      </c>
      <c r="B1442" t="str" cm="1">
        <f t="array" ref="B1442">_xlfn.IFS(Datasets!Q1442=1,"LoW",Table1[[#This Row],[JobSatisfaction]]=2,"Medium",Table1[[#This Row],[JobSatisfaction]]=3,"High",Table1[[#This Row],[JobSatisfaction]]=4,"Very High")</f>
        <v>High</v>
      </c>
      <c r="H1442" s="5">
        <v>3</v>
      </c>
      <c r="I1442" t="str" cm="1">
        <f t="array" ref="I1442">_xlfn.IFS(H1442=1,"low",H1442=2,"medium",H1442=3,"balanced",H1442=4,"Good")</f>
        <v>balanced</v>
      </c>
    </row>
    <row r="1443" spans="1:9" x14ac:dyDescent="0.3">
      <c r="A1443" s="13">
        <v>3</v>
      </c>
      <c r="B1443" t="str" cm="1">
        <f t="array" ref="B1443">_xlfn.IFS(Datasets!Q1443=1,"LoW",Table1[[#This Row],[JobSatisfaction]]=2,"Medium",Table1[[#This Row],[JobSatisfaction]]=3,"High",Table1[[#This Row],[JobSatisfaction]]=4,"Very High")</f>
        <v>High</v>
      </c>
      <c r="H1443" s="5">
        <v>3</v>
      </c>
      <c r="I1443" t="str" cm="1">
        <f t="array" ref="I1443">_xlfn.IFS(H1443=1,"low",H1443=2,"medium",H1443=3,"balanced",H1443=4,"Good")</f>
        <v>balanced</v>
      </c>
    </row>
    <row r="1444" spans="1:9" x14ac:dyDescent="0.3">
      <c r="A1444" s="14">
        <v>1</v>
      </c>
      <c r="B1444" t="str" cm="1">
        <f t="array" ref="B1444">_xlfn.IFS(Datasets!Q1444=1,"LoW",Table1[[#This Row],[JobSatisfaction]]=2,"Medium",Table1[[#This Row],[JobSatisfaction]]=3,"High",Table1[[#This Row],[JobSatisfaction]]=4,"Very High")</f>
        <v>LoW</v>
      </c>
      <c r="H1444" s="5">
        <v>2</v>
      </c>
      <c r="I1444" t="str" cm="1">
        <f t="array" ref="I1444">_xlfn.IFS(H1444=1,"low",H1444=2,"medium",H1444=3,"balanced",H1444=4,"Good")</f>
        <v>medium</v>
      </c>
    </row>
    <row r="1445" spans="1:9" x14ac:dyDescent="0.3">
      <c r="A1445" s="13">
        <v>3</v>
      </c>
      <c r="B1445" t="str" cm="1">
        <f t="array" ref="B1445">_xlfn.IFS(Datasets!Q1445=1,"LoW",Table1[[#This Row],[JobSatisfaction]]=2,"Medium",Table1[[#This Row],[JobSatisfaction]]=3,"High",Table1[[#This Row],[JobSatisfaction]]=4,"Very High")</f>
        <v>High</v>
      </c>
      <c r="H1445" s="5">
        <v>4</v>
      </c>
      <c r="I1445" t="str" cm="1">
        <f t="array" ref="I1445">_xlfn.IFS(H1445=1,"low",H1445=2,"medium",H1445=3,"balanced",H1445=4,"Good")</f>
        <v>Good</v>
      </c>
    </row>
    <row r="1446" spans="1:9" x14ac:dyDescent="0.3">
      <c r="A1446" s="14">
        <v>4</v>
      </c>
      <c r="B1446" t="str" cm="1">
        <f t="array" ref="B1446">_xlfn.IFS(Datasets!Q1446=1,"LoW",Table1[[#This Row],[JobSatisfaction]]=2,"Medium",Table1[[#This Row],[JobSatisfaction]]=3,"High",Table1[[#This Row],[JobSatisfaction]]=4,"Very High")</f>
        <v>Very High</v>
      </c>
      <c r="H1446" s="5">
        <v>2</v>
      </c>
      <c r="I1446" t="str" cm="1">
        <f t="array" ref="I1446">_xlfn.IFS(H1446=1,"low",H1446=2,"medium",H1446=3,"balanced",H1446=4,"Good")</f>
        <v>medium</v>
      </c>
    </row>
    <row r="1447" spans="1:9" x14ac:dyDescent="0.3">
      <c r="A1447" s="13">
        <v>3</v>
      </c>
      <c r="B1447" t="str" cm="1">
        <f t="array" ref="B1447">_xlfn.IFS(Datasets!Q1447=1,"LoW",Table1[[#This Row],[JobSatisfaction]]=2,"Medium",Table1[[#This Row],[JobSatisfaction]]=3,"High",Table1[[#This Row],[JobSatisfaction]]=4,"Very High")</f>
        <v>High</v>
      </c>
      <c r="H1447" s="5">
        <v>3</v>
      </c>
      <c r="I1447" t="str" cm="1">
        <f t="array" ref="I1447">_xlfn.IFS(H1447=1,"low",H1447=2,"medium",H1447=3,"balanced",H1447=4,"Good")</f>
        <v>balanced</v>
      </c>
    </row>
    <row r="1448" spans="1:9" x14ac:dyDescent="0.3">
      <c r="A1448" s="14">
        <v>3</v>
      </c>
      <c r="B1448" t="str" cm="1">
        <f t="array" ref="B1448">_xlfn.IFS(Datasets!Q1448=1,"LoW",Table1[[#This Row],[JobSatisfaction]]=2,"Medium",Table1[[#This Row],[JobSatisfaction]]=3,"High",Table1[[#This Row],[JobSatisfaction]]=4,"Very High")</f>
        <v>High</v>
      </c>
      <c r="H1448" s="5">
        <v>3</v>
      </c>
      <c r="I1448" t="str" cm="1">
        <f t="array" ref="I1448">_xlfn.IFS(H1448=1,"low",H1448=2,"medium",H1448=3,"balanced",H1448=4,"Good")</f>
        <v>balanced</v>
      </c>
    </row>
    <row r="1449" spans="1:9" x14ac:dyDescent="0.3">
      <c r="A1449" s="13">
        <v>4</v>
      </c>
      <c r="B1449" t="str" cm="1">
        <f t="array" ref="B1449">_xlfn.IFS(Datasets!Q1449=1,"LoW",Table1[[#This Row],[JobSatisfaction]]=2,"Medium",Table1[[#This Row],[JobSatisfaction]]=3,"High",Table1[[#This Row],[JobSatisfaction]]=4,"Very High")</f>
        <v>Very High</v>
      </c>
      <c r="H1449" s="5">
        <v>4</v>
      </c>
      <c r="I1449" t="str" cm="1">
        <f t="array" ref="I1449">_xlfn.IFS(H1449=1,"low",H1449=2,"medium",H1449=3,"balanced",H1449=4,"Good")</f>
        <v>Good</v>
      </c>
    </row>
    <row r="1450" spans="1:9" x14ac:dyDescent="0.3">
      <c r="A1450" s="14">
        <v>4</v>
      </c>
      <c r="B1450" t="str" cm="1">
        <f t="array" ref="B1450">_xlfn.IFS(Datasets!Q1450=1,"LoW",Table1[[#This Row],[JobSatisfaction]]=2,"Medium",Table1[[#This Row],[JobSatisfaction]]=3,"High",Table1[[#This Row],[JobSatisfaction]]=4,"Very High")</f>
        <v>Very High</v>
      </c>
      <c r="H1450" s="5">
        <v>2</v>
      </c>
      <c r="I1450" t="str" cm="1">
        <f t="array" ref="I1450">_xlfn.IFS(H1450=1,"low",H1450=2,"medium",H1450=3,"balanced",H1450=4,"Good")</f>
        <v>medium</v>
      </c>
    </row>
    <row r="1451" spans="1:9" x14ac:dyDescent="0.3">
      <c r="A1451" s="13">
        <v>3</v>
      </c>
      <c r="B1451" t="str" cm="1">
        <f t="array" ref="B1451">_xlfn.IFS(Datasets!Q1451=1,"LoW",Table1[[#This Row],[JobSatisfaction]]=2,"Medium",Table1[[#This Row],[JobSatisfaction]]=3,"High",Table1[[#This Row],[JobSatisfaction]]=4,"Very High")</f>
        <v>High</v>
      </c>
      <c r="H1451" s="5">
        <v>3</v>
      </c>
      <c r="I1451" t="str" cm="1">
        <f t="array" ref="I1451">_xlfn.IFS(H1451=1,"low",H1451=2,"medium",H1451=3,"balanced",H1451=4,"Good")</f>
        <v>balanced</v>
      </c>
    </row>
    <row r="1452" spans="1:9" x14ac:dyDescent="0.3">
      <c r="A1452" s="14">
        <v>3</v>
      </c>
      <c r="B1452" t="str" cm="1">
        <f t="array" ref="B1452">_xlfn.IFS(Datasets!Q1452=1,"LoW",Table1[[#This Row],[JobSatisfaction]]=2,"Medium",Table1[[#This Row],[JobSatisfaction]]=3,"High",Table1[[#This Row],[JobSatisfaction]]=4,"Very High")</f>
        <v>High</v>
      </c>
      <c r="H1452" s="5">
        <v>3</v>
      </c>
      <c r="I1452" t="str" cm="1">
        <f t="array" ref="I1452">_xlfn.IFS(H1452=1,"low",H1452=2,"medium",H1452=3,"balanced",H1452=4,"Good")</f>
        <v>balanced</v>
      </c>
    </row>
    <row r="1453" spans="1:9" x14ac:dyDescent="0.3">
      <c r="A1453" s="13">
        <v>1</v>
      </c>
      <c r="B1453" t="str" cm="1">
        <f t="array" ref="B1453">_xlfn.IFS(Datasets!Q1453=1,"LoW",Table1[[#This Row],[JobSatisfaction]]=2,"Medium",Table1[[#This Row],[JobSatisfaction]]=3,"High",Table1[[#This Row],[JobSatisfaction]]=4,"Very High")</f>
        <v>LoW</v>
      </c>
      <c r="H1453" s="5">
        <v>1</v>
      </c>
      <c r="I1453" t="str" cm="1">
        <f t="array" ref="I1453">_xlfn.IFS(H1453=1,"low",H1453=2,"medium",H1453=3,"balanced",H1453=4,"Good")</f>
        <v>low</v>
      </c>
    </row>
    <row r="1454" spans="1:9" x14ac:dyDescent="0.3">
      <c r="A1454" s="14">
        <v>4</v>
      </c>
      <c r="B1454" t="str" cm="1">
        <f t="array" ref="B1454">_xlfn.IFS(Datasets!Q1454=1,"LoW",Table1[[#This Row],[JobSatisfaction]]=2,"Medium",Table1[[#This Row],[JobSatisfaction]]=3,"High",Table1[[#This Row],[JobSatisfaction]]=4,"Very High")</f>
        <v>Very High</v>
      </c>
      <c r="H1454" s="5">
        <v>3</v>
      </c>
      <c r="I1454" t="str" cm="1">
        <f t="array" ref="I1454">_xlfn.IFS(H1454=1,"low",H1454=2,"medium",H1454=3,"balanced",H1454=4,"Good")</f>
        <v>balanced</v>
      </c>
    </row>
    <row r="1455" spans="1:9" x14ac:dyDescent="0.3">
      <c r="A1455" s="13">
        <v>4</v>
      </c>
      <c r="B1455" t="str" cm="1">
        <f t="array" ref="B1455">_xlfn.IFS(Datasets!Q1455=1,"LoW",Table1[[#This Row],[JobSatisfaction]]=2,"Medium",Table1[[#This Row],[JobSatisfaction]]=3,"High",Table1[[#This Row],[JobSatisfaction]]=4,"Very High")</f>
        <v>Very High</v>
      </c>
      <c r="H1455" s="5">
        <v>3</v>
      </c>
      <c r="I1455" t="str" cm="1">
        <f t="array" ref="I1455">_xlfn.IFS(H1455=1,"low",H1455=2,"medium",H1455=3,"balanced",H1455=4,"Good")</f>
        <v>balanced</v>
      </c>
    </row>
    <row r="1456" spans="1:9" x14ac:dyDescent="0.3">
      <c r="A1456" s="14">
        <v>3</v>
      </c>
      <c r="B1456" t="str" cm="1">
        <f t="array" ref="B1456">_xlfn.IFS(Datasets!Q1456=1,"LoW",Table1[[#This Row],[JobSatisfaction]]=2,"Medium",Table1[[#This Row],[JobSatisfaction]]=3,"High",Table1[[#This Row],[JobSatisfaction]]=4,"Very High")</f>
        <v>High</v>
      </c>
      <c r="H1456" s="5">
        <v>4</v>
      </c>
      <c r="I1456" t="str" cm="1">
        <f t="array" ref="I1456">_xlfn.IFS(H1456=1,"low",H1456=2,"medium",H1456=3,"balanced",H1456=4,"Good")</f>
        <v>Good</v>
      </c>
    </row>
    <row r="1457" spans="1:9" x14ac:dyDescent="0.3">
      <c r="A1457" s="13">
        <v>4</v>
      </c>
      <c r="B1457" t="str" cm="1">
        <f t="array" ref="B1457">_xlfn.IFS(Datasets!Q1457=1,"LoW",Table1[[#This Row],[JobSatisfaction]]=2,"Medium",Table1[[#This Row],[JobSatisfaction]]=3,"High",Table1[[#This Row],[JobSatisfaction]]=4,"Very High")</f>
        <v>Very High</v>
      </c>
      <c r="H1457" s="5">
        <v>3</v>
      </c>
      <c r="I1457" t="str" cm="1">
        <f t="array" ref="I1457">_xlfn.IFS(H1457=1,"low",H1457=2,"medium",H1457=3,"balanced",H1457=4,"Good")</f>
        <v>balanced</v>
      </c>
    </row>
    <row r="1458" spans="1:9" x14ac:dyDescent="0.3">
      <c r="A1458" s="14">
        <v>2</v>
      </c>
      <c r="B1458" t="str" cm="1">
        <f t="array" ref="B1458">_xlfn.IFS(Datasets!Q1458=1,"LoW",Table1[[#This Row],[JobSatisfaction]]=2,"Medium",Table1[[#This Row],[JobSatisfaction]]=3,"High",Table1[[#This Row],[JobSatisfaction]]=4,"Very High")</f>
        <v>Medium</v>
      </c>
      <c r="H1458" s="5">
        <v>3</v>
      </c>
      <c r="I1458" t="str" cm="1">
        <f t="array" ref="I1458">_xlfn.IFS(H1458=1,"low",H1458=2,"medium",H1458=3,"balanced",H1458=4,"Good")</f>
        <v>balanced</v>
      </c>
    </row>
    <row r="1459" spans="1:9" x14ac:dyDescent="0.3">
      <c r="A1459" s="13">
        <v>3</v>
      </c>
      <c r="B1459" t="str" cm="1">
        <f t="array" ref="B1459">_xlfn.IFS(Datasets!Q1459=1,"LoW",Table1[[#This Row],[JobSatisfaction]]=2,"Medium",Table1[[#This Row],[JobSatisfaction]]=3,"High",Table1[[#This Row],[JobSatisfaction]]=4,"Very High")</f>
        <v>High</v>
      </c>
      <c r="H1459" s="5">
        <v>3</v>
      </c>
      <c r="I1459" t="str" cm="1">
        <f t="array" ref="I1459">_xlfn.IFS(H1459=1,"low",H1459=2,"medium",H1459=3,"balanced",H1459=4,"Good")</f>
        <v>balanced</v>
      </c>
    </row>
    <row r="1460" spans="1:9" x14ac:dyDescent="0.3">
      <c r="A1460" s="14">
        <v>2</v>
      </c>
      <c r="B1460" t="str" cm="1">
        <f t="array" ref="B1460">_xlfn.IFS(Datasets!Q1460=1,"LoW",Table1[[#This Row],[JobSatisfaction]]=2,"Medium",Table1[[#This Row],[JobSatisfaction]]=3,"High",Table1[[#This Row],[JobSatisfaction]]=4,"Very High")</f>
        <v>Medium</v>
      </c>
      <c r="H1460" s="5">
        <v>3</v>
      </c>
      <c r="I1460" t="str" cm="1">
        <f t="array" ref="I1460">_xlfn.IFS(H1460=1,"low",H1460=2,"medium",H1460=3,"balanced",H1460=4,"Good")</f>
        <v>balanced</v>
      </c>
    </row>
    <row r="1461" spans="1:9" x14ac:dyDescent="0.3">
      <c r="A1461" s="13">
        <v>1</v>
      </c>
      <c r="B1461" t="str" cm="1">
        <f t="array" ref="B1461">_xlfn.IFS(Datasets!Q1461=1,"LoW",Table1[[#This Row],[JobSatisfaction]]=2,"Medium",Table1[[#This Row],[JobSatisfaction]]=3,"High",Table1[[#This Row],[JobSatisfaction]]=4,"Very High")</f>
        <v>LoW</v>
      </c>
      <c r="H1461" s="5">
        <v>3</v>
      </c>
      <c r="I1461" t="str" cm="1">
        <f t="array" ref="I1461">_xlfn.IFS(H1461=1,"low",H1461=2,"medium",H1461=3,"balanced",H1461=4,"Good")</f>
        <v>balanced</v>
      </c>
    </row>
    <row r="1462" spans="1:9" x14ac:dyDescent="0.3">
      <c r="A1462" s="14">
        <v>2</v>
      </c>
      <c r="B1462" t="str" cm="1">
        <f t="array" ref="B1462">_xlfn.IFS(Datasets!Q1462=1,"LoW",Table1[[#This Row],[JobSatisfaction]]=2,"Medium",Table1[[#This Row],[JobSatisfaction]]=3,"High",Table1[[#This Row],[JobSatisfaction]]=4,"Very High")</f>
        <v>Medium</v>
      </c>
      <c r="H1462" s="5">
        <v>3</v>
      </c>
      <c r="I1462" t="str" cm="1">
        <f t="array" ref="I1462">_xlfn.IFS(H1462=1,"low",H1462=2,"medium",H1462=3,"balanced",H1462=4,"Good")</f>
        <v>balanced</v>
      </c>
    </row>
    <row r="1463" spans="1:9" x14ac:dyDescent="0.3">
      <c r="A1463" s="13">
        <v>4</v>
      </c>
      <c r="B1463" t="str" cm="1">
        <f t="array" ref="B1463">_xlfn.IFS(Datasets!Q1463=1,"LoW",Table1[[#This Row],[JobSatisfaction]]=2,"Medium",Table1[[#This Row],[JobSatisfaction]]=3,"High",Table1[[#This Row],[JobSatisfaction]]=4,"Very High")</f>
        <v>Very High</v>
      </c>
      <c r="H1463" s="5">
        <v>3</v>
      </c>
      <c r="I1463" t="str" cm="1">
        <f t="array" ref="I1463">_xlfn.IFS(H1463=1,"low",H1463=2,"medium",H1463=3,"balanced",H1463=4,"Good")</f>
        <v>balanced</v>
      </c>
    </row>
    <row r="1464" spans="1:9" x14ac:dyDescent="0.3">
      <c r="A1464" s="14">
        <v>2</v>
      </c>
      <c r="B1464" t="str" cm="1">
        <f t="array" ref="B1464">_xlfn.IFS(Datasets!Q1464=1,"LoW",Table1[[#This Row],[JobSatisfaction]]=2,"Medium",Table1[[#This Row],[JobSatisfaction]]=3,"High",Table1[[#This Row],[JobSatisfaction]]=4,"Very High")</f>
        <v>Medium</v>
      </c>
      <c r="H1464" s="5">
        <v>2</v>
      </c>
      <c r="I1464" t="str" cm="1">
        <f t="array" ref="I1464">_xlfn.IFS(H1464=1,"low",H1464=2,"medium",H1464=3,"balanced",H1464=4,"Good")</f>
        <v>medium</v>
      </c>
    </row>
    <row r="1465" spans="1:9" x14ac:dyDescent="0.3">
      <c r="A1465" s="13">
        <v>4</v>
      </c>
      <c r="B1465" t="str" cm="1">
        <f t="array" ref="B1465">_xlfn.IFS(Datasets!Q1465=1,"LoW",Table1[[#This Row],[JobSatisfaction]]=2,"Medium",Table1[[#This Row],[JobSatisfaction]]=3,"High",Table1[[#This Row],[JobSatisfaction]]=4,"Very High")</f>
        <v>Very High</v>
      </c>
      <c r="H1465" s="5">
        <v>3</v>
      </c>
      <c r="I1465" t="str" cm="1">
        <f t="array" ref="I1465">_xlfn.IFS(H1465=1,"low",H1465=2,"medium",H1465=3,"balanced",H1465=4,"Good")</f>
        <v>balanced</v>
      </c>
    </row>
    <row r="1466" spans="1:9" x14ac:dyDescent="0.3">
      <c r="A1466" s="14">
        <v>2</v>
      </c>
      <c r="B1466" t="str" cm="1">
        <f t="array" ref="B1466">_xlfn.IFS(Datasets!Q1466=1,"LoW",Table1[[#This Row],[JobSatisfaction]]=2,"Medium",Table1[[#This Row],[JobSatisfaction]]=3,"High",Table1[[#This Row],[JobSatisfaction]]=4,"Very High")</f>
        <v>Medium</v>
      </c>
      <c r="H1466" s="5">
        <v>2</v>
      </c>
      <c r="I1466" t="str" cm="1">
        <f t="array" ref="I1466">_xlfn.IFS(H1466=1,"low",H1466=2,"medium",H1466=3,"balanced",H1466=4,"Good")</f>
        <v>medium</v>
      </c>
    </row>
    <row r="1467" spans="1:9" x14ac:dyDescent="0.3">
      <c r="A1467" s="13">
        <v>1</v>
      </c>
      <c r="B1467" t="str" cm="1">
        <f t="array" ref="B1467">_xlfn.IFS(Datasets!Q1467=1,"LoW",Table1[[#This Row],[JobSatisfaction]]=2,"Medium",Table1[[#This Row],[JobSatisfaction]]=3,"High",Table1[[#This Row],[JobSatisfaction]]=4,"Very High")</f>
        <v>LoW</v>
      </c>
      <c r="H1467" s="5">
        <v>3</v>
      </c>
      <c r="I1467" t="str" cm="1">
        <f t="array" ref="I1467">_xlfn.IFS(H1467=1,"low",H1467=2,"medium",H1467=3,"balanced",H1467=4,"Good")</f>
        <v>balanced</v>
      </c>
    </row>
    <row r="1468" spans="1:9" x14ac:dyDescent="0.3">
      <c r="A1468" s="14">
        <v>2</v>
      </c>
      <c r="B1468" t="str" cm="1">
        <f t="array" ref="B1468">_xlfn.IFS(Datasets!Q1468=1,"LoW",Table1[[#This Row],[JobSatisfaction]]=2,"Medium",Table1[[#This Row],[JobSatisfaction]]=3,"High",Table1[[#This Row],[JobSatisfaction]]=4,"Very High")</f>
        <v>Medium</v>
      </c>
      <c r="H1468" s="5">
        <v>3</v>
      </c>
      <c r="I1468" t="str" cm="1">
        <f t="array" ref="I1468">_xlfn.IFS(H1468=1,"low",H1468=2,"medium",H1468=3,"balanced",H1468=4,"Good")</f>
        <v>balanced</v>
      </c>
    </row>
    <row r="1469" spans="1:9" x14ac:dyDescent="0.3">
      <c r="A1469" s="13">
        <v>1</v>
      </c>
      <c r="B1469" t="str" cm="1">
        <f t="array" ref="B1469">_xlfn.IFS(Datasets!Q1469=1,"LoW",Table1[[#This Row],[JobSatisfaction]]=2,"Medium",Table1[[#This Row],[JobSatisfaction]]=3,"High",Table1[[#This Row],[JobSatisfaction]]=4,"Very High")</f>
        <v>LoW</v>
      </c>
      <c r="H1469" s="5">
        <v>3</v>
      </c>
      <c r="I1469" t="str" cm="1">
        <f t="array" ref="I1469">_xlfn.IFS(H1469=1,"low",H1469=2,"medium",H1469=3,"balanced",H1469=4,"Good")</f>
        <v>balanced</v>
      </c>
    </row>
    <row r="1470" spans="1:9" x14ac:dyDescent="0.3">
      <c r="A1470" s="14">
        <v>3</v>
      </c>
      <c r="B1470" t="str" cm="1">
        <f t="array" ref="B1470">_xlfn.IFS(Datasets!Q1470=1,"LoW",Table1[[#This Row],[JobSatisfaction]]=2,"Medium",Table1[[#This Row],[JobSatisfaction]]=3,"High",Table1[[#This Row],[JobSatisfaction]]=4,"Very High")</f>
        <v>High</v>
      </c>
      <c r="H1470" s="5">
        <v>3</v>
      </c>
      <c r="I1470" t="str" cm="1">
        <f t="array" ref="I1470">_xlfn.IFS(H1470=1,"low",H1470=2,"medium",H1470=3,"balanced",H1470=4,"Good")</f>
        <v>balanced</v>
      </c>
    </row>
    <row r="1471" spans="1:9" x14ac:dyDescent="0.3">
      <c r="A1471" s="15">
        <v>3</v>
      </c>
      <c r="B1471" t="str" cm="1">
        <f t="array" ref="B1471">_xlfn.IFS(Datasets!Q1471=1,"LoW",Table1[[#This Row],[JobSatisfaction]]=2,"Medium",Table1[[#This Row],[JobSatisfaction]]=3,"High",Table1[[#This Row],[JobSatisfaction]]=4,"Very High")</f>
        <v>High</v>
      </c>
      <c r="H1471" s="5">
        <v>3</v>
      </c>
      <c r="I1471" t="str" cm="1">
        <f t="array" ref="I1471">_xlfn.IFS(H1471=1,"low",H1471=2,"medium",H1471=3,"balanced",H1471=4,"Good")</f>
        <v>balanced</v>
      </c>
    </row>
  </sheetData>
  <mergeCells count="2">
    <mergeCell ref="C1:G1"/>
    <mergeCell ref="L15:P2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5315E-4342-4625-BF97-271C1FCDC6C5}">
  <dimension ref="A1:P1474"/>
  <sheetViews>
    <sheetView workbookViewId="0">
      <selection activeCell="J17" sqref="J17"/>
    </sheetView>
  </sheetViews>
  <sheetFormatPr defaultRowHeight="14.4" x14ac:dyDescent="0.3"/>
  <cols>
    <col min="1" max="1" width="13.33203125" bestFit="1" customWidth="1"/>
    <col min="2" max="2" width="12.44140625" bestFit="1" customWidth="1"/>
    <col min="4" max="4" width="13.5546875" customWidth="1"/>
    <col min="5" max="5" width="15" customWidth="1"/>
    <col min="6" max="6" width="6.5546875" customWidth="1"/>
    <col min="7" max="7" width="19.77734375" customWidth="1"/>
    <col min="8" max="8" width="12.44140625" bestFit="1" customWidth="1"/>
    <col min="10" max="10" width="14.33203125" bestFit="1" customWidth="1"/>
    <col min="11" max="11" width="16.6640625" bestFit="1" customWidth="1"/>
  </cols>
  <sheetData>
    <row r="1" spans="1:16" ht="15.6" x14ac:dyDescent="0.3">
      <c r="E1" s="39" t="s">
        <v>93</v>
      </c>
      <c r="F1" s="39"/>
      <c r="G1" s="39"/>
      <c r="H1" s="39"/>
      <c r="I1" s="39"/>
      <c r="J1" s="39"/>
      <c r="K1" s="39"/>
      <c r="L1" s="39"/>
      <c r="M1" s="39"/>
    </row>
    <row r="3" spans="1:16" ht="18" x14ac:dyDescent="0.35">
      <c r="A3" s="5" t="s">
        <v>15</v>
      </c>
      <c r="B3" s="5" t="s">
        <v>71</v>
      </c>
      <c r="G3" s="41" t="s">
        <v>73</v>
      </c>
      <c r="H3" t="str">
        <f>B3</f>
        <v>helper column</v>
      </c>
    </row>
    <row r="4" spans="1:16" x14ac:dyDescent="0.3">
      <c r="G4" s="1">
        <v>1</v>
      </c>
      <c r="H4" t="str" cm="1">
        <f t="array" ref="H4">_xlfn.IFS(G4&lt;=15,"Junior",G4&lt;=30,"Mid level",G4&gt;30,"Lead")</f>
        <v>Junior</v>
      </c>
    </row>
    <row r="5" spans="1:16" ht="18" x14ac:dyDescent="0.35">
      <c r="A5" s="7">
        <v>1009</v>
      </c>
      <c r="B5" t="str" cm="1">
        <f t="array" ref="B5">_xlfn.IFS(A5&lt;=8000,"low",A5&lt;15000,"medium",A5&gt;=15000,"high")</f>
        <v>low</v>
      </c>
      <c r="G5" s="2">
        <v>0</v>
      </c>
      <c r="H5" t="str" cm="1">
        <f t="array" ref="H5">_xlfn.IFS(G5&lt;=15,"Junior",G5&lt;=30,"Mid level",G5&gt;30,"Lead")</f>
        <v>Junior</v>
      </c>
      <c r="J5" s="19" t="s">
        <v>94</v>
      </c>
      <c r="K5" s="19" t="s">
        <v>65</v>
      </c>
    </row>
    <row r="6" spans="1:16" ht="15.6" x14ac:dyDescent="0.3">
      <c r="A6" s="8">
        <v>1051</v>
      </c>
      <c r="B6" t="str" cm="1">
        <f t="array" ref="B6">_xlfn.IFS(A6&lt;=8000,"low",A6&lt;15000,"medium",A6&gt;=15000,"high")</f>
        <v>low</v>
      </c>
      <c r="G6" s="1">
        <v>1</v>
      </c>
      <c r="H6" t="str" cm="1">
        <f t="array" ref="H6">_xlfn.IFS(G6&lt;=15,"Junior",G6&lt;=30,"Mid level",G6&gt;30,"Lead")</f>
        <v>Junior</v>
      </c>
      <c r="J6" s="40" t="s">
        <v>74</v>
      </c>
      <c r="K6" s="40">
        <f>COUNTIFS(H4:H1473,J6,Table1[Attrition],"Yes")</f>
        <v>224</v>
      </c>
    </row>
    <row r="7" spans="1:16" ht="15.6" x14ac:dyDescent="0.3">
      <c r="A7" s="7">
        <v>1052</v>
      </c>
      <c r="B7" t="str" cm="1">
        <f t="array" ref="B7">_xlfn.IFS(A7&lt;=8000,"low",A7&lt;15000,"medium",A7&gt;=15000,"high")</f>
        <v>low</v>
      </c>
      <c r="D7" s="11" t="s">
        <v>72</v>
      </c>
      <c r="E7" s="12" t="s">
        <v>67</v>
      </c>
      <c r="G7" s="2">
        <v>1</v>
      </c>
      <c r="H7" t="str" cm="1">
        <f t="array" ref="H7">_xlfn.IFS(G7&lt;=15,"Junior",G7&lt;=30,"Mid level",G7&gt;30,"Lead")</f>
        <v>Junior</v>
      </c>
      <c r="J7" s="40" t="s">
        <v>75</v>
      </c>
      <c r="K7" s="40">
        <f>COUNTIFS(H5:H1474,J7,Table1[Attrition],"Yes")</f>
        <v>11</v>
      </c>
    </row>
    <row r="8" spans="1:16" ht="15.6" x14ac:dyDescent="0.3">
      <c r="A8" s="8">
        <v>1081</v>
      </c>
      <c r="B8" t="str" cm="1">
        <f t="array" ref="B8">_xlfn.IFS(A8&lt;=8000,"low",A8&lt;15000,"medium",A8&gt;=15000,"high")</f>
        <v>low</v>
      </c>
      <c r="D8" s="10" t="s">
        <v>68</v>
      </c>
      <c r="E8" s="10">
        <f>COUNTIFS(B5:B1474,D8,Table1[Attrition],"Yes")</f>
        <v>197</v>
      </c>
      <c r="G8" s="1">
        <v>1</v>
      </c>
      <c r="H8" t="str" cm="1">
        <f t="array" ref="H8">_xlfn.IFS(G8&lt;=15,"Junior",G8&lt;=30,"Mid level",G8&gt;30,"Lead")</f>
        <v>Junior</v>
      </c>
      <c r="J8" s="40" t="s">
        <v>76</v>
      </c>
      <c r="K8" s="40">
        <f>COUNTIFS(H6:H1475,J8,Table1[Attrition],"Yes")</f>
        <v>2</v>
      </c>
    </row>
    <row r="9" spans="1:16" x14ac:dyDescent="0.3">
      <c r="A9" s="7">
        <v>1091</v>
      </c>
      <c r="B9" t="str" cm="1">
        <f t="array" ref="B9">_xlfn.IFS(A9&lt;=8000,"low",A9&lt;15000,"medium",A9&gt;=15000,"high")</f>
        <v>low</v>
      </c>
      <c r="D9" s="10" t="s">
        <v>69</v>
      </c>
      <c r="E9" s="10">
        <f>COUNTIFS(B6:B1475,D9,Table1[Attrition],"Yes")</f>
        <v>35</v>
      </c>
      <c r="G9" s="2">
        <v>1</v>
      </c>
      <c r="H9" t="str" cm="1">
        <f t="array" ref="H9">_xlfn.IFS(G9&lt;=15,"Junior",G9&lt;=30,"Mid level",G9&gt;30,"Lead")</f>
        <v>Junior</v>
      </c>
    </row>
    <row r="10" spans="1:16" x14ac:dyDescent="0.3">
      <c r="A10" s="8">
        <v>1102</v>
      </c>
      <c r="B10" t="str" cm="1">
        <f t="array" ref="B10">_xlfn.IFS(A10&lt;=8000,"low",A10&lt;15000,"medium",A10&gt;=15000,"high")</f>
        <v>low</v>
      </c>
      <c r="D10" s="10" t="s">
        <v>70</v>
      </c>
      <c r="E10" s="10">
        <f>COUNTIFS(B7:B1476,D10,Table1[Attrition],"Yes")</f>
        <v>5</v>
      </c>
      <c r="G10" s="1">
        <v>1</v>
      </c>
      <c r="H10" t="str" cm="1">
        <f t="array" ref="H10">_xlfn.IFS(G10&lt;=15,"Junior",G10&lt;=30,"Mid level",G10&gt;30,"Lead")</f>
        <v>Junior</v>
      </c>
    </row>
    <row r="11" spans="1:16" x14ac:dyDescent="0.3">
      <c r="A11" s="7">
        <v>1118</v>
      </c>
      <c r="B11" t="str" cm="1">
        <f t="array" ref="B11">_xlfn.IFS(A11&lt;=8000,"low",A11&lt;15000,"medium",A11&gt;=15000,"high")</f>
        <v>low</v>
      </c>
      <c r="G11" s="2">
        <v>1</v>
      </c>
      <c r="H11" t="str" cm="1">
        <f t="array" ref="H11">_xlfn.IFS(G11&lt;=15,"Junior",G11&lt;=30,"Mid level",G11&gt;30,"Lead")</f>
        <v>Junior</v>
      </c>
    </row>
    <row r="12" spans="1:16" x14ac:dyDescent="0.3">
      <c r="A12" s="8">
        <v>1129</v>
      </c>
      <c r="B12" t="str" cm="1">
        <f t="array" ref="B12">_xlfn.IFS(A12&lt;=8000,"low",A12&lt;15000,"medium",A12&gt;=15000,"high")</f>
        <v>low</v>
      </c>
      <c r="G12" s="1">
        <v>0</v>
      </c>
      <c r="H12" t="str" cm="1">
        <f t="array" ref="H12">_xlfn.IFS(G12&lt;=15,"Junior",G12&lt;=30,"Mid level",G12&gt;30,"Lead")</f>
        <v>Junior</v>
      </c>
    </row>
    <row r="13" spans="1:16" ht="14.4" customHeight="1" x14ac:dyDescent="0.3">
      <c r="A13" s="7">
        <v>1200</v>
      </c>
      <c r="B13" t="str" cm="1">
        <f t="array" ref="B13">_xlfn.IFS(A13&lt;=8000,"low",A13&lt;15000,"medium",A13&gt;=15000,"high")</f>
        <v>low</v>
      </c>
      <c r="G13" s="2">
        <v>1</v>
      </c>
      <c r="H13" t="str" cm="1">
        <f t="array" ref="H13">_xlfn.IFS(G13&lt;=15,"Junior",G13&lt;=30,"Mid level",G13&gt;30,"Lead")</f>
        <v>Junior</v>
      </c>
      <c r="J13" s="47" t="s">
        <v>103</v>
      </c>
      <c r="K13" s="47"/>
      <c r="L13" s="47"/>
      <c r="M13" s="47"/>
      <c r="N13" s="47"/>
      <c r="O13" s="47"/>
      <c r="P13" s="47"/>
    </row>
    <row r="14" spans="1:16" ht="14.4" customHeight="1" x14ac:dyDescent="0.3">
      <c r="A14" s="8">
        <v>1223</v>
      </c>
      <c r="B14" t="str" cm="1">
        <f t="array" ref="B14">_xlfn.IFS(A14&lt;=8000,"low",A14&lt;15000,"medium",A14&gt;=15000,"high")</f>
        <v>low</v>
      </c>
      <c r="G14" s="1">
        <v>0</v>
      </c>
      <c r="H14" t="str" cm="1">
        <f t="array" ref="H14">_xlfn.IFS(G14&lt;=15,"Junior",G14&lt;=30,"Mid level",G14&gt;30,"Lead")</f>
        <v>Junior</v>
      </c>
      <c r="J14" s="47"/>
      <c r="K14" s="47"/>
      <c r="L14" s="47"/>
      <c r="M14" s="47"/>
      <c r="N14" s="47"/>
      <c r="O14" s="47"/>
      <c r="P14" s="47"/>
    </row>
    <row r="15" spans="1:16" ht="14.4" customHeight="1" x14ac:dyDescent="0.3">
      <c r="A15" s="7">
        <v>1232</v>
      </c>
      <c r="B15" t="str" cm="1">
        <f t="array" ref="B15">_xlfn.IFS(A15&lt;=8000,"low",A15&lt;15000,"medium",A15&gt;=15000,"high")</f>
        <v>low</v>
      </c>
      <c r="G15" s="2">
        <v>1</v>
      </c>
      <c r="H15" t="str" cm="1">
        <f t="array" ref="H15">_xlfn.IFS(G15&lt;=15,"Junior",G15&lt;=30,"Mid level",G15&gt;30,"Lead")</f>
        <v>Junior</v>
      </c>
      <c r="J15" s="47"/>
      <c r="K15" s="47"/>
      <c r="L15" s="47"/>
      <c r="M15" s="47"/>
      <c r="N15" s="47"/>
      <c r="O15" s="47"/>
      <c r="P15" s="47"/>
    </row>
    <row r="16" spans="1:16" x14ac:dyDescent="0.3">
      <c r="A16" s="8">
        <v>1261</v>
      </c>
      <c r="B16" t="str" cm="1">
        <f t="array" ref="B16">_xlfn.IFS(A16&lt;=8000,"low",A16&lt;15000,"medium",A16&gt;=15000,"high")</f>
        <v>low</v>
      </c>
      <c r="G16" s="1">
        <v>1</v>
      </c>
      <c r="H16" t="str" cm="1">
        <f t="array" ref="H16">_xlfn.IFS(G16&lt;=15,"Junior",G16&lt;=30,"Mid level",G16&gt;30,"Lead")</f>
        <v>Junior</v>
      </c>
      <c r="J16" s="47"/>
      <c r="K16" s="47"/>
      <c r="L16" s="47"/>
      <c r="M16" s="47"/>
      <c r="N16" s="47"/>
      <c r="O16" s="47"/>
      <c r="P16" s="47"/>
    </row>
    <row r="17" spans="1:8" x14ac:dyDescent="0.3">
      <c r="A17" s="7">
        <v>1274</v>
      </c>
      <c r="B17" t="str" cm="1">
        <f t="array" ref="B17">_xlfn.IFS(A17&lt;=8000,"low",A17&lt;15000,"medium",A17&gt;=15000,"high")</f>
        <v>low</v>
      </c>
      <c r="G17" s="2">
        <v>1</v>
      </c>
      <c r="H17" t="str" cm="1">
        <f t="array" ref="H17">_xlfn.IFS(G17&lt;=15,"Junior",G17&lt;=30,"Mid level",G17&gt;30,"Lead")</f>
        <v>Junior</v>
      </c>
    </row>
    <row r="18" spans="1:8" x14ac:dyDescent="0.3">
      <c r="A18" s="8">
        <v>1281</v>
      </c>
      <c r="B18" t="str" cm="1">
        <f t="array" ref="B18">_xlfn.IFS(A18&lt;=8000,"low",A18&lt;15000,"medium",A18&gt;=15000,"high")</f>
        <v>low</v>
      </c>
      <c r="G18" s="1">
        <v>1</v>
      </c>
      <c r="H18" t="str" cm="1">
        <f t="array" ref="H18">_xlfn.IFS(G18&lt;=15,"Junior",G18&lt;=30,"Mid level",G18&gt;30,"Lead")</f>
        <v>Junior</v>
      </c>
    </row>
    <row r="19" spans="1:8" x14ac:dyDescent="0.3">
      <c r="A19" s="7">
        <v>1359</v>
      </c>
      <c r="B19" t="str" cm="1">
        <f t="array" ref="B19">_xlfn.IFS(A19&lt;=8000,"low",A19&lt;15000,"medium",A19&gt;=15000,"high")</f>
        <v>low</v>
      </c>
      <c r="G19" s="2">
        <v>1</v>
      </c>
      <c r="H19" t="str" cm="1">
        <f t="array" ref="H19">_xlfn.IFS(G19&lt;=15,"Junior",G19&lt;=30,"Mid level",G19&gt;30,"Lead")</f>
        <v>Junior</v>
      </c>
    </row>
    <row r="20" spans="1:8" x14ac:dyDescent="0.3">
      <c r="A20" s="8">
        <v>1393</v>
      </c>
      <c r="B20" t="str" cm="1">
        <f t="array" ref="B20">_xlfn.IFS(A20&lt;=8000,"low",A20&lt;15000,"medium",A20&gt;=15000,"high")</f>
        <v>low</v>
      </c>
      <c r="G20" s="1">
        <v>1</v>
      </c>
      <c r="H20" t="str" cm="1">
        <f t="array" ref="H20">_xlfn.IFS(G20&lt;=15,"Junior",G20&lt;=30,"Mid level",G20&gt;30,"Lead")</f>
        <v>Junior</v>
      </c>
    </row>
    <row r="21" spans="1:8" x14ac:dyDescent="0.3">
      <c r="A21" s="7">
        <v>1416</v>
      </c>
      <c r="B21" t="str" cm="1">
        <f t="array" ref="B21">_xlfn.IFS(A21&lt;=8000,"low",A21&lt;15000,"medium",A21&gt;=15000,"high")</f>
        <v>low</v>
      </c>
      <c r="G21" s="2">
        <v>0</v>
      </c>
      <c r="H21" t="str" cm="1">
        <f t="array" ref="H21">_xlfn.IFS(G21&lt;=15,"Junior",G21&lt;=30,"Mid level",G21&gt;30,"Lead")</f>
        <v>Junior</v>
      </c>
    </row>
    <row r="22" spans="1:8" x14ac:dyDescent="0.3">
      <c r="A22" s="8">
        <v>1420</v>
      </c>
      <c r="B22" t="str" cm="1">
        <f t="array" ref="B22">_xlfn.IFS(A22&lt;=8000,"low",A22&lt;15000,"medium",A22&gt;=15000,"high")</f>
        <v>low</v>
      </c>
      <c r="G22" s="1">
        <v>1</v>
      </c>
      <c r="H22" t="str" cm="1">
        <f t="array" ref="H22">_xlfn.IFS(G22&lt;=15,"Junior",G22&lt;=30,"Mid level",G22&gt;30,"Lead")</f>
        <v>Junior</v>
      </c>
    </row>
    <row r="23" spans="1:8" x14ac:dyDescent="0.3">
      <c r="A23" s="7">
        <v>1483</v>
      </c>
      <c r="B23" t="str" cm="1">
        <f t="array" ref="B23">_xlfn.IFS(A23&lt;=8000,"low",A23&lt;15000,"medium",A23&gt;=15000,"high")</f>
        <v>low</v>
      </c>
      <c r="G23" s="2">
        <v>0</v>
      </c>
      <c r="H23" t="str" cm="1">
        <f t="array" ref="H23">_xlfn.IFS(G23&lt;=15,"Junior",G23&lt;=30,"Mid level",G23&gt;30,"Lead")</f>
        <v>Junior</v>
      </c>
    </row>
    <row r="24" spans="1:8" x14ac:dyDescent="0.3">
      <c r="A24" s="8">
        <v>1514</v>
      </c>
      <c r="B24" t="str" cm="1">
        <f t="array" ref="B24">_xlfn.IFS(A24&lt;=8000,"low",A24&lt;15000,"medium",A24&gt;=15000,"high")</f>
        <v>low</v>
      </c>
      <c r="G24" s="1">
        <v>1</v>
      </c>
      <c r="H24" t="str" cm="1">
        <f t="array" ref="H24">_xlfn.IFS(G24&lt;=15,"Junior",G24&lt;=30,"Mid level",G24&gt;30,"Lead")</f>
        <v>Junior</v>
      </c>
    </row>
    <row r="25" spans="1:8" x14ac:dyDescent="0.3">
      <c r="A25" s="7">
        <v>1555</v>
      </c>
      <c r="B25" t="str" cm="1">
        <f t="array" ref="B25">_xlfn.IFS(A25&lt;=8000,"low",A25&lt;15000,"medium",A25&gt;=15000,"high")</f>
        <v>low</v>
      </c>
      <c r="G25" s="2">
        <v>1</v>
      </c>
      <c r="H25" t="str" cm="1">
        <f t="array" ref="H25">_xlfn.IFS(G25&lt;=15,"Junior",G25&lt;=30,"Mid level",G25&gt;30,"Lead")</f>
        <v>Junior</v>
      </c>
    </row>
    <row r="26" spans="1:8" x14ac:dyDescent="0.3">
      <c r="A26" s="8">
        <v>1563</v>
      </c>
      <c r="B26" t="str" cm="1">
        <f t="array" ref="B26">_xlfn.IFS(A26&lt;=8000,"low",A26&lt;15000,"medium",A26&gt;=15000,"high")</f>
        <v>low</v>
      </c>
      <c r="G26" s="1">
        <v>0</v>
      </c>
      <c r="H26" t="str" cm="1">
        <f t="array" ref="H26">_xlfn.IFS(G26&lt;=15,"Junior",G26&lt;=30,"Mid level",G26&gt;30,"Lead")</f>
        <v>Junior</v>
      </c>
    </row>
    <row r="27" spans="1:8" x14ac:dyDescent="0.3">
      <c r="A27" s="7">
        <v>1569</v>
      </c>
      <c r="B27" t="str" cm="1">
        <f t="array" ref="B27">_xlfn.IFS(A27&lt;=8000,"low",A27&lt;15000,"medium",A27&gt;=15000,"high")</f>
        <v>low</v>
      </c>
      <c r="G27" s="2">
        <v>0</v>
      </c>
      <c r="H27" t="str" cm="1">
        <f t="array" ref="H27">_xlfn.IFS(G27&lt;=15,"Junior",G27&lt;=30,"Mid level",G27&gt;30,"Lead")</f>
        <v>Junior</v>
      </c>
    </row>
    <row r="28" spans="1:8" x14ac:dyDescent="0.3">
      <c r="A28" s="8">
        <v>1601</v>
      </c>
      <c r="B28" t="str" cm="1">
        <f t="array" ref="B28">_xlfn.IFS(A28&lt;=8000,"low",A28&lt;15000,"medium",A28&gt;=15000,"high")</f>
        <v>low</v>
      </c>
      <c r="G28" s="1">
        <v>0</v>
      </c>
      <c r="H28" t="str" cm="1">
        <f t="array" ref="H28">_xlfn.IFS(G28&lt;=15,"Junior",G28&lt;=30,"Mid level",G28&gt;30,"Lead")</f>
        <v>Junior</v>
      </c>
    </row>
    <row r="29" spans="1:8" x14ac:dyDescent="0.3">
      <c r="A29" s="7">
        <v>1611</v>
      </c>
      <c r="B29" t="str" cm="1">
        <f t="array" ref="B29">_xlfn.IFS(A29&lt;=8000,"low",A29&lt;15000,"medium",A29&gt;=15000,"high")</f>
        <v>low</v>
      </c>
      <c r="G29" s="2">
        <v>0</v>
      </c>
      <c r="H29" t="str" cm="1">
        <f t="array" ref="H29">_xlfn.IFS(G29&lt;=15,"Junior",G29&lt;=30,"Mid level",G29&gt;30,"Lead")</f>
        <v>Junior</v>
      </c>
    </row>
    <row r="30" spans="1:8" x14ac:dyDescent="0.3">
      <c r="A30" s="8">
        <v>1675</v>
      </c>
      <c r="B30" t="str" cm="1">
        <f t="array" ref="B30">_xlfn.IFS(A30&lt;=8000,"low",A30&lt;15000,"medium",A30&gt;=15000,"high")</f>
        <v>low</v>
      </c>
      <c r="G30" s="1">
        <v>1</v>
      </c>
      <c r="H30" t="str" cm="1">
        <f t="array" ref="H30">_xlfn.IFS(G30&lt;=15,"Junior",G30&lt;=30,"Mid level",G30&gt;30,"Lead")</f>
        <v>Junior</v>
      </c>
    </row>
    <row r="31" spans="1:8" x14ac:dyDescent="0.3">
      <c r="A31" s="7">
        <v>1702</v>
      </c>
      <c r="B31" t="str" cm="1">
        <f t="array" ref="B31">_xlfn.IFS(A31&lt;=8000,"low",A31&lt;15000,"medium",A31&gt;=15000,"high")</f>
        <v>low</v>
      </c>
      <c r="G31" s="2">
        <v>0</v>
      </c>
      <c r="H31" t="str" cm="1">
        <f t="array" ref="H31">_xlfn.IFS(G31&lt;=15,"Junior",G31&lt;=30,"Mid level",G31&gt;30,"Lead")</f>
        <v>Junior</v>
      </c>
    </row>
    <row r="32" spans="1:8" x14ac:dyDescent="0.3">
      <c r="A32" s="8">
        <v>1706</v>
      </c>
      <c r="B32" t="str" cm="1">
        <f t="array" ref="B32">_xlfn.IFS(A32&lt;=8000,"low",A32&lt;15000,"medium",A32&gt;=15000,"high")</f>
        <v>low</v>
      </c>
      <c r="G32" s="1">
        <v>1</v>
      </c>
      <c r="H32" t="str" cm="1">
        <f t="array" ref="H32">_xlfn.IFS(G32&lt;=15,"Junior",G32&lt;=30,"Mid level",G32&gt;30,"Lead")</f>
        <v>Junior</v>
      </c>
    </row>
    <row r="33" spans="1:8" x14ac:dyDescent="0.3">
      <c r="A33" s="7">
        <v>1790</v>
      </c>
      <c r="B33" t="str" cm="1">
        <f t="array" ref="B33">_xlfn.IFS(A33&lt;=8000,"low",A33&lt;15000,"medium",A33&gt;=15000,"high")</f>
        <v>low</v>
      </c>
      <c r="G33" s="2">
        <v>1</v>
      </c>
      <c r="H33" t="str" cm="1">
        <f t="array" ref="H33">_xlfn.IFS(G33&lt;=15,"Junior",G33&lt;=30,"Mid level",G33&gt;30,"Lead")</f>
        <v>Junior</v>
      </c>
    </row>
    <row r="34" spans="1:8" x14ac:dyDescent="0.3">
      <c r="A34" s="8">
        <v>1859</v>
      </c>
      <c r="B34" t="str" cm="1">
        <f t="array" ref="B34">_xlfn.IFS(A34&lt;=8000,"low",A34&lt;15000,"medium",A34&gt;=15000,"high")</f>
        <v>low</v>
      </c>
      <c r="G34" s="1">
        <v>0</v>
      </c>
      <c r="H34" t="str" cm="1">
        <f t="array" ref="H34">_xlfn.IFS(G34&lt;=15,"Junior",G34&lt;=30,"Mid level",G34&gt;30,"Lead")</f>
        <v>Junior</v>
      </c>
    </row>
    <row r="35" spans="1:8" x14ac:dyDescent="0.3">
      <c r="A35" s="7">
        <v>1878</v>
      </c>
      <c r="B35" t="str" cm="1">
        <f t="array" ref="B35">_xlfn.IFS(A35&lt;=8000,"low",A35&lt;15000,"medium",A35&gt;=15000,"high")</f>
        <v>low</v>
      </c>
      <c r="G35" s="2">
        <v>0</v>
      </c>
      <c r="H35" t="str" cm="1">
        <f t="array" ref="H35">_xlfn.IFS(G35&lt;=15,"Junior",G35&lt;=30,"Mid level",G35&gt;30,"Lead")</f>
        <v>Junior</v>
      </c>
    </row>
    <row r="36" spans="1:8" x14ac:dyDescent="0.3">
      <c r="A36" s="8">
        <v>1904</v>
      </c>
      <c r="B36" t="str" cm="1">
        <f t="array" ref="B36">_xlfn.IFS(A36&lt;=8000,"low",A36&lt;15000,"medium",A36&gt;=15000,"high")</f>
        <v>low</v>
      </c>
      <c r="G36" s="1">
        <v>1</v>
      </c>
      <c r="H36" t="str" cm="1">
        <f t="array" ref="H36">_xlfn.IFS(G36&lt;=15,"Junior",G36&lt;=30,"Mid level",G36&gt;30,"Lead")</f>
        <v>Junior</v>
      </c>
    </row>
    <row r="37" spans="1:8" x14ac:dyDescent="0.3">
      <c r="A37" s="7">
        <v>1951</v>
      </c>
      <c r="B37" t="str" cm="1">
        <f t="array" ref="B37">_xlfn.IFS(A37&lt;=8000,"low",A37&lt;15000,"medium",A37&gt;=15000,"high")</f>
        <v>low</v>
      </c>
      <c r="G37" s="2">
        <v>5</v>
      </c>
      <c r="H37" t="str" cm="1">
        <f t="array" ref="H37">_xlfn.IFS(G37&lt;=15,"Junior",G37&lt;=30,"Mid level",G37&gt;30,"Lead")</f>
        <v>Junior</v>
      </c>
    </row>
    <row r="38" spans="1:8" x14ac:dyDescent="0.3">
      <c r="A38" s="8">
        <v>2001</v>
      </c>
      <c r="B38" t="str" cm="1">
        <f t="array" ref="B38">_xlfn.IFS(A38&lt;=8000,"low",A38&lt;15000,"medium",A38&gt;=15000,"high")</f>
        <v>low</v>
      </c>
      <c r="G38" s="1">
        <v>5</v>
      </c>
      <c r="H38" t="str" cm="1">
        <f t="array" ref="H38">_xlfn.IFS(G38&lt;=15,"Junior",G38&lt;=30,"Mid level",G38&gt;30,"Lead")</f>
        <v>Junior</v>
      </c>
    </row>
    <row r="39" spans="1:8" x14ac:dyDescent="0.3">
      <c r="A39" s="7">
        <v>2007</v>
      </c>
      <c r="B39" t="str" cm="1">
        <f t="array" ref="B39">_xlfn.IFS(A39&lt;=8000,"low",A39&lt;15000,"medium",A39&gt;=15000,"high")</f>
        <v>low</v>
      </c>
      <c r="G39" s="2">
        <v>1</v>
      </c>
      <c r="H39" t="str" cm="1">
        <f t="array" ref="H39">_xlfn.IFS(G39&lt;=15,"Junior",G39&lt;=30,"Mid level",G39&gt;30,"Lead")</f>
        <v>Junior</v>
      </c>
    </row>
    <row r="40" spans="1:8" x14ac:dyDescent="0.3">
      <c r="A40" s="8">
        <v>2008</v>
      </c>
      <c r="B40" t="str" cm="1">
        <f t="array" ref="B40">_xlfn.IFS(A40&lt;=8000,"low",A40&lt;15000,"medium",A40&gt;=15000,"high")</f>
        <v>low</v>
      </c>
      <c r="G40" s="1">
        <v>1</v>
      </c>
      <c r="H40" t="str" cm="1">
        <f t="array" ref="H40">_xlfn.IFS(G40&lt;=15,"Junior",G40&lt;=30,"Mid level",G40&gt;30,"Lead")</f>
        <v>Junior</v>
      </c>
    </row>
    <row r="41" spans="1:8" x14ac:dyDescent="0.3">
      <c r="A41" s="7">
        <v>2008</v>
      </c>
      <c r="B41" t="str" cm="1">
        <f t="array" ref="B41">_xlfn.IFS(A41&lt;=8000,"low",A41&lt;15000,"medium",A41&gt;=15000,"high")</f>
        <v>low</v>
      </c>
      <c r="G41" s="2">
        <v>10</v>
      </c>
      <c r="H41" t="str" cm="1">
        <f t="array" ref="H41">_xlfn.IFS(G41&lt;=15,"Junior",G41&lt;=30,"Mid level",G41&gt;30,"Lead")</f>
        <v>Junior</v>
      </c>
    </row>
    <row r="42" spans="1:8" x14ac:dyDescent="0.3">
      <c r="A42" s="8">
        <v>2011</v>
      </c>
      <c r="B42" t="str" cm="1">
        <f t="array" ref="B42">_xlfn.IFS(A42&lt;=8000,"low",A42&lt;15000,"medium",A42&gt;=15000,"high")</f>
        <v>low</v>
      </c>
      <c r="G42" s="1">
        <v>4</v>
      </c>
      <c r="H42" t="str" cm="1">
        <f t="array" ref="H42">_xlfn.IFS(G42&lt;=15,"Junior",G42&lt;=30,"Mid level",G42&gt;30,"Lead")</f>
        <v>Junior</v>
      </c>
    </row>
    <row r="43" spans="1:8" x14ac:dyDescent="0.3">
      <c r="A43" s="7">
        <v>2013</v>
      </c>
      <c r="B43" t="str" cm="1">
        <f t="array" ref="B43">_xlfn.IFS(A43&lt;=8000,"low",A43&lt;15000,"medium",A43&gt;=15000,"high")</f>
        <v>low</v>
      </c>
      <c r="G43" s="2">
        <v>2</v>
      </c>
      <c r="H43" t="str" cm="1">
        <f t="array" ref="H43">_xlfn.IFS(G43&lt;=15,"Junior",G43&lt;=30,"Mid level",G43&gt;30,"Lead")</f>
        <v>Junior</v>
      </c>
    </row>
    <row r="44" spans="1:8" x14ac:dyDescent="0.3">
      <c r="A44" s="8">
        <v>2014</v>
      </c>
      <c r="B44" t="str" cm="1">
        <f t="array" ref="B44">_xlfn.IFS(A44&lt;=8000,"low",A44&lt;15000,"medium",A44&gt;=15000,"high")</f>
        <v>low</v>
      </c>
      <c r="G44" s="1">
        <v>5</v>
      </c>
      <c r="H44" t="str" cm="1">
        <f t="array" ref="H44">_xlfn.IFS(G44&lt;=15,"Junior",G44&lt;=30,"Mid level",G44&gt;30,"Lead")</f>
        <v>Junior</v>
      </c>
    </row>
    <row r="45" spans="1:8" x14ac:dyDescent="0.3">
      <c r="A45" s="7">
        <v>2018</v>
      </c>
      <c r="B45" t="str" cm="1">
        <f t="array" ref="B45">_xlfn.IFS(A45&lt;=8000,"low",A45&lt;15000,"medium",A45&gt;=15000,"high")</f>
        <v>low</v>
      </c>
      <c r="G45" s="2">
        <v>10</v>
      </c>
      <c r="H45" t="str" cm="1">
        <f t="array" ref="H45">_xlfn.IFS(G45&lt;=15,"Junior",G45&lt;=30,"Mid level",G45&gt;30,"Lead")</f>
        <v>Junior</v>
      </c>
    </row>
    <row r="46" spans="1:8" x14ac:dyDescent="0.3">
      <c r="A46" s="8">
        <v>2022</v>
      </c>
      <c r="B46" t="str" cm="1">
        <f t="array" ref="B46">_xlfn.IFS(A46&lt;=8000,"low",A46&lt;15000,"medium",A46&gt;=15000,"high")</f>
        <v>low</v>
      </c>
      <c r="G46" s="1">
        <v>2</v>
      </c>
      <c r="H46" t="str" cm="1">
        <f t="array" ref="H46">_xlfn.IFS(G46&lt;=15,"Junior",G46&lt;=30,"Mid level",G46&gt;30,"Lead")</f>
        <v>Junior</v>
      </c>
    </row>
    <row r="47" spans="1:8" x14ac:dyDescent="0.3">
      <c r="A47" s="7">
        <v>2024</v>
      </c>
      <c r="B47" t="str" cm="1">
        <f t="array" ref="B47">_xlfn.IFS(A47&lt;=8000,"low",A47&lt;15000,"medium",A47&gt;=15000,"high")</f>
        <v>low</v>
      </c>
      <c r="G47" s="2">
        <v>4</v>
      </c>
      <c r="H47" t="str" cm="1">
        <f t="array" ref="H47">_xlfn.IFS(G47&lt;=15,"Junior",G47&lt;=30,"Mid level",G47&gt;30,"Lead")</f>
        <v>Junior</v>
      </c>
    </row>
    <row r="48" spans="1:8" x14ac:dyDescent="0.3">
      <c r="A48" s="8">
        <v>2028</v>
      </c>
      <c r="B48" t="str" cm="1">
        <f t="array" ref="B48">_xlfn.IFS(A48&lt;=8000,"low",A48&lt;15000,"medium",A48&gt;=15000,"high")</f>
        <v>low</v>
      </c>
      <c r="G48" s="1">
        <v>14</v>
      </c>
      <c r="H48" t="str" cm="1">
        <f t="array" ref="H48">_xlfn.IFS(G48&lt;=15,"Junior",G48&lt;=30,"Mid level",G48&gt;30,"Lead")</f>
        <v>Junior</v>
      </c>
    </row>
    <row r="49" spans="1:8" x14ac:dyDescent="0.3">
      <c r="A49" s="7">
        <v>2028</v>
      </c>
      <c r="B49" t="str" cm="1">
        <f t="array" ref="B49">_xlfn.IFS(A49&lt;=8000,"low",A49&lt;15000,"medium",A49&gt;=15000,"high")</f>
        <v>low</v>
      </c>
      <c r="G49" s="2">
        <v>5</v>
      </c>
      <c r="H49" t="str" cm="1">
        <f t="array" ref="H49">_xlfn.IFS(G49&lt;=15,"Junior",G49&lt;=30,"Mid level",G49&gt;30,"Lead")</f>
        <v>Junior</v>
      </c>
    </row>
    <row r="50" spans="1:8" x14ac:dyDescent="0.3">
      <c r="A50" s="8">
        <v>2029</v>
      </c>
      <c r="B50" t="str" cm="1">
        <f t="array" ref="B50">_xlfn.IFS(A50&lt;=8000,"low",A50&lt;15000,"medium",A50&gt;=15000,"high")</f>
        <v>low</v>
      </c>
      <c r="G50" s="1">
        <v>1</v>
      </c>
      <c r="H50" t="str" cm="1">
        <f t="array" ref="H50">_xlfn.IFS(G50&lt;=15,"Junior",G50&lt;=30,"Mid level",G50&gt;30,"Lead")</f>
        <v>Junior</v>
      </c>
    </row>
    <row r="51" spans="1:8" x14ac:dyDescent="0.3">
      <c r="A51" s="7">
        <v>2033</v>
      </c>
      <c r="B51" t="str" cm="1">
        <f t="array" ref="B51">_xlfn.IFS(A51&lt;=8000,"low",A51&lt;15000,"medium",A51&gt;=15000,"high")</f>
        <v>low</v>
      </c>
      <c r="G51" s="2">
        <v>1</v>
      </c>
      <c r="H51" t="str" cm="1">
        <f t="array" ref="H51">_xlfn.IFS(G51&lt;=15,"Junior",G51&lt;=30,"Mid level",G51&gt;30,"Lead")</f>
        <v>Junior</v>
      </c>
    </row>
    <row r="52" spans="1:8" x14ac:dyDescent="0.3">
      <c r="A52" s="8">
        <v>2033</v>
      </c>
      <c r="B52" t="str" cm="1">
        <f t="array" ref="B52">_xlfn.IFS(A52&lt;=8000,"low",A52&lt;15000,"medium",A52&gt;=15000,"high")</f>
        <v>low</v>
      </c>
      <c r="G52" s="1">
        <v>3</v>
      </c>
      <c r="H52" t="str" cm="1">
        <f t="array" ref="H52">_xlfn.IFS(G52&lt;=15,"Junior",G52&lt;=30,"Mid level",G52&gt;30,"Lead")</f>
        <v>Junior</v>
      </c>
    </row>
    <row r="53" spans="1:8" x14ac:dyDescent="0.3">
      <c r="A53" s="7">
        <v>2042</v>
      </c>
      <c r="B53" t="str" cm="1">
        <f t="array" ref="B53">_xlfn.IFS(A53&lt;=8000,"low",A53&lt;15000,"medium",A53&gt;=15000,"high")</f>
        <v>low</v>
      </c>
      <c r="G53" s="2">
        <v>3</v>
      </c>
      <c r="H53" t="str" cm="1">
        <f t="array" ref="H53">_xlfn.IFS(G53&lt;=15,"Junior",G53&lt;=30,"Mid level",G53&gt;30,"Lead")</f>
        <v>Junior</v>
      </c>
    </row>
    <row r="54" spans="1:8" x14ac:dyDescent="0.3">
      <c r="A54" s="8">
        <v>2042</v>
      </c>
      <c r="B54" t="str" cm="1">
        <f t="array" ref="B54">_xlfn.IFS(A54&lt;=8000,"low",A54&lt;15000,"medium",A54&gt;=15000,"high")</f>
        <v>low</v>
      </c>
      <c r="G54" s="1">
        <v>2</v>
      </c>
      <c r="H54" t="str" cm="1">
        <f t="array" ref="H54">_xlfn.IFS(G54&lt;=15,"Junior",G54&lt;=30,"Mid level",G54&gt;30,"Lead")</f>
        <v>Junior</v>
      </c>
    </row>
    <row r="55" spans="1:8" x14ac:dyDescent="0.3">
      <c r="A55" s="7">
        <v>2044</v>
      </c>
      <c r="B55" t="str" cm="1">
        <f t="array" ref="B55">_xlfn.IFS(A55&lt;=8000,"low",A55&lt;15000,"medium",A55&gt;=15000,"high")</f>
        <v>low</v>
      </c>
      <c r="G55" s="2">
        <v>5</v>
      </c>
      <c r="H55" t="str" cm="1">
        <f t="array" ref="H55">_xlfn.IFS(G55&lt;=15,"Junior",G55&lt;=30,"Mid level",G55&gt;30,"Lead")</f>
        <v>Junior</v>
      </c>
    </row>
    <row r="56" spans="1:8" x14ac:dyDescent="0.3">
      <c r="A56" s="8">
        <v>2044</v>
      </c>
      <c r="B56" t="str" cm="1">
        <f t="array" ref="B56">_xlfn.IFS(A56&lt;=8000,"low",A56&lt;15000,"medium",A56&gt;=15000,"high")</f>
        <v>low</v>
      </c>
      <c r="G56" s="1">
        <v>4</v>
      </c>
      <c r="H56" t="str" cm="1">
        <f t="array" ref="H56">_xlfn.IFS(G56&lt;=15,"Junior",G56&lt;=30,"Mid level",G56&gt;30,"Lead")</f>
        <v>Junior</v>
      </c>
    </row>
    <row r="57" spans="1:8" x14ac:dyDescent="0.3">
      <c r="A57" s="7">
        <v>2045</v>
      </c>
      <c r="B57" t="str" cm="1">
        <f t="array" ref="B57">_xlfn.IFS(A57&lt;=8000,"low",A57&lt;15000,"medium",A57&gt;=15000,"high")</f>
        <v>low</v>
      </c>
      <c r="G57" s="2">
        <v>6</v>
      </c>
      <c r="H57" t="str" cm="1">
        <f t="array" ref="H57">_xlfn.IFS(G57&lt;=15,"Junior",G57&lt;=30,"Mid level",G57&gt;30,"Lead")</f>
        <v>Junior</v>
      </c>
    </row>
    <row r="58" spans="1:8" x14ac:dyDescent="0.3">
      <c r="A58" s="8">
        <v>2058</v>
      </c>
      <c r="B58" t="str" cm="1">
        <f t="array" ref="B58">_xlfn.IFS(A58&lt;=8000,"low",A58&lt;15000,"medium",A58&gt;=15000,"high")</f>
        <v>low</v>
      </c>
      <c r="G58" s="1">
        <v>1</v>
      </c>
      <c r="H58" t="str" cm="1">
        <f t="array" ref="H58">_xlfn.IFS(G58&lt;=15,"Junior",G58&lt;=30,"Mid level",G58&gt;30,"Lead")</f>
        <v>Junior</v>
      </c>
    </row>
    <row r="59" spans="1:8" x14ac:dyDescent="0.3">
      <c r="A59" s="7">
        <v>2061</v>
      </c>
      <c r="B59" t="str" cm="1">
        <f t="array" ref="B59">_xlfn.IFS(A59&lt;=8000,"low",A59&lt;15000,"medium",A59&gt;=15000,"high")</f>
        <v>low</v>
      </c>
      <c r="G59" s="2">
        <v>3</v>
      </c>
      <c r="H59" t="str" cm="1">
        <f t="array" ref="H59">_xlfn.IFS(G59&lt;=15,"Junior",G59&lt;=30,"Mid level",G59&gt;30,"Lead")</f>
        <v>Junior</v>
      </c>
    </row>
    <row r="60" spans="1:8" x14ac:dyDescent="0.3">
      <c r="A60" s="8">
        <v>2062</v>
      </c>
      <c r="B60" t="str" cm="1">
        <f t="array" ref="B60">_xlfn.IFS(A60&lt;=8000,"low",A60&lt;15000,"medium",A60&gt;=15000,"high")</f>
        <v>low</v>
      </c>
      <c r="G60" s="1">
        <v>5</v>
      </c>
      <c r="H60" t="str" cm="1">
        <f t="array" ref="H60">_xlfn.IFS(G60&lt;=15,"Junior",G60&lt;=30,"Mid level",G60&gt;30,"Lead")</f>
        <v>Junior</v>
      </c>
    </row>
    <row r="61" spans="1:8" x14ac:dyDescent="0.3">
      <c r="A61" s="7">
        <v>2064</v>
      </c>
      <c r="B61" t="str" cm="1">
        <f t="array" ref="B61">_xlfn.IFS(A61&lt;=8000,"low",A61&lt;15000,"medium",A61&gt;=15000,"high")</f>
        <v>low</v>
      </c>
      <c r="G61" s="2">
        <v>3</v>
      </c>
      <c r="H61" t="str" cm="1">
        <f t="array" ref="H61">_xlfn.IFS(G61&lt;=15,"Junior",G61&lt;=30,"Mid level",G61&gt;30,"Lead")</f>
        <v>Junior</v>
      </c>
    </row>
    <row r="62" spans="1:8" x14ac:dyDescent="0.3">
      <c r="A62" s="8">
        <v>2066</v>
      </c>
      <c r="B62" t="str" cm="1">
        <f t="array" ref="B62">_xlfn.IFS(A62&lt;=8000,"low",A62&lt;15000,"medium",A62&gt;=15000,"high")</f>
        <v>low</v>
      </c>
      <c r="G62" s="1">
        <v>5</v>
      </c>
      <c r="H62" t="str" cm="1">
        <f t="array" ref="H62">_xlfn.IFS(G62&lt;=15,"Junior",G62&lt;=30,"Mid level",G62&gt;30,"Lead")</f>
        <v>Junior</v>
      </c>
    </row>
    <row r="63" spans="1:8" x14ac:dyDescent="0.3">
      <c r="A63" s="7">
        <v>2070</v>
      </c>
      <c r="B63" t="str" cm="1">
        <f t="array" ref="B63">_xlfn.IFS(A63&lt;=8000,"low",A63&lt;15000,"medium",A63&gt;=15000,"high")</f>
        <v>low</v>
      </c>
      <c r="G63" s="2">
        <v>2</v>
      </c>
      <c r="H63" t="str" cm="1">
        <f t="array" ref="H63">_xlfn.IFS(G63&lt;=15,"Junior",G63&lt;=30,"Mid level",G63&gt;30,"Lead")</f>
        <v>Junior</v>
      </c>
    </row>
    <row r="64" spans="1:8" x14ac:dyDescent="0.3">
      <c r="A64" s="8">
        <v>2070</v>
      </c>
      <c r="B64" t="str" cm="1">
        <f t="array" ref="B64">_xlfn.IFS(A64&lt;=8000,"low",A64&lt;15000,"medium",A64&gt;=15000,"high")</f>
        <v>low</v>
      </c>
      <c r="G64" s="1">
        <v>3</v>
      </c>
      <c r="H64" t="str" cm="1">
        <f t="array" ref="H64">_xlfn.IFS(G64&lt;=15,"Junior",G64&lt;=30,"Mid level",G64&gt;30,"Lead")</f>
        <v>Junior</v>
      </c>
    </row>
    <row r="65" spans="1:8" x14ac:dyDescent="0.3">
      <c r="A65" s="7">
        <v>2073</v>
      </c>
      <c r="B65" t="str" cm="1">
        <f t="array" ref="B65">_xlfn.IFS(A65&lt;=8000,"low",A65&lt;15000,"medium",A65&gt;=15000,"high")</f>
        <v>low</v>
      </c>
      <c r="G65" s="2">
        <v>2</v>
      </c>
      <c r="H65" t="str" cm="1">
        <f t="array" ref="H65">_xlfn.IFS(G65&lt;=15,"Junior",G65&lt;=30,"Mid level",G65&gt;30,"Lead")</f>
        <v>Junior</v>
      </c>
    </row>
    <row r="66" spans="1:8" x14ac:dyDescent="0.3">
      <c r="A66" s="8">
        <v>2073</v>
      </c>
      <c r="B66" t="str" cm="1">
        <f t="array" ref="B66">_xlfn.IFS(A66&lt;=8000,"low",A66&lt;15000,"medium",A66&gt;=15000,"high")</f>
        <v>low</v>
      </c>
      <c r="G66" s="1">
        <v>1</v>
      </c>
      <c r="H66" t="str" cm="1">
        <f t="array" ref="H66">_xlfn.IFS(G66&lt;=15,"Junior",G66&lt;=30,"Mid level",G66&gt;30,"Lead")</f>
        <v>Junior</v>
      </c>
    </row>
    <row r="67" spans="1:8" x14ac:dyDescent="0.3">
      <c r="A67" s="7">
        <v>2074</v>
      </c>
      <c r="B67" t="str" cm="1">
        <f t="array" ref="B67">_xlfn.IFS(A67&lt;=8000,"low",A67&lt;15000,"medium",A67&gt;=15000,"high")</f>
        <v>low</v>
      </c>
      <c r="G67" s="2">
        <v>4</v>
      </c>
      <c r="H67" t="str" cm="1">
        <f t="array" ref="H67">_xlfn.IFS(G67&lt;=15,"Junior",G67&lt;=30,"Mid level",G67&gt;30,"Lead")</f>
        <v>Junior</v>
      </c>
    </row>
    <row r="68" spans="1:8" x14ac:dyDescent="0.3">
      <c r="A68" s="8">
        <v>2075</v>
      </c>
      <c r="B68" t="str" cm="1">
        <f t="array" ref="B68">_xlfn.IFS(A68&lt;=8000,"low",A68&lt;15000,"medium",A68&gt;=15000,"high")</f>
        <v>low</v>
      </c>
      <c r="G68" s="1">
        <v>3</v>
      </c>
      <c r="H68" t="str" cm="1">
        <f t="array" ref="H68">_xlfn.IFS(G68&lt;=15,"Junior",G68&lt;=30,"Mid level",G68&gt;30,"Lead")</f>
        <v>Junior</v>
      </c>
    </row>
    <row r="69" spans="1:8" x14ac:dyDescent="0.3">
      <c r="A69" s="7">
        <v>2080</v>
      </c>
      <c r="B69" t="str" cm="1">
        <f t="array" ref="B69">_xlfn.IFS(A69&lt;=8000,"low",A69&lt;15000,"medium",A69&gt;=15000,"high")</f>
        <v>low</v>
      </c>
      <c r="G69" s="2">
        <v>1</v>
      </c>
      <c r="H69" t="str" cm="1">
        <f t="array" ref="H69">_xlfn.IFS(G69&lt;=15,"Junior",G69&lt;=30,"Mid level",G69&gt;30,"Lead")</f>
        <v>Junior</v>
      </c>
    </row>
    <row r="70" spans="1:8" x14ac:dyDescent="0.3">
      <c r="A70" s="8">
        <v>2083</v>
      </c>
      <c r="B70" t="str" cm="1">
        <f t="array" ref="B70">_xlfn.IFS(A70&lt;=8000,"low",A70&lt;15000,"medium",A70&gt;=15000,"high")</f>
        <v>low</v>
      </c>
      <c r="G70" s="1">
        <v>1</v>
      </c>
      <c r="H70" t="str" cm="1">
        <f t="array" ref="H70">_xlfn.IFS(G70&lt;=15,"Junior",G70&lt;=30,"Mid level",G70&gt;30,"Lead")</f>
        <v>Junior</v>
      </c>
    </row>
    <row r="71" spans="1:8" x14ac:dyDescent="0.3">
      <c r="A71" s="7">
        <v>2086</v>
      </c>
      <c r="B71" t="str" cm="1">
        <f t="array" ref="B71">_xlfn.IFS(A71&lt;=8000,"low",A71&lt;15000,"medium",A71&gt;=15000,"high")</f>
        <v>low</v>
      </c>
      <c r="G71" s="2">
        <v>8</v>
      </c>
      <c r="H71" t="str" cm="1">
        <f t="array" ref="H71">_xlfn.IFS(G71&lt;=15,"Junior",G71&lt;=30,"Mid level",G71&gt;30,"Lead")</f>
        <v>Junior</v>
      </c>
    </row>
    <row r="72" spans="1:8" x14ac:dyDescent="0.3">
      <c r="A72" s="8">
        <v>2088</v>
      </c>
      <c r="B72" t="str" cm="1">
        <f t="array" ref="B72">_xlfn.IFS(A72&lt;=8000,"low",A72&lt;15000,"medium",A72&gt;=15000,"high")</f>
        <v>low</v>
      </c>
      <c r="G72" s="1">
        <v>5</v>
      </c>
      <c r="H72" t="str" cm="1">
        <f t="array" ref="H72">_xlfn.IFS(G72&lt;=15,"Junior",G72&lt;=30,"Mid level",G72&gt;30,"Lead")</f>
        <v>Junior</v>
      </c>
    </row>
    <row r="73" spans="1:8" x14ac:dyDescent="0.3">
      <c r="A73" s="7">
        <v>2089</v>
      </c>
      <c r="B73" t="str" cm="1">
        <f t="array" ref="B73">_xlfn.IFS(A73&lt;=8000,"low",A73&lt;15000,"medium",A73&gt;=15000,"high")</f>
        <v>low</v>
      </c>
      <c r="G73" s="2">
        <v>0</v>
      </c>
      <c r="H73" t="str" cm="1">
        <f t="array" ref="H73">_xlfn.IFS(G73&lt;=15,"Junior",G73&lt;=30,"Mid level",G73&gt;30,"Lead")</f>
        <v>Junior</v>
      </c>
    </row>
    <row r="74" spans="1:8" x14ac:dyDescent="0.3">
      <c r="A74" s="8">
        <v>2090</v>
      </c>
      <c r="B74" t="str" cm="1">
        <f t="array" ref="B74">_xlfn.IFS(A74&lt;=8000,"low",A74&lt;15000,"medium",A74&gt;=15000,"high")</f>
        <v>low</v>
      </c>
      <c r="G74" s="1">
        <v>2</v>
      </c>
      <c r="H74" t="str" cm="1">
        <f t="array" ref="H74">_xlfn.IFS(G74&lt;=15,"Junior",G74&lt;=30,"Mid level",G74&gt;30,"Lead")</f>
        <v>Junior</v>
      </c>
    </row>
    <row r="75" spans="1:8" x14ac:dyDescent="0.3">
      <c r="A75" s="7">
        <v>2093</v>
      </c>
      <c r="B75" t="str" cm="1">
        <f t="array" ref="B75">_xlfn.IFS(A75&lt;=8000,"low",A75&lt;15000,"medium",A75&gt;=15000,"high")</f>
        <v>low</v>
      </c>
      <c r="G75" s="2">
        <v>7</v>
      </c>
      <c r="H75" t="str" cm="1">
        <f t="array" ref="H75">_xlfn.IFS(G75&lt;=15,"Junior",G75&lt;=30,"Mid level",G75&gt;30,"Lead")</f>
        <v>Junior</v>
      </c>
    </row>
    <row r="76" spans="1:8" x14ac:dyDescent="0.3">
      <c r="A76" s="8">
        <v>2096</v>
      </c>
      <c r="B76" t="str" cm="1">
        <f t="array" ref="B76">_xlfn.IFS(A76&lt;=8000,"low",A76&lt;15000,"medium",A76&gt;=15000,"high")</f>
        <v>low</v>
      </c>
      <c r="G76" s="1">
        <v>2</v>
      </c>
      <c r="H76" t="str" cm="1">
        <f t="array" ref="H76">_xlfn.IFS(G76&lt;=15,"Junior",G76&lt;=30,"Mid level",G76&gt;30,"Lead")</f>
        <v>Junior</v>
      </c>
    </row>
    <row r="77" spans="1:8" x14ac:dyDescent="0.3">
      <c r="A77" s="7">
        <v>2096</v>
      </c>
      <c r="B77" t="str" cm="1">
        <f t="array" ref="B77">_xlfn.IFS(A77&lt;=8000,"low",A77&lt;15000,"medium",A77&gt;=15000,"high")</f>
        <v>low</v>
      </c>
      <c r="G77" s="2">
        <v>5</v>
      </c>
      <c r="H77" t="str" cm="1">
        <f t="array" ref="H77">_xlfn.IFS(G77&lt;=15,"Junior",G77&lt;=30,"Mid level",G77&gt;30,"Lead")</f>
        <v>Junior</v>
      </c>
    </row>
    <row r="78" spans="1:8" x14ac:dyDescent="0.3">
      <c r="A78" s="8">
        <v>2097</v>
      </c>
      <c r="B78" t="str" cm="1">
        <f t="array" ref="B78">_xlfn.IFS(A78&lt;=8000,"low",A78&lt;15000,"medium",A78&gt;=15000,"high")</f>
        <v>low</v>
      </c>
      <c r="G78" s="1">
        <v>5</v>
      </c>
      <c r="H78" t="str" cm="1">
        <f t="array" ref="H78">_xlfn.IFS(G78&lt;=15,"Junior",G78&lt;=30,"Mid level",G78&gt;30,"Lead")</f>
        <v>Junior</v>
      </c>
    </row>
    <row r="79" spans="1:8" x14ac:dyDescent="0.3">
      <c r="A79" s="7">
        <v>2099</v>
      </c>
      <c r="B79" t="str" cm="1">
        <f t="array" ref="B79">_xlfn.IFS(A79&lt;=8000,"low",A79&lt;15000,"medium",A79&gt;=15000,"high")</f>
        <v>low</v>
      </c>
      <c r="G79" s="2">
        <v>2</v>
      </c>
      <c r="H79" t="str" cm="1">
        <f t="array" ref="H79">_xlfn.IFS(G79&lt;=15,"Junior",G79&lt;=30,"Mid level",G79&gt;30,"Lead")</f>
        <v>Junior</v>
      </c>
    </row>
    <row r="80" spans="1:8" x14ac:dyDescent="0.3">
      <c r="A80" s="8">
        <v>2105</v>
      </c>
      <c r="B80" t="str" cm="1">
        <f t="array" ref="B80">_xlfn.IFS(A80&lt;=8000,"low",A80&lt;15000,"medium",A80&gt;=15000,"high")</f>
        <v>low</v>
      </c>
      <c r="G80" s="1">
        <v>1</v>
      </c>
      <c r="H80" t="str" cm="1">
        <f t="array" ref="H80">_xlfn.IFS(G80&lt;=15,"Junior",G80&lt;=30,"Mid level",G80&gt;30,"Lead")</f>
        <v>Junior</v>
      </c>
    </row>
    <row r="81" spans="1:8" x14ac:dyDescent="0.3">
      <c r="A81" s="7">
        <v>2107</v>
      </c>
      <c r="B81" t="str" cm="1">
        <f t="array" ref="B81">_xlfn.IFS(A81&lt;=8000,"low",A81&lt;15000,"medium",A81&gt;=15000,"high")</f>
        <v>low</v>
      </c>
      <c r="G81" s="2">
        <v>3</v>
      </c>
      <c r="H81" t="str" cm="1">
        <f t="array" ref="H81">_xlfn.IFS(G81&lt;=15,"Junior",G81&lt;=30,"Mid level",G81&gt;30,"Lead")</f>
        <v>Junior</v>
      </c>
    </row>
    <row r="82" spans="1:8" x14ac:dyDescent="0.3">
      <c r="A82" s="8">
        <v>2109</v>
      </c>
      <c r="B82" t="str" cm="1">
        <f t="array" ref="B82">_xlfn.IFS(A82&lt;=8000,"low",A82&lt;15000,"medium",A82&gt;=15000,"high")</f>
        <v>low</v>
      </c>
      <c r="G82" s="1">
        <v>1</v>
      </c>
      <c r="H82" t="str" cm="1">
        <f t="array" ref="H82">_xlfn.IFS(G82&lt;=15,"Junior",G82&lt;=30,"Mid level",G82&gt;30,"Lead")</f>
        <v>Junior</v>
      </c>
    </row>
    <row r="83" spans="1:8" x14ac:dyDescent="0.3">
      <c r="A83" s="7">
        <v>2109</v>
      </c>
      <c r="B83" t="str" cm="1">
        <f t="array" ref="B83">_xlfn.IFS(A83&lt;=8000,"low",A83&lt;15000,"medium",A83&gt;=15000,"high")</f>
        <v>low</v>
      </c>
      <c r="G83" s="2">
        <v>17</v>
      </c>
      <c r="H83" t="str" cm="1">
        <f t="array" ref="H83">_xlfn.IFS(G83&lt;=15,"Junior",G83&lt;=30,"Mid level",G83&gt;30,"Lead")</f>
        <v>Mid level</v>
      </c>
    </row>
    <row r="84" spans="1:8" x14ac:dyDescent="0.3">
      <c r="A84" s="8">
        <v>2115</v>
      </c>
      <c r="B84" t="str" cm="1">
        <f t="array" ref="B84">_xlfn.IFS(A84&lt;=8000,"low",A84&lt;15000,"medium",A84&gt;=15000,"high")</f>
        <v>low</v>
      </c>
      <c r="G84" s="1">
        <v>7</v>
      </c>
      <c r="H84" t="str" cm="1">
        <f t="array" ref="H84">_xlfn.IFS(G84&lt;=15,"Junior",G84&lt;=30,"Mid level",G84&gt;30,"Lead")</f>
        <v>Junior</v>
      </c>
    </row>
    <row r="85" spans="1:8" x14ac:dyDescent="0.3">
      <c r="A85" s="7">
        <v>2119</v>
      </c>
      <c r="B85" t="str" cm="1">
        <f t="array" ref="B85">_xlfn.IFS(A85&lt;=8000,"low",A85&lt;15000,"medium",A85&gt;=15000,"high")</f>
        <v>low</v>
      </c>
      <c r="G85" s="2">
        <v>1</v>
      </c>
      <c r="H85" t="str" cm="1">
        <f t="array" ref="H85">_xlfn.IFS(G85&lt;=15,"Junior",G85&lt;=30,"Mid level",G85&gt;30,"Lead")</f>
        <v>Junior</v>
      </c>
    </row>
    <row r="86" spans="1:8" x14ac:dyDescent="0.3">
      <c r="A86" s="8">
        <v>2121</v>
      </c>
      <c r="B86" t="str" cm="1">
        <f t="array" ref="B86">_xlfn.IFS(A86&lt;=8000,"low",A86&lt;15000,"medium",A86&gt;=15000,"high")</f>
        <v>low</v>
      </c>
      <c r="G86" s="1">
        <v>1</v>
      </c>
      <c r="H86" t="str" cm="1">
        <f t="array" ref="H86">_xlfn.IFS(G86&lt;=15,"Junior",G86&lt;=30,"Mid level",G86&gt;30,"Lead")</f>
        <v>Junior</v>
      </c>
    </row>
    <row r="87" spans="1:8" x14ac:dyDescent="0.3">
      <c r="A87" s="7">
        <v>2127</v>
      </c>
      <c r="B87" t="str" cm="1">
        <f t="array" ref="B87">_xlfn.IFS(A87&lt;=8000,"low",A87&lt;15000,"medium",A87&gt;=15000,"high")</f>
        <v>low</v>
      </c>
      <c r="G87" s="2">
        <v>4</v>
      </c>
      <c r="H87" t="str" cm="1">
        <f t="array" ref="H87">_xlfn.IFS(G87&lt;=15,"Junior",G87&lt;=30,"Mid level",G87&gt;30,"Lead")</f>
        <v>Junior</v>
      </c>
    </row>
    <row r="88" spans="1:8" x14ac:dyDescent="0.3">
      <c r="A88" s="8">
        <v>2127</v>
      </c>
      <c r="B88" t="str" cm="1">
        <f t="array" ref="B88">_xlfn.IFS(A88&lt;=8000,"low",A88&lt;15000,"medium",A88&gt;=15000,"high")</f>
        <v>low</v>
      </c>
      <c r="G88" s="1">
        <v>5</v>
      </c>
      <c r="H88" t="str" cm="1">
        <f t="array" ref="H88">_xlfn.IFS(G88&lt;=15,"Junior",G88&lt;=30,"Mid level",G88&gt;30,"Lead")</f>
        <v>Junior</v>
      </c>
    </row>
    <row r="89" spans="1:8" x14ac:dyDescent="0.3">
      <c r="A89" s="7">
        <v>2132</v>
      </c>
      <c r="B89" t="str" cm="1">
        <f t="array" ref="B89">_xlfn.IFS(A89&lt;=8000,"low",A89&lt;15000,"medium",A89&gt;=15000,"high")</f>
        <v>low</v>
      </c>
      <c r="G89" s="2">
        <v>5</v>
      </c>
      <c r="H89" t="str" cm="1">
        <f t="array" ref="H89">_xlfn.IFS(G89&lt;=15,"Junior",G89&lt;=30,"Mid level",G89&gt;30,"Lead")</f>
        <v>Junior</v>
      </c>
    </row>
    <row r="90" spans="1:8" x14ac:dyDescent="0.3">
      <c r="A90" s="8">
        <v>2132</v>
      </c>
      <c r="B90" t="str" cm="1">
        <f t="array" ref="B90">_xlfn.IFS(A90&lt;=8000,"low",A90&lt;15000,"medium",A90&gt;=15000,"high")</f>
        <v>low</v>
      </c>
      <c r="G90" s="1">
        <v>20</v>
      </c>
      <c r="H90" t="str" cm="1">
        <f t="array" ref="H90">_xlfn.IFS(G90&lt;=15,"Junior",G90&lt;=30,"Mid level",G90&gt;30,"Lead")</f>
        <v>Mid level</v>
      </c>
    </row>
    <row r="91" spans="1:8" x14ac:dyDescent="0.3">
      <c r="A91" s="7">
        <v>2133</v>
      </c>
      <c r="B91" t="str" cm="1">
        <f t="array" ref="B91">_xlfn.IFS(A91&lt;=8000,"low",A91&lt;15000,"medium",A91&gt;=15000,"high")</f>
        <v>low</v>
      </c>
      <c r="G91" s="2">
        <v>6</v>
      </c>
      <c r="H91" t="str" cm="1">
        <f t="array" ref="H91">_xlfn.IFS(G91&lt;=15,"Junior",G91&lt;=30,"Mid level",G91&gt;30,"Lead")</f>
        <v>Junior</v>
      </c>
    </row>
    <row r="92" spans="1:8" x14ac:dyDescent="0.3">
      <c r="A92" s="8">
        <v>2141</v>
      </c>
      <c r="B92" t="str" cm="1">
        <f t="array" ref="B92">_xlfn.IFS(A92&lt;=8000,"low",A92&lt;15000,"medium",A92&gt;=15000,"high")</f>
        <v>low</v>
      </c>
      <c r="G92" s="1">
        <v>5</v>
      </c>
      <c r="H92" t="str" cm="1">
        <f t="array" ref="H92">_xlfn.IFS(G92&lt;=15,"Junior",G92&lt;=30,"Mid level",G92&gt;30,"Lead")</f>
        <v>Junior</v>
      </c>
    </row>
    <row r="93" spans="1:8" x14ac:dyDescent="0.3">
      <c r="A93" s="7">
        <v>2143</v>
      </c>
      <c r="B93" t="str" cm="1">
        <f t="array" ref="B93">_xlfn.IFS(A93&lt;=8000,"low",A93&lt;15000,"medium",A93&gt;=15000,"high")</f>
        <v>low</v>
      </c>
      <c r="G93" s="2">
        <v>5</v>
      </c>
      <c r="H93" t="str" cm="1">
        <f t="array" ref="H93">_xlfn.IFS(G93&lt;=15,"Junior",G93&lt;=30,"Mid level",G93&gt;30,"Lead")</f>
        <v>Junior</v>
      </c>
    </row>
    <row r="94" spans="1:8" x14ac:dyDescent="0.3">
      <c r="A94" s="8">
        <v>2144</v>
      </c>
      <c r="B94" t="str" cm="1">
        <f t="array" ref="B94">_xlfn.IFS(A94&lt;=8000,"low",A94&lt;15000,"medium",A94&gt;=15000,"high")</f>
        <v>low</v>
      </c>
      <c r="G94" s="1">
        <v>2</v>
      </c>
      <c r="H94" t="str" cm="1">
        <f t="array" ref="H94">_xlfn.IFS(G94&lt;=15,"Junior",G94&lt;=30,"Mid level",G94&gt;30,"Lead")</f>
        <v>Junior</v>
      </c>
    </row>
    <row r="95" spans="1:8" x14ac:dyDescent="0.3">
      <c r="A95" s="7">
        <v>2145</v>
      </c>
      <c r="B95" t="str" cm="1">
        <f t="array" ref="B95">_xlfn.IFS(A95&lt;=8000,"low",A95&lt;15000,"medium",A95&gt;=15000,"high")</f>
        <v>low</v>
      </c>
      <c r="G95" s="2">
        <v>5</v>
      </c>
      <c r="H95" t="str" cm="1">
        <f t="array" ref="H95">_xlfn.IFS(G95&lt;=15,"Junior",G95&lt;=30,"Mid level",G95&gt;30,"Lead")</f>
        <v>Junior</v>
      </c>
    </row>
    <row r="96" spans="1:8" x14ac:dyDescent="0.3">
      <c r="A96" s="8">
        <v>2148</v>
      </c>
      <c r="B96" t="str" cm="1">
        <f t="array" ref="B96">_xlfn.IFS(A96&lt;=8000,"low",A96&lt;15000,"medium",A96&gt;=15000,"high")</f>
        <v>low</v>
      </c>
      <c r="G96" s="1">
        <v>8</v>
      </c>
      <c r="H96" t="str" cm="1">
        <f t="array" ref="H96">_xlfn.IFS(G96&lt;=15,"Junior",G96&lt;=30,"Mid level",G96&gt;30,"Lead")</f>
        <v>Junior</v>
      </c>
    </row>
    <row r="97" spans="1:8" x14ac:dyDescent="0.3">
      <c r="A97" s="7">
        <v>2153</v>
      </c>
      <c r="B97" t="str" cm="1">
        <f t="array" ref="B97">_xlfn.IFS(A97&lt;=8000,"low",A97&lt;15000,"medium",A97&gt;=15000,"high")</f>
        <v>low</v>
      </c>
      <c r="G97" s="2">
        <v>4</v>
      </c>
      <c r="H97" t="str" cm="1">
        <f t="array" ref="H97">_xlfn.IFS(G97&lt;=15,"Junior",G97&lt;=30,"Mid level",G97&gt;30,"Lead")</f>
        <v>Junior</v>
      </c>
    </row>
    <row r="98" spans="1:8" x14ac:dyDescent="0.3">
      <c r="A98" s="8">
        <v>2154</v>
      </c>
      <c r="B98" t="str" cm="1">
        <f t="array" ref="B98">_xlfn.IFS(A98&lt;=8000,"low",A98&lt;15000,"medium",A98&gt;=15000,"high")</f>
        <v>low</v>
      </c>
      <c r="G98" s="1">
        <v>3</v>
      </c>
      <c r="H98" t="str" cm="1">
        <f t="array" ref="H98">_xlfn.IFS(G98&lt;=15,"Junior",G98&lt;=30,"Mid level",G98&gt;30,"Lead")</f>
        <v>Junior</v>
      </c>
    </row>
    <row r="99" spans="1:8" x14ac:dyDescent="0.3">
      <c r="A99" s="7">
        <v>2157</v>
      </c>
      <c r="B99" t="str" cm="1">
        <f t="array" ref="B99">_xlfn.IFS(A99&lt;=8000,"low",A99&lt;15000,"medium",A99&gt;=15000,"high")</f>
        <v>low</v>
      </c>
      <c r="G99" s="2">
        <v>4</v>
      </c>
      <c r="H99" t="str" cm="1">
        <f t="array" ref="H99">_xlfn.IFS(G99&lt;=15,"Junior",G99&lt;=30,"Mid level",G99&gt;30,"Lead")</f>
        <v>Junior</v>
      </c>
    </row>
    <row r="100" spans="1:8" x14ac:dyDescent="0.3">
      <c r="A100" s="8">
        <v>2166</v>
      </c>
      <c r="B100" t="str" cm="1">
        <f t="array" ref="B100">_xlfn.IFS(A100&lt;=8000,"low",A100&lt;15000,"medium",A100&gt;=15000,"high")</f>
        <v>low</v>
      </c>
      <c r="G100" s="1">
        <v>5</v>
      </c>
      <c r="H100" t="str" cm="1">
        <f t="array" ref="H100">_xlfn.IFS(G100&lt;=15,"Junior",G100&lt;=30,"Mid level",G100&gt;30,"Lead")</f>
        <v>Junior</v>
      </c>
    </row>
    <row r="101" spans="1:8" x14ac:dyDescent="0.3">
      <c r="A101" s="7">
        <v>2168</v>
      </c>
      <c r="B101" t="str" cm="1">
        <f t="array" ref="B101">_xlfn.IFS(A101&lt;=8000,"low",A101&lt;15000,"medium",A101&gt;=15000,"high")</f>
        <v>low</v>
      </c>
      <c r="G101" s="2">
        <v>3</v>
      </c>
      <c r="H101" t="str" cm="1">
        <f t="array" ref="H101">_xlfn.IFS(G101&lt;=15,"Junior",G101&lt;=30,"Mid level",G101&gt;30,"Lead")</f>
        <v>Junior</v>
      </c>
    </row>
    <row r="102" spans="1:8" x14ac:dyDescent="0.3">
      <c r="A102" s="8">
        <v>2174</v>
      </c>
      <c r="B102" t="str" cm="1">
        <f t="array" ref="B102">_xlfn.IFS(A102&lt;=8000,"low",A102&lt;15000,"medium",A102&gt;=15000,"high")</f>
        <v>low</v>
      </c>
      <c r="G102" s="1">
        <v>6</v>
      </c>
      <c r="H102" t="str" cm="1">
        <f t="array" ref="H102">_xlfn.IFS(G102&lt;=15,"Junior",G102&lt;=30,"Mid level",G102&gt;30,"Lead")</f>
        <v>Junior</v>
      </c>
    </row>
    <row r="103" spans="1:8" x14ac:dyDescent="0.3">
      <c r="A103" s="7">
        <v>2176</v>
      </c>
      <c r="B103" t="str" cm="1">
        <f t="array" ref="B103">_xlfn.IFS(A103&lt;=8000,"low",A103&lt;15000,"medium",A103&gt;=15000,"high")</f>
        <v>low</v>
      </c>
      <c r="G103" s="2">
        <v>1</v>
      </c>
      <c r="H103" t="str" cm="1">
        <f t="array" ref="H103">_xlfn.IFS(G103&lt;=15,"Junior",G103&lt;=30,"Mid level",G103&gt;30,"Lead")</f>
        <v>Junior</v>
      </c>
    </row>
    <row r="104" spans="1:8" x14ac:dyDescent="0.3">
      <c r="A104" s="8">
        <v>2177</v>
      </c>
      <c r="B104" t="str" cm="1">
        <f t="array" ref="B104">_xlfn.IFS(A104&lt;=8000,"low",A104&lt;15000,"medium",A104&gt;=15000,"high")</f>
        <v>low</v>
      </c>
      <c r="G104" s="1">
        <v>6</v>
      </c>
      <c r="H104" t="str" cm="1">
        <f t="array" ref="H104">_xlfn.IFS(G104&lt;=15,"Junior",G104&lt;=30,"Mid level",G104&gt;30,"Lead")</f>
        <v>Junior</v>
      </c>
    </row>
    <row r="105" spans="1:8" x14ac:dyDescent="0.3">
      <c r="A105" s="7">
        <v>2177</v>
      </c>
      <c r="B105" t="str" cm="1">
        <f t="array" ref="B105">_xlfn.IFS(A105&lt;=8000,"low",A105&lt;15000,"medium",A105&gt;=15000,"high")</f>
        <v>low</v>
      </c>
      <c r="G105" s="2">
        <v>4</v>
      </c>
      <c r="H105" t="str" cm="1">
        <f t="array" ref="H105">_xlfn.IFS(G105&lt;=15,"Junior",G105&lt;=30,"Mid level",G105&gt;30,"Lead")</f>
        <v>Junior</v>
      </c>
    </row>
    <row r="106" spans="1:8" x14ac:dyDescent="0.3">
      <c r="A106" s="8">
        <v>2180</v>
      </c>
      <c r="B106" t="str" cm="1">
        <f t="array" ref="B106">_xlfn.IFS(A106&lt;=8000,"low",A106&lt;15000,"medium",A106&gt;=15000,"high")</f>
        <v>low</v>
      </c>
      <c r="G106" s="1">
        <v>5</v>
      </c>
      <c r="H106" t="str" cm="1">
        <f t="array" ref="H106">_xlfn.IFS(G106&lt;=15,"Junior",G106&lt;=30,"Mid level",G106&gt;30,"Lead")</f>
        <v>Junior</v>
      </c>
    </row>
    <row r="107" spans="1:8" x14ac:dyDescent="0.3">
      <c r="A107" s="7">
        <v>2187</v>
      </c>
      <c r="B107" t="str" cm="1">
        <f t="array" ref="B107">_xlfn.IFS(A107&lt;=8000,"low",A107&lt;15000,"medium",A107&gt;=15000,"high")</f>
        <v>low</v>
      </c>
      <c r="G107" s="2">
        <v>2</v>
      </c>
      <c r="H107" t="str" cm="1">
        <f t="array" ref="H107">_xlfn.IFS(G107&lt;=15,"Junior",G107&lt;=30,"Mid level",G107&gt;30,"Lead")</f>
        <v>Junior</v>
      </c>
    </row>
    <row r="108" spans="1:8" x14ac:dyDescent="0.3">
      <c r="A108" s="8">
        <v>2187</v>
      </c>
      <c r="B108" t="str" cm="1">
        <f t="array" ref="B108">_xlfn.IFS(A108&lt;=8000,"low",A108&lt;15000,"medium",A108&gt;=15000,"high")</f>
        <v>low</v>
      </c>
      <c r="G108" s="1">
        <v>3</v>
      </c>
      <c r="H108" t="str" cm="1">
        <f t="array" ref="H108">_xlfn.IFS(G108&lt;=15,"Junior",G108&lt;=30,"Mid level",G108&gt;30,"Lead")</f>
        <v>Junior</v>
      </c>
    </row>
    <row r="109" spans="1:8" x14ac:dyDescent="0.3">
      <c r="A109" s="7">
        <v>2194</v>
      </c>
      <c r="B109" t="str" cm="1">
        <f t="array" ref="B109">_xlfn.IFS(A109&lt;=8000,"low",A109&lt;15000,"medium",A109&gt;=15000,"high")</f>
        <v>low</v>
      </c>
      <c r="G109" s="2">
        <v>3</v>
      </c>
      <c r="H109" t="str" cm="1">
        <f t="array" ref="H109">_xlfn.IFS(G109&lt;=15,"Junior",G109&lt;=30,"Mid level",G109&gt;30,"Lead")</f>
        <v>Junior</v>
      </c>
    </row>
    <row r="110" spans="1:8" x14ac:dyDescent="0.3">
      <c r="A110" s="8">
        <v>2201</v>
      </c>
      <c r="B110" t="str" cm="1">
        <f t="array" ref="B110">_xlfn.IFS(A110&lt;=8000,"low",A110&lt;15000,"medium",A110&gt;=15000,"high")</f>
        <v>low</v>
      </c>
      <c r="G110" s="1">
        <v>10</v>
      </c>
      <c r="H110" t="str" cm="1">
        <f t="array" ref="H110">_xlfn.IFS(G110&lt;=15,"Junior",G110&lt;=30,"Mid level",G110&gt;30,"Lead")</f>
        <v>Junior</v>
      </c>
    </row>
    <row r="111" spans="1:8" x14ac:dyDescent="0.3">
      <c r="A111" s="7">
        <v>2206</v>
      </c>
      <c r="B111" t="str" cm="1">
        <f t="array" ref="B111">_xlfn.IFS(A111&lt;=8000,"low",A111&lt;15000,"medium",A111&gt;=15000,"high")</f>
        <v>low</v>
      </c>
      <c r="G111" s="2">
        <v>4</v>
      </c>
      <c r="H111" t="str" cm="1">
        <f t="array" ref="H111">_xlfn.IFS(G111&lt;=15,"Junior",G111&lt;=30,"Mid level",G111&gt;30,"Lead")</f>
        <v>Junior</v>
      </c>
    </row>
    <row r="112" spans="1:8" x14ac:dyDescent="0.3">
      <c r="A112" s="8">
        <v>2207</v>
      </c>
      <c r="B112" t="str" cm="1">
        <f t="array" ref="B112">_xlfn.IFS(A112&lt;=8000,"low",A112&lt;15000,"medium",A112&gt;=15000,"high")</f>
        <v>low</v>
      </c>
      <c r="G112" s="1">
        <v>1</v>
      </c>
      <c r="H112" t="str" cm="1">
        <f t="array" ref="H112">_xlfn.IFS(G112&lt;=15,"Junior",G112&lt;=30,"Mid level",G112&gt;30,"Lead")</f>
        <v>Junior</v>
      </c>
    </row>
    <row r="113" spans="1:8" x14ac:dyDescent="0.3">
      <c r="A113" s="7">
        <v>2210</v>
      </c>
      <c r="B113" t="str" cm="1">
        <f t="array" ref="B113">_xlfn.IFS(A113&lt;=8000,"low",A113&lt;15000,"medium",A113&gt;=15000,"high")</f>
        <v>low</v>
      </c>
      <c r="G113" s="2">
        <v>7</v>
      </c>
      <c r="H113" t="str" cm="1">
        <f t="array" ref="H113">_xlfn.IFS(G113&lt;=15,"Junior",G113&lt;=30,"Mid level",G113&gt;30,"Lead")</f>
        <v>Junior</v>
      </c>
    </row>
    <row r="114" spans="1:8" x14ac:dyDescent="0.3">
      <c r="A114" s="8">
        <v>2213</v>
      </c>
      <c r="B114" t="str" cm="1">
        <f t="array" ref="B114">_xlfn.IFS(A114&lt;=8000,"low",A114&lt;15000,"medium",A114&gt;=15000,"high")</f>
        <v>low</v>
      </c>
      <c r="G114" s="1">
        <v>7</v>
      </c>
      <c r="H114" t="str" cm="1">
        <f t="array" ref="H114">_xlfn.IFS(G114&lt;=15,"Junior",G114&lt;=30,"Mid level",G114&gt;30,"Lead")</f>
        <v>Junior</v>
      </c>
    </row>
    <row r="115" spans="1:8" x14ac:dyDescent="0.3">
      <c r="A115" s="7">
        <v>2216</v>
      </c>
      <c r="B115" t="str" cm="1">
        <f t="array" ref="B115">_xlfn.IFS(A115&lt;=8000,"low",A115&lt;15000,"medium",A115&gt;=15000,"high")</f>
        <v>low</v>
      </c>
      <c r="G115" s="2">
        <v>4</v>
      </c>
      <c r="H115" t="str" cm="1">
        <f t="array" ref="H115">_xlfn.IFS(G115&lt;=15,"Junior",G115&lt;=30,"Mid level",G115&gt;30,"Lead")</f>
        <v>Junior</v>
      </c>
    </row>
    <row r="116" spans="1:8" x14ac:dyDescent="0.3">
      <c r="A116" s="8">
        <v>2218</v>
      </c>
      <c r="B116" t="str" cm="1">
        <f t="array" ref="B116">_xlfn.IFS(A116&lt;=8000,"low",A116&lt;15000,"medium",A116&gt;=15000,"high")</f>
        <v>low</v>
      </c>
      <c r="G116" s="1">
        <v>1</v>
      </c>
      <c r="H116" t="str" cm="1">
        <f t="array" ref="H116">_xlfn.IFS(G116&lt;=15,"Junior",G116&lt;=30,"Mid level",G116&gt;30,"Lead")</f>
        <v>Junior</v>
      </c>
    </row>
    <row r="117" spans="1:8" x14ac:dyDescent="0.3">
      <c r="A117" s="7">
        <v>2220</v>
      </c>
      <c r="B117" t="str" cm="1">
        <f t="array" ref="B117">_xlfn.IFS(A117&lt;=8000,"low",A117&lt;15000,"medium",A117&gt;=15000,"high")</f>
        <v>low</v>
      </c>
      <c r="G117" s="2">
        <v>5</v>
      </c>
      <c r="H117" t="str" cm="1">
        <f t="array" ref="H117">_xlfn.IFS(G117&lt;=15,"Junior",G117&lt;=30,"Mid level",G117&gt;30,"Lead")</f>
        <v>Junior</v>
      </c>
    </row>
    <row r="118" spans="1:8" x14ac:dyDescent="0.3">
      <c r="A118" s="8">
        <v>2226</v>
      </c>
      <c r="B118" t="str" cm="1">
        <f t="array" ref="B118">_xlfn.IFS(A118&lt;=8000,"low",A118&lt;15000,"medium",A118&gt;=15000,"high")</f>
        <v>low</v>
      </c>
      <c r="G118" s="1">
        <v>4</v>
      </c>
      <c r="H118" t="str" cm="1">
        <f t="array" ref="H118">_xlfn.IFS(G118&lt;=15,"Junior",G118&lt;=30,"Mid level",G118&gt;30,"Lead")</f>
        <v>Junior</v>
      </c>
    </row>
    <row r="119" spans="1:8" x14ac:dyDescent="0.3">
      <c r="A119" s="7">
        <v>2231</v>
      </c>
      <c r="B119" t="str" cm="1">
        <f t="array" ref="B119">_xlfn.IFS(A119&lt;=8000,"low",A119&lt;15000,"medium",A119&gt;=15000,"high")</f>
        <v>low</v>
      </c>
      <c r="G119" s="2">
        <v>3</v>
      </c>
      <c r="H119" t="str" cm="1">
        <f t="array" ref="H119">_xlfn.IFS(G119&lt;=15,"Junior",G119&lt;=30,"Mid level",G119&gt;30,"Lead")</f>
        <v>Junior</v>
      </c>
    </row>
    <row r="120" spans="1:8" x14ac:dyDescent="0.3">
      <c r="A120" s="8">
        <v>2232</v>
      </c>
      <c r="B120" t="str" cm="1">
        <f t="array" ref="B120">_xlfn.IFS(A120&lt;=8000,"low",A120&lt;15000,"medium",A120&gt;=15000,"high")</f>
        <v>low</v>
      </c>
      <c r="G120" s="1">
        <v>9</v>
      </c>
      <c r="H120" t="str" cm="1">
        <f t="array" ref="H120">_xlfn.IFS(G120&lt;=15,"Junior",G120&lt;=30,"Mid level",G120&gt;30,"Lead")</f>
        <v>Junior</v>
      </c>
    </row>
    <row r="121" spans="1:8" x14ac:dyDescent="0.3">
      <c r="A121" s="7">
        <v>2235</v>
      </c>
      <c r="B121" t="str" cm="1">
        <f t="array" ref="B121">_xlfn.IFS(A121&lt;=8000,"low",A121&lt;15000,"medium",A121&gt;=15000,"high")</f>
        <v>low</v>
      </c>
      <c r="G121" s="2">
        <v>5</v>
      </c>
      <c r="H121" t="str" cm="1">
        <f t="array" ref="H121">_xlfn.IFS(G121&lt;=15,"Junior",G121&lt;=30,"Mid level",G121&gt;30,"Lead")</f>
        <v>Junior</v>
      </c>
    </row>
    <row r="122" spans="1:8" x14ac:dyDescent="0.3">
      <c r="A122" s="8">
        <v>2238</v>
      </c>
      <c r="B122" t="str" cm="1">
        <f t="array" ref="B122">_xlfn.IFS(A122&lt;=8000,"low",A122&lt;15000,"medium",A122&gt;=15000,"high")</f>
        <v>low</v>
      </c>
      <c r="G122" s="1">
        <v>2</v>
      </c>
      <c r="H122" t="str" cm="1">
        <f t="array" ref="H122">_xlfn.IFS(G122&lt;=15,"Junior",G122&lt;=30,"Mid level",G122&gt;30,"Lead")</f>
        <v>Junior</v>
      </c>
    </row>
    <row r="123" spans="1:8" x14ac:dyDescent="0.3">
      <c r="A123" s="7">
        <v>2244</v>
      </c>
      <c r="B123" t="str" cm="1">
        <f t="array" ref="B123">_xlfn.IFS(A123&lt;=8000,"low",A123&lt;15000,"medium",A123&gt;=15000,"high")</f>
        <v>low</v>
      </c>
      <c r="G123" s="2">
        <v>3</v>
      </c>
      <c r="H123" t="str" cm="1">
        <f t="array" ref="H123">_xlfn.IFS(G123&lt;=15,"Junior",G123&lt;=30,"Mid level",G123&gt;30,"Lead")</f>
        <v>Junior</v>
      </c>
    </row>
    <row r="124" spans="1:8" x14ac:dyDescent="0.3">
      <c r="A124" s="8">
        <v>2258</v>
      </c>
      <c r="B124" t="str" cm="1">
        <f t="array" ref="B124">_xlfn.IFS(A124&lt;=8000,"low",A124&lt;15000,"medium",A124&gt;=15000,"high")</f>
        <v>low</v>
      </c>
      <c r="G124" s="1">
        <v>8</v>
      </c>
      <c r="H124" t="str" cm="1">
        <f t="array" ref="H124">_xlfn.IFS(G124&lt;=15,"Junior",G124&lt;=30,"Mid level",G124&gt;30,"Lead")</f>
        <v>Junior</v>
      </c>
    </row>
    <row r="125" spans="1:8" x14ac:dyDescent="0.3">
      <c r="A125" s="7">
        <v>2258</v>
      </c>
      <c r="B125" t="str" cm="1">
        <f t="array" ref="B125">_xlfn.IFS(A125&lt;=8000,"low",A125&lt;15000,"medium",A125&gt;=15000,"high")</f>
        <v>low</v>
      </c>
      <c r="G125" s="2">
        <v>0</v>
      </c>
      <c r="H125" t="str" cm="1">
        <f t="array" ref="H125">_xlfn.IFS(G125&lt;=15,"Junior",G125&lt;=30,"Mid level",G125&gt;30,"Lead")</f>
        <v>Junior</v>
      </c>
    </row>
    <row r="126" spans="1:8" x14ac:dyDescent="0.3">
      <c r="A126" s="8">
        <v>2259</v>
      </c>
      <c r="B126" t="str" cm="1">
        <f t="array" ref="B126">_xlfn.IFS(A126&lt;=8000,"low",A126&lt;15000,"medium",A126&gt;=15000,"high")</f>
        <v>low</v>
      </c>
      <c r="G126" s="1">
        <v>2</v>
      </c>
      <c r="H126" t="str" cm="1">
        <f t="array" ref="H126">_xlfn.IFS(G126&lt;=15,"Junior",G126&lt;=30,"Mid level",G126&gt;30,"Lead")</f>
        <v>Junior</v>
      </c>
    </row>
    <row r="127" spans="1:8" x14ac:dyDescent="0.3">
      <c r="A127" s="7">
        <v>2267</v>
      </c>
      <c r="B127" t="str" cm="1">
        <f t="array" ref="B127">_xlfn.IFS(A127&lt;=8000,"low",A127&lt;15000,"medium",A127&gt;=15000,"high")</f>
        <v>low</v>
      </c>
      <c r="G127" s="2">
        <v>1</v>
      </c>
      <c r="H127" t="str" cm="1">
        <f t="array" ref="H127">_xlfn.IFS(G127&lt;=15,"Junior",G127&lt;=30,"Mid level",G127&gt;30,"Lead")</f>
        <v>Junior</v>
      </c>
    </row>
    <row r="128" spans="1:8" x14ac:dyDescent="0.3">
      <c r="A128" s="8">
        <v>2269</v>
      </c>
      <c r="B128" t="str" cm="1">
        <f t="array" ref="B128">_xlfn.IFS(A128&lt;=8000,"low",A128&lt;15000,"medium",A128&gt;=15000,"high")</f>
        <v>low</v>
      </c>
      <c r="G128" s="1">
        <v>2</v>
      </c>
      <c r="H128" t="str" cm="1">
        <f t="array" ref="H128">_xlfn.IFS(G128&lt;=15,"Junior",G128&lt;=30,"Mid level",G128&gt;30,"Lead")</f>
        <v>Junior</v>
      </c>
    </row>
    <row r="129" spans="1:8" x14ac:dyDescent="0.3">
      <c r="A129" s="7">
        <v>2269</v>
      </c>
      <c r="B129" t="str" cm="1">
        <f t="array" ref="B129">_xlfn.IFS(A129&lt;=8000,"low",A129&lt;15000,"medium",A129&gt;=15000,"high")</f>
        <v>low</v>
      </c>
      <c r="G129" s="2">
        <v>5</v>
      </c>
      <c r="H129" t="str" cm="1">
        <f t="array" ref="H129">_xlfn.IFS(G129&lt;=15,"Junior",G129&lt;=30,"Mid level",G129&gt;30,"Lead")</f>
        <v>Junior</v>
      </c>
    </row>
    <row r="130" spans="1:8" x14ac:dyDescent="0.3">
      <c r="A130" s="8">
        <v>2270</v>
      </c>
      <c r="B130" t="str" cm="1">
        <f t="array" ref="B130">_xlfn.IFS(A130&lt;=8000,"low",A130&lt;15000,"medium",A130&gt;=15000,"high")</f>
        <v>low</v>
      </c>
      <c r="G130" s="1">
        <v>4</v>
      </c>
      <c r="H130" t="str" cm="1">
        <f t="array" ref="H130">_xlfn.IFS(G130&lt;=15,"Junior",G130&lt;=30,"Mid level",G130&gt;30,"Lead")</f>
        <v>Junior</v>
      </c>
    </row>
    <row r="131" spans="1:8" x14ac:dyDescent="0.3">
      <c r="A131" s="7">
        <v>2272</v>
      </c>
      <c r="B131" t="str" cm="1">
        <f t="array" ref="B131">_xlfn.IFS(A131&lt;=8000,"low",A131&lt;15000,"medium",A131&gt;=15000,"high")</f>
        <v>low</v>
      </c>
      <c r="G131" s="2">
        <v>1</v>
      </c>
      <c r="H131" t="str" cm="1">
        <f t="array" ref="H131">_xlfn.IFS(G131&lt;=15,"Junior",G131&lt;=30,"Mid level",G131&gt;30,"Lead")</f>
        <v>Junior</v>
      </c>
    </row>
    <row r="132" spans="1:8" x14ac:dyDescent="0.3">
      <c r="A132" s="8">
        <v>2274</v>
      </c>
      <c r="B132" t="str" cm="1">
        <f t="array" ref="B132">_xlfn.IFS(A132&lt;=8000,"low",A132&lt;15000,"medium",A132&gt;=15000,"high")</f>
        <v>low</v>
      </c>
      <c r="G132" s="1">
        <v>3</v>
      </c>
      <c r="H132" t="str" cm="1">
        <f t="array" ref="H132">_xlfn.IFS(G132&lt;=15,"Junior",G132&lt;=30,"Mid level",G132&gt;30,"Lead")</f>
        <v>Junior</v>
      </c>
    </row>
    <row r="133" spans="1:8" x14ac:dyDescent="0.3">
      <c r="A133" s="7">
        <v>2275</v>
      </c>
      <c r="B133" t="str" cm="1">
        <f t="array" ref="B133">_xlfn.IFS(A133&lt;=8000,"low",A133&lt;15000,"medium",A133&gt;=15000,"high")</f>
        <v>low</v>
      </c>
      <c r="G133" s="2">
        <v>4</v>
      </c>
      <c r="H133" t="str" cm="1">
        <f t="array" ref="H133">_xlfn.IFS(G133&lt;=15,"Junior",G133&lt;=30,"Mid level",G133&gt;30,"Lead")</f>
        <v>Junior</v>
      </c>
    </row>
    <row r="134" spans="1:8" x14ac:dyDescent="0.3">
      <c r="A134" s="8">
        <v>2277</v>
      </c>
      <c r="B134" t="str" cm="1">
        <f t="array" ref="B134">_xlfn.IFS(A134&lt;=8000,"low",A134&lt;15000,"medium",A134&gt;=15000,"high")</f>
        <v>low</v>
      </c>
      <c r="G134" s="1">
        <v>7</v>
      </c>
      <c r="H134" t="str" cm="1">
        <f t="array" ref="H134">_xlfn.IFS(G134&lt;=15,"Junior",G134&lt;=30,"Mid level",G134&gt;30,"Lead")</f>
        <v>Junior</v>
      </c>
    </row>
    <row r="135" spans="1:8" x14ac:dyDescent="0.3">
      <c r="A135" s="7">
        <v>2279</v>
      </c>
      <c r="B135" t="str" cm="1">
        <f t="array" ref="B135">_xlfn.IFS(A135&lt;=8000,"low",A135&lt;15000,"medium",A135&gt;=15000,"high")</f>
        <v>low</v>
      </c>
      <c r="G135" s="2">
        <v>1</v>
      </c>
      <c r="H135" t="str" cm="1">
        <f t="array" ref="H135">_xlfn.IFS(G135&lt;=15,"Junior",G135&lt;=30,"Mid level",G135&gt;30,"Lead")</f>
        <v>Junior</v>
      </c>
    </row>
    <row r="136" spans="1:8" x14ac:dyDescent="0.3">
      <c r="A136" s="8">
        <v>2285</v>
      </c>
      <c r="B136" t="str" cm="1">
        <f t="array" ref="B136">_xlfn.IFS(A136&lt;=8000,"low",A136&lt;15000,"medium",A136&gt;=15000,"high")</f>
        <v>low</v>
      </c>
      <c r="G136" s="1">
        <v>2</v>
      </c>
      <c r="H136" t="str" cm="1">
        <f t="array" ref="H136">_xlfn.IFS(G136&lt;=15,"Junior",G136&lt;=30,"Mid level",G136&gt;30,"Lead")</f>
        <v>Junior</v>
      </c>
    </row>
    <row r="137" spans="1:8" x14ac:dyDescent="0.3">
      <c r="A137" s="7">
        <v>2288</v>
      </c>
      <c r="B137" t="str" cm="1">
        <f t="array" ref="B137">_xlfn.IFS(A137&lt;=8000,"low",A137&lt;15000,"medium",A137&gt;=15000,"high")</f>
        <v>low</v>
      </c>
      <c r="G137" s="2">
        <v>5</v>
      </c>
      <c r="H137" t="str" cm="1">
        <f t="array" ref="H137">_xlfn.IFS(G137&lt;=15,"Junior",G137&lt;=30,"Mid level",G137&gt;30,"Lead")</f>
        <v>Junior</v>
      </c>
    </row>
    <row r="138" spans="1:8" x14ac:dyDescent="0.3">
      <c r="A138" s="8">
        <v>2289</v>
      </c>
      <c r="B138" t="str" cm="1">
        <f t="array" ref="B138">_xlfn.IFS(A138&lt;=8000,"low",A138&lt;15000,"medium",A138&gt;=15000,"high")</f>
        <v>low</v>
      </c>
      <c r="G138" s="1">
        <v>0</v>
      </c>
      <c r="H138" t="str" cm="1">
        <f t="array" ref="H138">_xlfn.IFS(G138&lt;=15,"Junior",G138&lt;=30,"Mid level",G138&gt;30,"Lead")</f>
        <v>Junior</v>
      </c>
    </row>
    <row r="139" spans="1:8" x14ac:dyDescent="0.3">
      <c r="A139" s="7">
        <v>2290</v>
      </c>
      <c r="B139" t="str" cm="1">
        <f t="array" ref="B139">_xlfn.IFS(A139&lt;=8000,"low",A139&lt;15000,"medium",A139&gt;=15000,"high")</f>
        <v>low</v>
      </c>
      <c r="G139" s="2">
        <v>2</v>
      </c>
      <c r="H139" t="str" cm="1">
        <f t="array" ref="H139">_xlfn.IFS(G139&lt;=15,"Junior",G139&lt;=30,"Mid level",G139&gt;30,"Lead")</f>
        <v>Junior</v>
      </c>
    </row>
    <row r="140" spans="1:8" x14ac:dyDescent="0.3">
      <c r="A140" s="8">
        <v>2293</v>
      </c>
      <c r="B140" t="str" cm="1">
        <f t="array" ref="B140">_xlfn.IFS(A140&lt;=8000,"low",A140&lt;15000,"medium",A140&gt;=15000,"high")</f>
        <v>low</v>
      </c>
      <c r="G140" s="1">
        <v>1</v>
      </c>
      <c r="H140" t="str" cm="1">
        <f t="array" ref="H140">_xlfn.IFS(G140&lt;=15,"Junior",G140&lt;=30,"Mid level",G140&gt;30,"Lead")</f>
        <v>Junior</v>
      </c>
    </row>
    <row r="141" spans="1:8" x14ac:dyDescent="0.3">
      <c r="A141" s="7">
        <v>2293</v>
      </c>
      <c r="B141" t="str" cm="1">
        <f t="array" ref="B141">_xlfn.IFS(A141&lt;=8000,"low",A141&lt;15000,"medium",A141&gt;=15000,"high")</f>
        <v>low</v>
      </c>
      <c r="G141" s="2">
        <v>1</v>
      </c>
      <c r="H141" t="str" cm="1">
        <f t="array" ref="H141">_xlfn.IFS(G141&lt;=15,"Junior",G141&lt;=30,"Mid level",G141&gt;30,"Lead")</f>
        <v>Junior</v>
      </c>
    </row>
    <row r="142" spans="1:8" x14ac:dyDescent="0.3">
      <c r="A142" s="8">
        <v>2296</v>
      </c>
      <c r="B142" t="str" cm="1">
        <f t="array" ref="B142">_xlfn.IFS(A142&lt;=8000,"low",A142&lt;15000,"medium",A142&gt;=15000,"high")</f>
        <v>low</v>
      </c>
      <c r="G142" s="1">
        <v>2</v>
      </c>
      <c r="H142" t="str" cm="1">
        <f t="array" ref="H142">_xlfn.IFS(G142&lt;=15,"Junior",G142&lt;=30,"Mid level",G142&gt;30,"Lead")</f>
        <v>Junior</v>
      </c>
    </row>
    <row r="143" spans="1:8" x14ac:dyDescent="0.3">
      <c r="A143" s="7">
        <v>2297</v>
      </c>
      <c r="B143" t="str" cm="1">
        <f t="array" ref="B143">_xlfn.IFS(A143&lt;=8000,"low",A143&lt;15000,"medium",A143&gt;=15000,"high")</f>
        <v>low</v>
      </c>
      <c r="G143" s="2">
        <v>3</v>
      </c>
      <c r="H143" t="str" cm="1">
        <f t="array" ref="H143">_xlfn.IFS(G143&lt;=15,"Junior",G143&lt;=30,"Mid level",G143&gt;30,"Lead")</f>
        <v>Junior</v>
      </c>
    </row>
    <row r="144" spans="1:8" x14ac:dyDescent="0.3">
      <c r="A144" s="8">
        <v>2302</v>
      </c>
      <c r="B144" t="str" cm="1">
        <f t="array" ref="B144">_xlfn.IFS(A144&lt;=8000,"low",A144&lt;15000,"medium",A144&gt;=15000,"high")</f>
        <v>low</v>
      </c>
      <c r="G144" s="1">
        <v>3</v>
      </c>
      <c r="H144" t="str" cm="1">
        <f t="array" ref="H144">_xlfn.IFS(G144&lt;=15,"Junior",G144&lt;=30,"Mid level",G144&gt;30,"Lead")</f>
        <v>Junior</v>
      </c>
    </row>
    <row r="145" spans="1:8" x14ac:dyDescent="0.3">
      <c r="A145" s="7">
        <v>2305</v>
      </c>
      <c r="B145" t="str" cm="1">
        <f t="array" ref="B145">_xlfn.IFS(A145&lt;=8000,"low",A145&lt;15000,"medium",A145&gt;=15000,"high")</f>
        <v>low</v>
      </c>
      <c r="G145" s="2">
        <v>7</v>
      </c>
      <c r="H145" t="str" cm="1">
        <f t="array" ref="H145">_xlfn.IFS(G145&lt;=15,"Junior",G145&lt;=30,"Mid level",G145&gt;30,"Lead")</f>
        <v>Junior</v>
      </c>
    </row>
    <row r="146" spans="1:8" x14ac:dyDescent="0.3">
      <c r="A146" s="8">
        <v>2306</v>
      </c>
      <c r="B146" t="str" cm="1">
        <f t="array" ref="B146">_xlfn.IFS(A146&lt;=8000,"low",A146&lt;15000,"medium",A146&gt;=15000,"high")</f>
        <v>low</v>
      </c>
      <c r="G146" s="1">
        <v>5</v>
      </c>
      <c r="H146" t="str" cm="1">
        <f t="array" ref="H146">_xlfn.IFS(G146&lt;=15,"Junior",G146&lt;=30,"Mid level",G146&gt;30,"Lead")</f>
        <v>Junior</v>
      </c>
    </row>
    <row r="147" spans="1:8" x14ac:dyDescent="0.3">
      <c r="A147" s="7">
        <v>2307</v>
      </c>
      <c r="B147" t="str" cm="1">
        <f t="array" ref="B147">_xlfn.IFS(A147&lt;=8000,"low",A147&lt;15000,"medium",A147&gt;=15000,"high")</f>
        <v>low</v>
      </c>
      <c r="G147" s="2">
        <v>11</v>
      </c>
      <c r="H147" t="str" cm="1">
        <f t="array" ref="H147">_xlfn.IFS(G147&lt;=15,"Junior",G147&lt;=30,"Mid level",G147&gt;30,"Lead")</f>
        <v>Junior</v>
      </c>
    </row>
    <row r="148" spans="1:8" x14ac:dyDescent="0.3">
      <c r="A148" s="8">
        <v>2308</v>
      </c>
      <c r="B148" t="str" cm="1">
        <f t="array" ref="B148">_xlfn.IFS(A148&lt;=8000,"low",A148&lt;15000,"medium",A148&gt;=15000,"high")</f>
        <v>low</v>
      </c>
      <c r="G148" s="1">
        <v>3</v>
      </c>
      <c r="H148" t="str" cm="1">
        <f t="array" ref="H148">_xlfn.IFS(G148&lt;=15,"Junior",G148&lt;=30,"Mid level",G148&gt;30,"Lead")</f>
        <v>Junior</v>
      </c>
    </row>
    <row r="149" spans="1:8" x14ac:dyDescent="0.3">
      <c r="A149" s="7">
        <v>2311</v>
      </c>
      <c r="B149" t="str" cm="1">
        <f t="array" ref="B149">_xlfn.IFS(A149&lt;=8000,"low",A149&lt;15000,"medium",A149&gt;=15000,"high")</f>
        <v>low</v>
      </c>
      <c r="G149" s="2">
        <v>2</v>
      </c>
      <c r="H149" t="str" cm="1">
        <f t="array" ref="H149">_xlfn.IFS(G149&lt;=15,"Junior",G149&lt;=30,"Mid level",G149&gt;30,"Lead")</f>
        <v>Junior</v>
      </c>
    </row>
    <row r="150" spans="1:8" x14ac:dyDescent="0.3">
      <c r="A150" s="8">
        <v>2313</v>
      </c>
      <c r="B150" t="str" cm="1">
        <f t="array" ref="B150">_xlfn.IFS(A150&lt;=8000,"low",A150&lt;15000,"medium",A150&gt;=15000,"high")</f>
        <v>low</v>
      </c>
      <c r="G150" s="1">
        <v>3</v>
      </c>
      <c r="H150" t="str" cm="1">
        <f t="array" ref="H150">_xlfn.IFS(G150&lt;=15,"Junior",G150&lt;=30,"Mid level",G150&gt;30,"Lead")</f>
        <v>Junior</v>
      </c>
    </row>
    <row r="151" spans="1:8" x14ac:dyDescent="0.3">
      <c r="A151" s="7">
        <v>2314</v>
      </c>
      <c r="B151" t="str" cm="1">
        <f t="array" ref="B151">_xlfn.IFS(A151&lt;=8000,"low",A151&lt;15000,"medium",A151&gt;=15000,"high")</f>
        <v>low</v>
      </c>
      <c r="G151" s="2">
        <v>1</v>
      </c>
      <c r="H151" t="str" cm="1">
        <f t="array" ref="H151">_xlfn.IFS(G151&lt;=15,"Junior",G151&lt;=30,"Mid level",G151&gt;30,"Lead")</f>
        <v>Junior</v>
      </c>
    </row>
    <row r="152" spans="1:8" x14ac:dyDescent="0.3">
      <c r="A152" s="8">
        <v>2318</v>
      </c>
      <c r="B152" t="str" cm="1">
        <f t="array" ref="B152">_xlfn.IFS(A152&lt;=8000,"low",A152&lt;15000,"medium",A152&gt;=15000,"high")</f>
        <v>low</v>
      </c>
      <c r="G152" s="1">
        <v>1</v>
      </c>
      <c r="H152" t="str" cm="1">
        <f t="array" ref="H152">_xlfn.IFS(G152&lt;=15,"Junior",G152&lt;=30,"Mid level",G152&gt;30,"Lead")</f>
        <v>Junior</v>
      </c>
    </row>
    <row r="153" spans="1:8" x14ac:dyDescent="0.3">
      <c r="A153" s="7">
        <v>2319</v>
      </c>
      <c r="B153" t="str" cm="1">
        <f t="array" ref="B153">_xlfn.IFS(A153&lt;=8000,"low",A153&lt;15000,"medium",A153&gt;=15000,"high")</f>
        <v>low</v>
      </c>
      <c r="G153" s="2">
        <v>3</v>
      </c>
      <c r="H153" t="str" cm="1">
        <f t="array" ref="H153">_xlfn.IFS(G153&lt;=15,"Junior",G153&lt;=30,"Mid level",G153&gt;30,"Lead")</f>
        <v>Junior</v>
      </c>
    </row>
    <row r="154" spans="1:8" x14ac:dyDescent="0.3">
      <c r="A154" s="8">
        <v>2321</v>
      </c>
      <c r="B154" t="str" cm="1">
        <f t="array" ref="B154">_xlfn.IFS(A154&lt;=8000,"low",A154&lt;15000,"medium",A154&gt;=15000,"high")</f>
        <v>low</v>
      </c>
      <c r="G154" s="1">
        <v>0</v>
      </c>
      <c r="H154" t="str" cm="1">
        <f t="array" ref="H154">_xlfn.IFS(G154&lt;=15,"Junior",G154&lt;=30,"Mid level",G154&gt;30,"Lead")</f>
        <v>Junior</v>
      </c>
    </row>
    <row r="155" spans="1:8" x14ac:dyDescent="0.3">
      <c r="A155" s="7">
        <v>2322</v>
      </c>
      <c r="B155" t="str" cm="1">
        <f t="array" ref="B155">_xlfn.IFS(A155&lt;=8000,"low",A155&lt;15000,"medium",A155&gt;=15000,"high")</f>
        <v>low</v>
      </c>
      <c r="G155" s="2">
        <v>2</v>
      </c>
      <c r="H155" t="str" cm="1">
        <f t="array" ref="H155">_xlfn.IFS(G155&lt;=15,"Junior",G155&lt;=30,"Mid level",G155&gt;30,"Lead")</f>
        <v>Junior</v>
      </c>
    </row>
    <row r="156" spans="1:8" x14ac:dyDescent="0.3">
      <c r="A156" s="8">
        <v>2323</v>
      </c>
      <c r="B156" t="str" cm="1">
        <f t="array" ref="B156">_xlfn.IFS(A156&lt;=8000,"low",A156&lt;15000,"medium",A156&gt;=15000,"high")</f>
        <v>low</v>
      </c>
      <c r="G156" s="1">
        <v>2</v>
      </c>
      <c r="H156" t="str" cm="1">
        <f t="array" ref="H156">_xlfn.IFS(G156&lt;=15,"Junior",G156&lt;=30,"Mid level",G156&gt;30,"Lead")</f>
        <v>Junior</v>
      </c>
    </row>
    <row r="157" spans="1:8" x14ac:dyDescent="0.3">
      <c r="A157" s="7">
        <v>2323</v>
      </c>
      <c r="B157" t="str" cm="1">
        <f t="array" ref="B157">_xlfn.IFS(A157&lt;=8000,"low",A157&lt;15000,"medium",A157&gt;=15000,"high")</f>
        <v>low</v>
      </c>
      <c r="G157" s="2">
        <v>0</v>
      </c>
      <c r="H157" t="str" cm="1">
        <f t="array" ref="H157">_xlfn.IFS(G157&lt;=15,"Junior",G157&lt;=30,"Mid level",G157&gt;30,"Lead")</f>
        <v>Junior</v>
      </c>
    </row>
    <row r="158" spans="1:8" x14ac:dyDescent="0.3">
      <c r="A158" s="8">
        <v>2325</v>
      </c>
      <c r="B158" t="str" cm="1">
        <f t="array" ref="B158">_xlfn.IFS(A158&lt;=8000,"low",A158&lt;15000,"medium",A158&gt;=15000,"high")</f>
        <v>low</v>
      </c>
      <c r="G158" s="1">
        <v>4</v>
      </c>
      <c r="H158" t="str" cm="1">
        <f t="array" ref="H158">_xlfn.IFS(G158&lt;=15,"Junior",G158&lt;=30,"Mid level",G158&gt;30,"Lead")</f>
        <v>Junior</v>
      </c>
    </row>
    <row r="159" spans="1:8" x14ac:dyDescent="0.3">
      <c r="A159" s="7">
        <v>2326</v>
      </c>
      <c r="B159" t="str" cm="1">
        <f t="array" ref="B159">_xlfn.IFS(A159&lt;=8000,"low",A159&lt;15000,"medium",A159&gt;=15000,"high")</f>
        <v>low</v>
      </c>
      <c r="G159" s="2">
        <v>4</v>
      </c>
      <c r="H159" t="str" cm="1">
        <f t="array" ref="H159">_xlfn.IFS(G159&lt;=15,"Junior",G159&lt;=30,"Mid level",G159&gt;30,"Lead")</f>
        <v>Junior</v>
      </c>
    </row>
    <row r="160" spans="1:8" x14ac:dyDescent="0.3">
      <c r="A160" s="8">
        <v>2328</v>
      </c>
      <c r="B160" t="str" cm="1">
        <f t="array" ref="B160">_xlfn.IFS(A160&lt;=8000,"low",A160&lt;15000,"medium",A160&gt;=15000,"high")</f>
        <v>low</v>
      </c>
      <c r="G160" s="1">
        <v>7</v>
      </c>
      <c r="H160" t="str" cm="1">
        <f t="array" ref="H160">_xlfn.IFS(G160&lt;=15,"Junior",G160&lt;=30,"Mid level",G160&gt;30,"Lead")</f>
        <v>Junior</v>
      </c>
    </row>
    <row r="161" spans="1:8" x14ac:dyDescent="0.3">
      <c r="A161" s="7">
        <v>2329</v>
      </c>
      <c r="B161" t="str" cm="1">
        <f t="array" ref="B161">_xlfn.IFS(A161&lt;=8000,"low",A161&lt;15000,"medium",A161&gt;=15000,"high")</f>
        <v>low</v>
      </c>
      <c r="G161" s="2">
        <v>3</v>
      </c>
      <c r="H161" t="str" cm="1">
        <f t="array" ref="H161">_xlfn.IFS(G161&lt;=15,"Junior",G161&lt;=30,"Mid level",G161&gt;30,"Lead")</f>
        <v>Junior</v>
      </c>
    </row>
    <row r="162" spans="1:8" x14ac:dyDescent="0.3">
      <c r="A162" s="8">
        <v>2332</v>
      </c>
      <c r="B162" t="str" cm="1">
        <f t="array" ref="B162">_xlfn.IFS(A162&lt;=8000,"low",A162&lt;15000,"medium",A162&gt;=15000,"high")</f>
        <v>low</v>
      </c>
      <c r="G162" s="1">
        <v>2</v>
      </c>
      <c r="H162" t="str" cm="1">
        <f t="array" ref="H162">_xlfn.IFS(G162&lt;=15,"Junior",G162&lt;=30,"Mid level",G162&gt;30,"Lead")</f>
        <v>Junior</v>
      </c>
    </row>
    <row r="163" spans="1:8" x14ac:dyDescent="0.3">
      <c r="A163" s="7">
        <v>2335</v>
      </c>
      <c r="B163" t="str" cm="1">
        <f t="array" ref="B163">_xlfn.IFS(A163&lt;=8000,"low",A163&lt;15000,"medium",A163&gt;=15000,"high")</f>
        <v>low</v>
      </c>
      <c r="G163" s="2">
        <v>10</v>
      </c>
      <c r="H163" t="str" cm="1">
        <f t="array" ref="H163">_xlfn.IFS(G163&lt;=15,"Junior",G163&lt;=30,"Mid level",G163&gt;30,"Lead")</f>
        <v>Junior</v>
      </c>
    </row>
    <row r="164" spans="1:8" x14ac:dyDescent="0.3">
      <c r="A164" s="8">
        <v>2339</v>
      </c>
      <c r="B164" t="str" cm="1">
        <f t="array" ref="B164">_xlfn.IFS(A164&lt;=8000,"low",A164&lt;15000,"medium",A164&gt;=15000,"high")</f>
        <v>low</v>
      </c>
      <c r="G164" s="1">
        <v>6</v>
      </c>
      <c r="H164" t="str" cm="1">
        <f t="array" ref="H164">_xlfn.IFS(G164&lt;=15,"Junior",G164&lt;=30,"Mid level",G164&gt;30,"Lead")</f>
        <v>Junior</v>
      </c>
    </row>
    <row r="165" spans="1:8" x14ac:dyDescent="0.3">
      <c r="A165" s="7">
        <v>2340</v>
      </c>
      <c r="B165" t="str" cm="1">
        <f t="array" ref="B165">_xlfn.IFS(A165&lt;=8000,"low",A165&lt;15000,"medium",A165&gt;=15000,"high")</f>
        <v>low</v>
      </c>
      <c r="G165" s="2">
        <v>1</v>
      </c>
      <c r="H165" t="str" cm="1">
        <f t="array" ref="H165">_xlfn.IFS(G165&lt;=15,"Junior",G165&lt;=30,"Mid level",G165&gt;30,"Lead")</f>
        <v>Junior</v>
      </c>
    </row>
    <row r="166" spans="1:8" x14ac:dyDescent="0.3">
      <c r="A166" s="8">
        <v>2340</v>
      </c>
      <c r="B166" t="str" cm="1">
        <f t="array" ref="B166">_xlfn.IFS(A166&lt;=8000,"low",A166&lt;15000,"medium",A166&gt;=15000,"high")</f>
        <v>low</v>
      </c>
      <c r="G166" s="1">
        <v>1</v>
      </c>
      <c r="H166" t="str" cm="1">
        <f t="array" ref="H166">_xlfn.IFS(G166&lt;=15,"Junior",G166&lt;=30,"Mid level",G166&gt;30,"Lead")</f>
        <v>Junior</v>
      </c>
    </row>
    <row r="167" spans="1:8" x14ac:dyDescent="0.3">
      <c r="A167" s="7">
        <v>2341</v>
      </c>
      <c r="B167" t="str" cm="1">
        <f t="array" ref="B167">_xlfn.IFS(A167&lt;=8000,"low",A167&lt;15000,"medium",A167&gt;=15000,"high")</f>
        <v>low</v>
      </c>
      <c r="G167" s="2">
        <v>4</v>
      </c>
      <c r="H167" t="str" cm="1">
        <f t="array" ref="H167">_xlfn.IFS(G167&lt;=15,"Junior",G167&lt;=30,"Mid level",G167&gt;30,"Lead")</f>
        <v>Junior</v>
      </c>
    </row>
    <row r="168" spans="1:8" x14ac:dyDescent="0.3">
      <c r="A168" s="8">
        <v>2342</v>
      </c>
      <c r="B168" t="str" cm="1">
        <f t="array" ref="B168">_xlfn.IFS(A168&lt;=8000,"low",A168&lt;15000,"medium",A168&gt;=15000,"high")</f>
        <v>low</v>
      </c>
      <c r="G168" s="1">
        <v>5</v>
      </c>
      <c r="H168" t="str" cm="1">
        <f t="array" ref="H168">_xlfn.IFS(G168&lt;=15,"Junior",G168&lt;=30,"Mid level",G168&gt;30,"Lead")</f>
        <v>Junior</v>
      </c>
    </row>
    <row r="169" spans="1:8" x14ac:dyDescent="0.3">
      <c r="A169" s="7">
        <v>2342</v>
      </c>
      <c r="B169" t="str" cm="1">
        <f t="array" ref="B169">_xlfn.IFS(A169&lt;=8000,"low",A169&lt;15000,"medium",A169&gt;=15000,"high")</f>
        <v>low</v>
      </c>
      <c r="G169" s="2">
        <v>2</v>
      </c>
      <c r="H169" t="str" cm="1">
        <f t="array" ref="H169">_xlfn.IFS(G169&lt;=15,"Junior",G169&lt;=30,"Mid level",G169&gt;30,"Lead")</f>
        <v>Junior</v>
      </c>
    </row>
    <row r="170" spans="1:8" x14ac:dyDescent="0.3">
      <c r="A170" s="8">
        <v>2342</v>
      </c>
      <c r="B170" t="str" cm="1">
        <f t="array" ref="B170">_xlfn.IFS(A170&lt;=8000,"low",A170&lt;15000,"medium",A170&gt;=15000,"high")</f>
        <v>low</v>
      </c>
      <c r="G170" s="1">
        <v>5</v>
      </c>
      <c r="H170" t="str" cm="1">
        <f t="array" ref="H170">_xlfn.IFS(G170&lt;=15,"Junior",G170&lt;=30,"Mid level",G170&gt;30,"Lead")</f>
        <v>Junior</v>
      </c>
    </row>
    <row r="171" spans="1:8" x14ac:dyDescent="0.3">
      <c r="A171" s="7">
        <v>2342</v>
      </c>
      <c r="B171" t="str" cm="1">
        <f t="array" ref="B171">_xlfn.IFS(A171&lt;=8000,"low",A171&lt;15000,"medium",A171&gt;=15000,"high")</f>
        <v>low</v>
      </c>
      <c r="G171" s="2">
        <v>3</v>
      </c>
      <c r="H171" t="str" cm="1">
        <f t="array" ref="H171">_xlfn.IFS(G171&lt;=15,"Junior",G171&lt;=30,"Mid level",G171&gt;30,"Lead")</f>
        <v>Junior</v>
      </c>
    </row>
    <row r="172" spans="1:8" x14ac:dyDescent="0.3">
      <c r="A172" s="8">
        <v>2345</v>
      </c>
      <c r="B172" t="str" cm="1">
        <f t="array" ref="B172">_xlfn.IFS(A172&lt;=8000,"low",A172&lt;15000,"medium",A172&gt;=15000,"high")</f>
        <v>low</v>
      </c>
      <c r="G172" s="1">
        <v>17</v>
      </c>
      <c r="H172" t="str" cm="1">
        <f t="array" ref="H172">_xlfn.IFS(G172&lt;=15,"Junior",G172&lt;=30,"Mid level",G172&gt;30,"Lead")</f>
        <v>Mid level</v>
      </c>
    </row>
    <row r="173" spans="1:8" x14ac:dyDescent="0.3">
      <c r="A173" s="7">
        <v>2348</v>
      </c>
      <c r="B173" t="str" cm="1">
        <f t="array" ref="B173">_xlfn.IFS(A173&lt;=8000,"low",A173&lt;15000,"medium",A173&gt;=15000,"high")</f>
        <v>low</v>
      </c>
      <c r="G173" s="2">
        <v>2</v>
      </c>
      <c r="H173" t="str" cm="1">
        <f t="array" ref="H173">_xlfn.IFS(G173&lt;=15,"Junior",G173&lt;=30,"Mid level",G173&gt;30,"Lead")</f>
        <v>Junior</v>
      </c>
    </row>
    <row r="174" spans="1:8" x14ac:dyDescent="0.3">
      <c r="A174" s="8">
        <v>2351</v>
      </c>
      <c r="B174" t="str" cm="1">
        <f t="array" ref="B174">_xlfn.IFS(A174&lt;=8000,"low",A174&lt;15000,"medium",A174&gt;=15000,"high")</f>
        <v>low</v>
      </c>
      <c r="G174" s="1">
        <v>6</v>
      </c>
      <c r="H174" t="str" cm="1">
        <f t="array" ref="H174">_xlfn.IFS(G174&lt;=15,"Junior",G174&lt;=30,"Mid level",G174&gt;30,"Lead")</f>
        <v>Junior</v>
      </c>
    </row>
    <row r="175" spans="1:8" x14ac:dyDescent="0.3">
      <c r="A175" s="7">
        <v>2356</v>
      </c>
      <c r="B175" t="str" cm="1">
        <f t="array" ref="B175">_xlfn.IFS(A175&lt;=8000,"low",A175&lt;15000,"medium",A175&gt;=15000,"high")</f>
        <v>low</v>
      </c>
      <c r="G175" s="2">
        <v>3</v>
      </c>
      <c r="H175" t="str" cm="1">
        <f t="array" ref="H175">_xlfn.IFS(G175&lt;=15,"Junior",G175&lt;=30,"Mid level",G175&gt;30,"Lead")</f>
        <v>Junior</v>
      </c>
    </row>
    <row r="176" spans="1:8" x14ac:dyDescent="0.3">
      <c r="A176" s="8">
        <v>2362</v>
      </c>
      <c r="B176" t="str" cm="1">
        <f t="array" ref="B176">_xlfn.IFS(A176&lt;=8000,"low",A176&lt;15000,"medium",A176&gt;=15000,"high")</f>
        <v>low</v>
      </c>
      <c r="G176" s="1">
        <v>9</v>
      </c>
      <c r="H176" t="str" cm="1">
        <f t="array" ref="H176">_xlfn.IFS(G176&lt;=15,"Junior",G176&lt;=30,"Mid level",G176&gt;30,"Lead")</f>
        <v>Junior</v>
      </c>
    </row>
    <row r="177" spans="1:8" x14ac:dyDescent="0.3">
      <c r="A177" s="7">
        <v>2362</v>
      </c>
      <c r="B177" t="str" cm="1">
        <f t="array" ref="B177">_xlfn.IFS(A177&lt;=8000,"low",A177&lt;15000,"medium",A177&gt;=15000,"high")</f>
        <v>low</v>
      </c>
      <c r="G177" s="2">
        <v>8</v>
      </c>
      <c r="H177" t="str" cm="1">
        <f t="array" ref="H177">_xlfn.IFS(G177&lt;=15,"Junior",G177&lt;=30,"Mid level",G177&gt;30,"Lead")</f>
        <v>Junior</v>
      </c>
    </row>
    <row r="178" spans="1:8" x14ac:dyDescent="0.3">
      <c r="A178" s="8">
        <v>2366</v>
      </c>
      <c r="B178" t="str" cm="1">
        <f t="array" ref="B178">_xlfn.IFS(A178&lt;=8000,"low",A178&lt;15000,"medium",A178&gt;=15000,"high")</f>
        <v>low</v>
      </c>
      <c r="G178" s="1">
        <v>8</v>
      </c>
      <c r="H178" t="str" cm="1">
        <f t="array" ref="H178">_xlfn.IFS(G178&lt;=15,"Junior",G178&lt;=30,"Mid level",G178&gt;30,"Lead")</f>
        <v>Junior</v>
      </c>
    </row>
    <row r="179" spans="1:8" x14ac:dyDescent="0.3">
      <c r="A179" s="7">
        <v>2367</v>
      </c>
      <c r="B179" t="str" cm="1">
        <f t="array" ref="B179">_xlfn.IFS(A179&lt;=8000,"low",A179&lt;15000,"medium",A179&gt;=15000,"high")</f>
        <v>low</v>
      </c>
      <c r="G179" s="2">
        <v>4</v>
      </c>
      <c r="H179" t="str" cm="1">
        <f t="array" ref="H179">_xlfn.IFS(G179&lt;=15,"Junior",G179&lt;=30,"Mid level",G179&gt;30,"Lead")</f>
        <v>Junior</v>
      </c>
    </row>
    <row r="180" spans="1:8" x14ac:dyDescent="0.3">
      <c r="A180" s="8">
        <v>2367</v>
      </c>
      <c r="B180" t="str" cm="1">
        <f t="array" ref="B180">_xlfn.IFS(A180&lt;=8000,"low",A180&lt;15000,"medium",A180&gt;=15000,"high")</f>
        <v>low</v>
      </c>
      <c r="G180" s="1">
        <v>5</v>
      </c>
      <c r="H180" t="str" cm="1">
        <f t="array" ref="H180">_xlfn.IFS(G180&lt;=15,"Junior",G180&lt;=30,"Mid level",G180&gt;30,"Lead")</f>
        <v>Junior</v>
      </c>
    </row>
    <row r="181" spans="1:8" x14ac:dyDescent="0.3">
      <c r="A181" s="7">
        <v>2368</v>
      </c>
      <c r="B181" t="str" cm="1">
        <f t="array" ref="B181">_xlfn.IFS(A181&lt;=8000,"low",A181&lt;15000,"medium",A181&gt;=15000,"high")</f>
        <v>low</v>
      </c>
      <c r="G181" s="2">
        <v>8</v>
      </c>
      <c r="H181" t="str" cm="1">
        <f t="array" ref="H181">_xlfn.IFS(G181&lt;=15,"Junior",G181&lt;=30,"Mid level",G181&gt;30,"Lead")</f>
        <v>Junior</v>
      </c>
    </row>
    <row r="182" spans="1:8" x14ac:dyDescent="0.3">
      <c r="A182" s="8">
        <v>2370</v>
      </c>
      <c r="B182" t="str" cm="1">
        <f t="array" ref="B182">_xlfn.IFS(A182&lt;=8000,"low",A182&lt;15000,"medium",A182&gt;=15000,"high")</f>
        <v>low</v>
      </c>
      <c r="G182" s="1">
        <v>1</v>
      </c>
      <c r="H182" t="str" cm="1">
        <f t="array" ref="H182">_xlfn.IFS(G182&lt;=15,"Junior",G182&lt;=30,"Mid level",G182&gt;30,"Lead")</f>
        <v>Junior</v>
      </c>
    </row>
    <row r="183" spans="1:8" x14ac:dyDescent="0.3">
      <c r="A183" s="7">
        <v>2372</v>
      </c>
      <c r="B183" t="str" cm="1">
        <f t="array" ref="B183">_xlfn.IFS(A183&lt;=8000,"low",A183&lt;15000,"medium",A183&gt;=15000,"high")</f>
        <v>low</v>
      </c>
      <c r="G183" s="2">
        <v>2</v>
      </c>
      <c r="H183" t="str" cm="1">
        <f t="array" ref="H183">_xlfn.IFS(G183&lt;=15,"Junior",G183&lt;=30,"Mid level",G183&gt;30,"Lead")</f>
        <v>Junior</v>
      </c>
    </row>
    <row r="184" spans="1:8" x14ac:dyDescent="0.3">
      <c r="A184" s="8">
        <v>2372</v>
      </c>
      <c r="B184" t="str" cm="1">
        <f t="array" ref="B184">_xlfn.IFS(A184&lt;=8000,"low",A184&lt;15000,"medium",A184&gt;=15000,"high")</f>
        <v>low</v>
      </c>
      <c r="G184" s="1">
        <v>3</v>
      </c>
      <c r="H184" t="str" cm="1">
        <f t="array" ref="H184">_xlfn.IFS(G184&lt;=15,"Junior",G184&lt;=30,"Mid level",G184&gt;30,"Lead")</f>
        <v>Junior</v>
      </c>
    </row>
    <row r="185" spans="1:8" x14ac:dyDescent="0.3">
      <c r="A185" s="7">
        <v>2373</v>
      </c>
      <c r="B185" t="str" cm="1">
        <f t="array" ref="B185">_xlfn.IFS(A185&lt;=8000,"low",A185&lt;15000,"medium",A185&gt;=15000,"high")</f>
        <v>low</v>
      </c>
      <c r="G185" s="2">
        <v>2</v>
      </c>
      <c r="H185" t="str" cm="1">
        <f t="array" ref="H185">_xlfn.IFS(G185&lt;=15,"Junior",G185&lt;=30,"Mid level",G185&gt;30,"Lead")</f>
        <v>Junior</v>
      </c>
    </row>
    <row r="186" spans="1:8" x14ac:dyDescent="0.3">
      <c r="A186" s="8">
        <v>2376</v>
      </c>
      <c r="B186" t="str" cm="1">
        <f t="array" ref="B186">_xlfn.IFS(A186&lt;=8000,"low",A186&lt;15000,"medium",A186&gt;=15000,"high")</f>
        <v>low</v>
      </c>
      <c r="G186" s="1">
        <v>2</v>
      </c>
      <c r="H186" t="str" cm="1">
        <f t="array" ref="H186">_xlfn.IFS(G186&lt;=15,"Junior",G186&lt;=30,"Mid level",G186&gt;30,"Lead")</f>
        <v>Junior</v>
      </c>
    </row>
    <row r="187" spans="1:8" x14ac:dyDescent="0.3">
      <c r="A187" s="7">
        <v>2377</v>
      </c>
      <c r="B187" t="str" cm="1">
        <f t="array" ref="B187">_xlfn.IFS(A187&lt;=8000,"low",A187&lt;15000,"medium",A187&gt;=15000,"high")</f>
        <v>low</v>
      </c>
      <c r="G187" s="2">
        <v>1</v>
      </c>
      <c r="H187" t="str" cm="1">
        <f t="array" ref="H187">_xlfn.IFS(G187&lt;=15,"Junior",G187&lt;=30,"Mid level",G187&gt;30,"Lead")</f>
        <v>Junior</v>
      </c>
    </row>
    <row r="188" spans="1:8" x14ac:dyDescent="0.3">
      <c r="A188" s="8">
        <v>2377</v>
      </c>
      <c r="B188" t="str" cm="1">
        <f t="array" ref="B188">_xlfn.IFS(A188&lt;=8000,"low",A188&lt;15000,"medium",A188&gt;=15000,"high")</f>
        <v>low</v>
      </c>
      <c r="G188" s="1">
        <v>5</v>
      </c>
      <c r="H188" t="str" cm="1">
        <f t="array" ref="H188">_xlfn.IFS(G188&lt;=15,"Junior",G188&lt;=30,"Mid level",G188&gt;30,"Lead")</f>
        <v>Junior</v>
      </c>
    </row>
    <row r="189" spans="1:8" x14ac:dyDescent="0.3">
      <c r="A189" s="7">
        <v>2379</v>
      </c>
      <c r="B189" t="str" cm="1">
        <f t="array" ref="B189">_xlfn.IFS(A189&lt;=8000,"low",A189&lt;15000,"medium",A189&gt;=15000,"high")</f>
        <v>low</v>
      </c>
      <c r="G189" s="2">
        <v>1</v>
      </c>
      <c r="H189" t="str" cm="1">
        <f t="array" ref="H189">_xlfn.IFS(G189&lt;=15,"Junior",G189&lt;=30,"Mid level",G189&gt;30,"Lead")</f>
        <v>Junior</v>
      </c>
    </row>
    <row r="190" spans="1:8" x14ac:dyDescent="0.3">
      <c r="A190" s="8">
        <v>2380</v>
      </c>
      <c r="B190" t="str" cm="1">
        <f t="array" ref="B190">_xlfn.IFS(A190&lt;=8000,"low",A190&lt;15000,"medium",A190&gt;=15000,"high")</f>
        <v>low</v>
      </c>
      <c r="G190" s="1">
        <v>1</v>
      </c>
      <c r="H190" t="str" cm="1">
        <f t="array" ref="H190">_xlfn.IFS(G190&lt;=15,"Junior",G190&lt;=30,"Mid level",G190&gt;30,"Lead")</f>
        <v>Junior</v>
      </c>
    </row>
    <row r="191" spans="1:8" x14ac:dyDescent="0.3">
      <c r="A191" s="7">
        <v>2380</v>
      </c>
      <c r="B191" t="str" cm="1">
        <f t="array" ref="B191">_xlfn.IFS(A191&lt;=8000,"low",A191&lt;15000,"medium",A191&gt;=15000,"high")</f>
        <v>low</v>
      </c>
      <c r="G191" s="2">
        <v>2</v>
      </c>
      <c r="H191" t="str" cm="1">
        <f t="array" ref="H191">_xlfn.IFS(G191&lt;=15,"Junior",G191&lt;=30,"Mid level",G191&gt;30,"Lead")</f>
        <v>Junior</v>
      </c>
    </row>
    <row r="192" spans="1:8" x14ac:dyDescent="0.3">
      <c r="A192" s="8">
        <v>2380</v>
      </c>
      <c r="B192" t="str" cm="1">
        <f t="array" ref="B192">_xlfn.IFS(A192&lt;=8000,"low",A192&lt;15000,"medium",A192&gt;=15000,"high")</f>
        <v>low</v>
      </c>
      <c r="G192" s="1">
        <v>4</v>
      </c>
      <c r="H192" t="str" cm="1">
        <f t="array" ref="H192">_xlfn.IFS(G192&lt;=15,"Junior",G192&lt;=30,"Mid level",G192&gt;30,"Lead")</f>
        <v>Junior</v>
      </c>
    </row>
    <row r="193" spans="1:8" x14ac:dyDescent="0.3">
      <c r="A193" s="7">
        <v>2387</v>
      </c>
      <c r="B193" t="str" cm="1">
        <f t="array" ref="B193">_xlfn.IFS(A193&lt;=8000,"low",A193&lt;15000,"medium",A193&gt;=15000,"high")</f>
        <v>low</v>
      </c>
      <c r="G193" s="2">
        <v>4</v>
      </c>
      <c r="H193" t="str" cm="1">
        <f t="array" ref="H193">_xlfn.IFS(G193&lt;=15,"Junior",G193&lt;=30,"Mid level",G193&gt;30,"Lead")</f>
        <v>Junior</v>
      </c>
    </row>
    <row r="194" spans="1:8" x14ac:dyDescent="0.3">
      <c r="A194" s="8">
        <v>2389</v>
      </c>
      <c r="B194" t="str" cm="1">
        <f t="array" ref="B194">_xlfn.IFS(A194&lt;=8000,"low",A194&lt;15000,"medium",A194&gt;=15000,"high")</f>
        <v>low</v>
      </c>
      <c r="G194" s="1">
        <v>8</v>
      </c>
      <c r="H194" t="str" cm="1">
        <f t="array" ref="H194">_xlfn.IFS(G194&lt;=15,"Junior",G194&lt;=30,"Mid level",G194&gt;30,"Lead")</f>
        <v>Junior</v>
      </c>
    </row>
    <row r="195" spans="1:8" x14ac:dyDescent="0.3">
      <c r="A195" s="7">
        <v>2394</v>
      </c>
      <c r="B195" t="str" cm="1">
        <f t="array" ref="B195">_xlfn.IFS(A195&lt;=8000,"low",A195&lt;15000,"medium",A195&gt;=15000,"high")</f>
        <v>low</v>
      </c>
      <c r="G195" s="2">
        <v>1</v>
      </c>
      <c r="H195" t="str" cm="1">
        <f t="array" ref="H195">_xlfn.IFS(G195&lt;=15,"Junior",G195&lt;=30,"Mid level",G195&gt;30,"Lead")</f>
        <v>Junior</v>
      </c>
    </row>
    <row r="196" spans="1:8" x14ac:dyDescent="0.3">
      <c r="A196" s="8">
        <v>2398</v>
      </c>
      <c r="B196" t="str" cm="1">
        <f t="array" ref="B196">_xlfn.IFS(A196&lt;=8000,"low",A196&lt;15000,"medium",A196&gt;=15000,"high")</f>
        <v>low</v>
      </c>
      <c r="G196" s="1">
        <v>2</v>
      </c>
      <c r="H196" t="str" cm="1">
        <f t="array" ref="H196">_xlfn.IFS(G196&lt;=15,"Junior",G196&lt;=30,"Mid level",G196&gt;30,"Lead")</f>
        <v>Junior</v>
      </c>
    </row>
    <row r="197" spans="1:8" x14ac:dyDescent="0.3">
      <c r="A197" s="7">
        <v>2400</v>
      </c>
      <c r="B197" t="str" cm="1">
        <f t="array" ref="B197">_xlfn.IFS(A197&lt;=8000,"low",A197&lt;15000,"medium",A197&gt;=15000,"high")</f>
        <v>low</v>
      </c>
      <c r="G197" s="2">
        <v>2</v>
      </c>
      <c r="H197" t="str" cm="1">
        <f t="array" ref="H197">_xlfn.IFS(G197&lt;=15,"Junior",G197&lt;=30,"Mid level",G197&gt;30,"Lead")</f>
        <v>Junior</v>
      </c>
    </row>
    <row r="198" spans="1:8" x14ac:dyDescent="0.3">
      <c r="A198" s="8">
        <v>2404</v>
      </c>
      <c r="B198" t="str" cm="1">
        <f t="array" ref="B198">_xlfn.IFS(A198&lt;=8000,"low",A198&lt;15000,"medium",A198&gt;=15000,"high")</f>
        <v>low</v>
      </c>
      <c r="G198" s="1">
        <v>0</v>
      </c>
      <c r="H198" t="str" cm="1">
        <f t="array" ref="H198">_xlfn.IFS(G198&lt;=15,"Junior",G198&lt;=30,"Mid level",G198&gt;30,"Lead")</f>
        <v>Junior</v>
      </c>
    </row>
    <row r="199" spans="1:8" x14ac:dyDescent="0.3">
      <c r="A199" s="7">
        <v>2404</v>
      </c>
      <c r="B199" t="str" cm="1">
        <f t="array" ref="B199">_xlfn.IFS(A199&lt;=8000,"low",A199&lt;15000,"medium",A199&gt;=15000,"high")</f>
        <v>low</v>
      </c>
      <c r="G199" s="2">
        <v>1</v>
      </c>
      <c r="H199" t="str" cm="1">
        <f t="array" ref="H199">_xlfn.IFS(G199&lt;=15,"Junior",G199&lt;=30,"Mid level",G199&gt;30,"Lead")</f>
        <v>Junior</v>
      </c>
    </row>
    <row r="200" spans="1:8" x14ac:dyDescent="0.3">
      <c r="A200" s="8">
        <v>2404</v>
      </c>
      <c r="B200" t="str" cm="1">
        <f t="array" ref="B200">_xlfn.IFS(A200&lt;=8000,"low",A200&lt;15000,"medium",A200&gt;=15000,"high")</f>
        <v>low</v>
      </c>
      <c r="G200" s="1">
        <v>10</v>
      </c>
      <c r="H200" t="str" cm="1">
        <f t="array" ref="H200">_xlfn.IFS(G200&lt;=15,"Junior",G200&lt;=30,"Mid level",G200&gt;30,"Lead")</f>
        <v>Junior</v>
      </c>
    </row>
    <row r="201" spans="1:8" x14ac:dyDescent="0.3">
      <c r="A201" s="7">
        <v>2406</v>
      </c>
      <c r="B201" t="str" cm="1">
        <f t="array" ref="B201">_xlfn.IFS(A201&lt;=8000,"low",A201&lt;15000,"medium",A201&gt;=15000,"high")</f>
        <v>low</v>
      </c>
      <c r="G201" s="2">
        <v>1</v>
      </c>
      <c r="H201" t="str" cm="1">
        <f t="array" ref="H201">_xlfn.IFS(G201&lt;=15,"Junior",G201&lt;=30,"Mid level",G201&gt;30,"Lead")</f>
        <v>Junior</v>
      </c>
    </row>
    <row r="202" spans="1:8" x14ac:dyDescent="0.3">
      <c r="A202" s="8">
        <v>2406</v>
      </c>
      <c r="B202" t="str" cm="1">
        <f t="array" ref="B202">_xlfn.IFS(A202&lt;=8000,"low",A202&lt;15000,"medium",A202&gt;=15000,"high")</f>
        <v>low</v>
      </c>
      <c r="G202" s="1">
        <v>1</v>
      </c>
      <c r="H202" t="str" cm="1">
        <f t="array" ref="H202">_xlfn.IFS(G202&lt;=15,"Junior",G202&lt;=30,"Mid level",G202&gt;30,"Lead")</f>
        <v>Junior</v>
      </c>
    </row>
    <row r="203" spans="1:8" x14ac:dyDescent="0.3">
      <c r="A203" s="7">
        <v>2408</v>
      </c>
      <c r="B203" t="str" cm="1">
        <f t="array" ref="B203">_xlfn.IFS(A203&lt;=8000,"low",A203&lt;15000,"medium",A203&gt;=15000,"high")</f>
        <v>low</v>
      </c>
      <c r="G203" s="2">
        <v>1</v>
      </c>
      <c r="H203" t="str" cm="1">
        <f t="array" ref="H203">_xlfn.IFS(G203&lt;=15,"Junior",G203&lt;=30,"Mid level",G203&gt;30,"Lead")</f>
        <v>Junior</v>
      </c>
    </row>
    <row r="204" spans="1:8" x14ac:dyDescent="0.3">
      <c r="A204" s="8">
        <v>2413</v>
      </c>
      <c r="B204" t="str" cm="1">
        <f t="array" ref="B204">_xlfn.IFS(A204&lt;=8000,"low",A204&lt;15000,"medium",A204&gt;=15000,"high")</f>
        <v>low</v>
      </c>
      <c r="G204" s="1">
        <v>3</v>
      </c>
      <c r="H204" t="str" cm="1">
        <f t="array" ref="H204">_xlfn.IFS(G204&lt;=15,"Junior",G204&lt;=30,"Mid level",G204&gt;30,"Lead")</f>
        <v>Junior</v>
      </c>
    </row>
    <row r="205" spans="1:8" x14ac:dyDescent="0.3">
      <c r="A205" s="7">
        <v>2422</v>
      </c>
      <c r="B205" t="str" cm="1">
        <f t="array" ref="B205">_xlfn.IFS(A205&lt;=8000,"low",A205&lt;15000,"medium",A205&gt;=15000,"high")</f>
        <v>low</v>
      </c>
      <c r="G205" s="2">
        <v>5</v>
      </c>
      <c r="H205" t="str" cm="1">
        <f t="array" ref="H205">_xlfn.IFS(G205&lt;=15,"Junior",G205&lt;=30,"Mid level",G205&gt;30,"Lead")</f>
        <v>Junior</v>
      </c>
    </row>
    <row r="206" spans="1:8" x14ac:dyDescent="0.3">
      <c r="A206" s="8">
        <v>2426</v>
      </c>
      <c r="B206" t="str" cm="1">
        <f t="array" ref="B206">_xlfn.IFS(A206&lt;=8000,"low",A206&lt;15000,"medium",A206&gt;=15000,"high")</f>
        <v>low</v>
      </c>
      <c r="G206" s="1">
        <v>5</v>
      </c>
      <c r="H206" t="str" cm="1">
        <f t="array" ref="H206">_xlfn.IFS(G206&lt;=15,"Junior",G206&lt;=30,"Mid level",G206&gt;30,"Lead")</f>
        <v>Junior</v>
      </c>
    </row>
    <row r="207" spans="1:8" x14ac:dyDescent="0.3">
      <c r="A207" s="7">
        <v>2430</v>
      </c>
      <c r="B207" t="str" cm="1">
        <f t="array" ref="B207">_xlfn.IFS(A207&lt;=8000,"low",A207&lt;15000,"medium",A207&gt;=15000,"high")</f>
        <v>low</v>
      </c>
      <c r="G207" s="2">
        <v>4</v>
      </c>
      <c r="H207" t="str" cm="1">
        <f t="array" ref="H207">_xlfn.IFS(G207&lt;=15,"Junior",G207&lt;=30,"Mid level",G207&gt;30,"Lead")</f>
        <v>Junior</v>
      </c>
    </row>
    <row r="208" spans="1:8" x14ac:dyDescent="0.3">
      <c r="A208" s="8">
        <v>2432</v>
      </c>
      <c r="B208" t="str" cm="1">
        <f t="array" ref="B208">_xlfn.IFS(A208&lt;=8000,"low",A208&lt;15000,"medium",A208&gt;=15000,"high")</f>
        <v>low</v>
      </c>
      <c r="G208" s="1">
        <v>5</v>
      </c>
      <c r="H208" t="str" cm="1">
        <f t="array" ref="H208">_xlfn.IFS(G208&lt;=15,"Junior",G208&lt;=30,"Mid level",G208&gt;30,"Lead")</f>
        <v>Junior</v>
      </c>
    </row>
    <row r="209" spans="1:8" x14ac:dyDescent="0.3">
      <c r="A209" s="7">
        <v>2436</v>
      </c>
      <c r="B209" t="str" cm="1">
        <f t="array" ref="B209">_xlfn.IFS(A209&lt;=8000,"low",A209&lt;15000,"medium",A209&gt;=15000,"high")</f>
        <v>low</v>
      </c>
      <c r="G209" s="2">
        <v>4</v>
      </c>
      <c r="H209" t="str" cm="1">
        <f t="array" ref="H209">_xlfn.IFS(G209&lt;=15,"Junior",G209&lt;=30,"Mid level",G209&gt;30,"Lead")</f>
        <v>Junior</v>
      </c>
    </row>
    <row r="210" spans="1:8" x14ac:dyDescent="0.3">
      <c r="A210" s="8">
        <v>2436</v>
      </c>
      <c r="B210" t="str" cm="1">
        <f t="array" ref="B210">_xlfn.IFS(A210&lt;=8000,"low",A210&lt;15000,"medium",A210&gt;=15000,"high")</f>
        <v>low</v>
      </c>
      <c r="G210" s="1">
        <v>1</v>
      </c>
      <c r="H210" t="str" cm="1">
        <f t="array" ref="H210">_xlfn.IFS(G210&lt;=15,"Junior",G210&lt;=30,"Mid level",G210&gt;30,"Lead")</f>
        <v>Junior</v>
      </c>
    </row>
    <row r="211" spans="1:8" x14ac:dyDescent="0.3">
      <c r="A211" s="7">
        <v>2437</v>
      </c>
      <c r="B211" t="str" cm="1">
        <f t="array" ref="B211">_xlfn.IFS(A211&lt;=8000,"low",A211&lt;15000,"medium",A211&gt;=15000,"high")</f>
        <v>low</v>
      </c>
      <c r="G211" s="2">
        <v>3</v>
      </c>
      <c r="H211" t="str" cm="1">
        <f t="array" ref="H211">_xlfn.IFS(G211&lt;=15,"Junior",G211&lt;=30,"Mid level",G211&gt;30,"Lead")</f>
        <v>Junior</v>
      </c>
    </row>
    <row r="212" spans="1:8" x14ac:dyDescent="0.3">
      <c r="A212" s="8">
        <v>2438</v>
      </c>
      <c r="B212" t="str" cm="1">
        <f t="array" ref="B212">_xlfn.IFS(A212&lt;=8000,"low",A212&lt;15000,"medium",A212&gt;=15000,"high")</f>
        <v>low</v>
      </c>
      <c r="G212" s="1">
        <v>1</v>
      </c>
      <c r="H212" t="str" cm="1">
        <f t="array" ref="H212">_xlfn.IFS(G212&lt;=15,"Junior",G212&lt;=30,"Mid level",G212&gt;30,"Lead")</f>
        <v>Junior</v>
      </c>
    </row>
    <row r="213" spans="1:8" x14ac:dyDescent="0.3">
      <c r="A213" s="7">
        <v>2439</v>
      </c>
      <c r="B213" t="str" cm="1">
        <f t="array" ref="B213">_xlfn.IFS(A213&lt;=8000,"low",A213&lt;15000,"medium",A213&gt;=15000,"high")</f>
        <v>low</v>
      </c>
      <c r="G213" s="2">
        <v>4</v>
      </c>
      <c r="H213" t="str" cm="1">
        <f t="array" ref="H213">_xlfn.IFS(G213&lt;=15,"Junior",G213&lt;=30,"Mid level",G213&gt;30,"Lead")</f>
        <v>Junior</v>
      </c>
    </row>
    <row r="214" spans="1:8" x14ac:dyDescent="0.3">
      <c r="A214" s="8">
        <v>2439</v>
      </c>
      <c r="B214" t="str" cm="1">
        <f t="array" ref="B214">_xlfn.IFS(A214&lt;=8000,"low",A214&lt;15000,"medium",A214&gt;=15000,"high")</f>
        <v>low</v>
      </c>
      <c r="G214" s="1">
        <v>4</v>
      </c>
      <c r="H214" t="str" cm="1">
        <f t="array" ref="H214">_xlfn.IFS(G214&lt;=15,"Junior",G214&lt;=30,"Mid level",G214&gt;30,"Lead")</f>
        <v>Junior</v>
      </c>
    </row>
    <row r="215" spans="1:8" x14ac:dyDescent="0.3">
      <c r="A215" s="7">
        <v>2440</v>
      </c>
      <c r="B215" t="str" cm="1">
        <f t="array" ref="B215">_xlfn.IFS(A215&lt;=8000,"low",A215&lt;15000,"medium",A215&gt;=15000,"high")</f>
        <v>low</v>
      </c>
      <c r="G215" s="2">
        <v>2</v>
      </c>
      <c r="H215" t="str" cm="1">
        <f t="array" ref="H215">_xlfn.IFS(G215&lt;=15,"Junior",G215&lt;=30,"Mid level",G215&gt;30,"Lead")</f>
        <v>Junior</v>
      </c>
    </row>
    <row r="216" spans="1:8" x14ac:dyDescent="0.3">
      <c r="A216" s="8">
        <v>2450</v>
      </c>
      <c r="B216" t="str" cm="1">
        <f t="array" ref="B216">_xlfn.IFS(A216&lt;=8000,"low",A216&lt;15000,"medium",A216&gt;=15000,"high")</f>
        <v>low</v>
      </c>
      <c r="G216" s="1">
        <v>3</v>
      </c>
      <c r="H216" t="str" cm="1">
        <f t="array" ref="H216">_xlfn.IFS(G216&lt;=15,"Junior",G216&lt;=30,"Mid level",G216&gt;30,"Lead")</f>
        <v>Junior</v>
      </c>
    </row>
    <row r="217" spans="1:8" x14ac:dyDescent="0.3">
      <c r="A217" s="7">
        <v>2450</v>
      </c>
      <c r="B217" t="str" cm="1">
        <f t="array" ref="B217">_xlfn.IFS(A217&lt;=8000,"low",A217&lt;15000,"medium",A217&gt;=15000,"high")</f>
        <v>low</v>
      </c>
      <c r="G217" s="2">
        <v>9</v>
      </c>
      <c r="H217" t="str" cm="1">
        <f t="array" ref="H217">_xlfn.IFS(G217&lt;=15,"Junior",G217&lt;=30,"Mid level",G217&gt;30,"Lead")</f>
        <v>Junior</v>
      </c>
    </row>
    <row r="218" spans="1:8" x14ac:dyDescent="0.3">
      <c r="A218" s="8">
        <v>2451</v>
      </c>
      <c r="B218" t="str" cm="1">
        <f t="array" ref="B218">_xlfn.IFS(A218&lt;=8000,"low",A218&lt;15000,"medium",A218&gt;=15000,"high")</f>
        <v>low</v>
      </c>
      <c r="G218" s="1">
        <v>4</v>
      </c>
      <c r="H218" t="str" cm="1">
        <f t="array" ref="H218">_xlfn.IFS(G218&lt;=15,"Junior",G218&lt;=30,"Mid level",G218&gt;30,"Lead")</f>
        <v>Junior</v>
      </c>
    </row>
    <row r="219" spans="1:8" x14ac:dyDescent="0.3">
      <c r="A219" s="7">
        <v>2451</v>
      </c>
      <c r="B219" t="str" cm="1">
        <f t="array" ref="B219">_xlfn.IFS(A219&lt;=8000,"low",A219&lt;15000,"medium",A219&gt;=15000,"high")</f>
        <v>low</v>
      </c>
      <c r="G219" s="2">
        <v>1</v>
      </c>
      <c r="H219" t="str" cm="1">
        <f t="array" ref="H219">_xlfn.IFS(G219&lt;=15,"Junior",G219&lt;=30,"Mid level",G219&gt;30,"Lead")</f>
        <v>Junior</v>
      </c>
    </row>
    <row r="220" spans="1:8" x14ac:dyDescent="0.3">
      <c r="A220" s="8">
        <v>2451</v>
      </c>
      <c r="B220" t="str" cm="1">
        <f t="array" ref="B220">_xlfn.IFS(A220&lt;=8000,"low",A220&lt;15000,"medium",A220&gt;=15000,"high")</f>
        <v>low</v>
      </c>
      <c r="G220" s="1">
        <v>8</v>
      </c>
      <c r="H220" t="str" cm="1">
        <f t="array" ref="H220">_xlfn.IFS(G220&lt;=15,"Junior",G220&lt;=30,"Mid level",G220&gt;30,"Lead")</f>
        <v>Junior</v>
      </c>
    </row>
    <row r="221" spans="1:8" x14ac:dyDescent="0.3">
      <c r="A221" s="7">
        <v>2455</v>
      </c>
      <c r="B221" t="str" cm="1">
        <f t="array" ref="B221">_xlfn.IFS(A221&lt;=8000,"low",A221&lt;15000,"medium",A221&gt;=15000,"high")</f>
        <v>low</v>
      </c>
      <c r="G221" s="2">
        <v>10</v>
      </c>
      <c r="H221" t="str" cm="1">
        <f t="array" ref="H221">_xlfn.IFS(G221&lt;=15,"Junior",G221&lt;=30,"Mid level",G221&gt;30,"Lead")</f>
        <v>Junior</v>
      </c>
    </row>
    <row r="222" spans="1:8" x14ac:dyDescent="0.3">
      <c r="A222" s="8">
        <v>2461</v>
      </c>
      <c r="B222" t="str" cm="1">
        <f t="array" ref="B222">_xlfn.IFS(A222&lt;=8000,"low",A222&lt;15000,"medium",A222&gt;=15000,"high")</f>
        <v>low</v>
      </c>
      <c r="G222" s="1">
        <v>6</v>
      </c>
      <c r="H222" t="str" cm="1">
        <f t="array" ref="H222">_xlfn.IFS(G222&lt;=15,"Junior",G222&lt;=30,"Mid level",G222&gt;30,"Lead")</f>
        <v>Junior</v>
      </c>
    </row>
    <row r="223" spans="1:8" x14ac:dyDescent="0.3">
      <c r="A223" s="7">
        <v>2468</v>
      </c>
      <c r="B223" t="str" cm="1">
        <f t="array" ref="B223">_xlfn.IFS(A223&lt;=8000,"low",A223&lt;15000,"medium",A223&gt;=15000,"high")</f>
        <v>low</v>
      </c>
      <c r="G223" s="2">
        <v>1</v>
      </c>
      <c r="H223" t="str" cm="1">
        <f t="array" ref="H223">_xlfn.IFS(G223&lt;=15,"Junior",G223&lt;=30,"Mid level",G223&gt;30,"Lead")</f>
        <v>Junior</v>
      </c>
    </row>
    <row r="224" spans="1:8" x14ac:dyDescent="0.3">
      <c r="A224" s="8">
        <v>2472</v>
      </c>
      <c r="B224" t="str" cm="1">
        <f t="array" ref="B224">_xlfn.IFS(A224&lt;=8000,"low",A224&lt;15000,"medium",A224&gt;=15000,"high")</f>
        <v>low</v>
      </c>
      <c r="G224" s="1">
        <v>1</v>
      </c>
      <c r="H224" t="str" cm="1">
        <f t="array" ref="H224">_xlfn.IFS(G224&lt;=15,"Junior",G224&lt;=30,"Mid level",G224&gt;30,"Lead")</f>
        <v>Junior</v>
      </c>
    </row>
    <row r="225" spans="1:8" x14ac:dyDescent="0.3">
      <c r="A225" s="7">
        <v>2476</v>
      </c>
      <c r="B225" t="str" cm="1">
        <f t="array" ref="B225">_xlfn.IFS(A225&lt;=8000,"low",A225&lt;15000,"medium",A225&gt;=15000,"high")</f>
        <v>low</v>
      </c>
      <c r="G225" s="2">
        <v>4</v>
      </c>
      <c r="H225" t="str" cm="1">
        <f t="array" ref="H225">_xlfn.IFS(G225&lt;=15,"Junior",G225&lt;=30,"Mid level",G225&gt;30,"Lead")</f>
        <v>Junior</v>
      </c>
    </row>
    <row r="226" spans="1:8" x14ac:dyDescent="0.3">
      <c r="A226" s="8">
        <v>2478</v>
      </c>
      <c r="B226" t="str" cm="1">
        <f t="array" ref="B226">_xlfn.IFS(A226&lt;=8000,"low",A226&lt;15000,"medium",A226&gt;=15000,"high")</f>
        <v>low</v>
      </c>
      <c r="G226" s="1">
        <v>1</v>
      </c>
      <c r="H226" t="str" cm="1">
        <f t="array" ref="H226">_xlfn.IFS(G226&lt;=15,"Junior",G226&lt;=30,"Mid level",G226&gt;30,"Lead")</f>
        <v>Junior</v>
      </c>
    </row>
    <row r="227" spans="1:8" x14ac:dyDescent="0.3">
      <c r="A227" s="7">
        <v>2479</v>
      </c>
      <c r="B227" t="str" cm="1">
        <f t="array" ref="B227">_xlfn.IFS(A227&lt;=8000,"low",A227&lt;15000,"medium",A227&gt;=15000,"high")</f>
        <v>low</v>
      </c>
      <c r="G227" s="2">
        <v>1</v>
      </c>
      <c r="H227" t="str" cm="1">
        <f t="array" ref="H227">_xlfn.IFS(G227&lt;=15,"Junior",G227&lt;=30,"Mid level",G227&gt;30,"Lead")</f>
        <v>Junior</v>
      </c>
    </row>
    <row r="228" spans="1:8" x14ac:dyDescent="0.3">
      <c r="A228" s="8">
        <v>2496</v>
      </c>
      <c r="B228" t="str" cm="1">
        <f t="array" ref="B228">_xlfn.IFS(A228&lt;=8000,"low",A228&lt;15000,"medium",A228&gt;=15000,"high")</f>
        <v>low</v>
      </c>
      <c r="G228" s="1">
        <v>3</v>
      </c>
      <c r="H228" t="str" cm="1">
        <f t="array" ref="H228">_xlfn.IFS(G228&lt;=15,"Junior",G228&lt;=30,"Mid level",G228&gt;30,"Lead")</f>
        <v>Junior</v>
      </c>
    </row>
    <row r="229" spans="1:8" x14ac:dyDescent="0.3">
      <c r="A229" s="7">
        <v>2500</v>
      </c>
      <c r="B229" t="str" cm="1">
        <f t="array" ref="B229">_xlfn.IFS(A229&lt;=8000,"low",A229&lt;15000,"medium",A229&gt;=15000,"high")</f>
        <v>low</v>
      </c>
      <c r="G229" s="2">
        <v>4</v>
      </c>
      <c r="H229" t="str" cm="1">
        <f t="array" ref="H229">_xlfn.IFS(G229&lt;=15,"Junior",G229&lt;=30,"Mid level",G229&gt;30,"Lead")</f>
        <v>Junior</v>
      </c>
    </row>
    <row r="230" spans="1:8" x14ac:dyDescent="0.3">
      <c r="A230" s="8">
        <v>2500</v>
      </c>
      <c r="B230" t="str" cm="1">
        <f t="array" ref="B230">_xlfn.IFS(A230&lt;=8000,"low",A230&lt;15000,"medium",A230&gt;=15000,"high")</f>
        <v>low</v>
      </c>
      <c r="G230" s="1">
        <v>1</v>
      </c>
      <c r="H230" t="str" cm="1">
        <f t="array" ref="H230">_xlfn.IFS(G230&lt;=15,"Junior",G230&lt;=30,"Mid level",G230&gt;30,"Lead")</f>
        <v>Junior</v>
      </c>
    </row>
    <row r="231" spans="1:8" x14ac:dyDescent="0.3">
      <c r="A231" s="7">
        <v>2501</v>
      </c>
      <c r="B231" t="str" cm="1">
        <f t="array" ref="B231">_xlfn.IFS(A231&lt;=8000,"low",A231&lt;15000,"medium",A231&gt;=15000,"high")</f>
        <v>low</v>
      </c>
      <c r="G231" s="2">
        <v>2</v>
      </c>
      <c r="H231" t="str" cm="1">
        <f t="array" ref="H231">_xlfn.IFS(G231&lt;=15,"Junior",G231&lt;=30,"Mid level",G231&gt;30,"Lead")</f>
        <v>Junior</v>
      </c>
    </row>
    <row r="232" spans="1:8" x14ac:dyDescent="0.3">
      <c r="A232" s="8">
        <v>2506</v>
      </c>
      <c r="B232" t="str" cm="1">
        <f t="array" ref="B232">_xlfn.IFS(A232&lt;=8000,"low",A232&lt;15000,"medium",A232&gt;=15000,"high")</f>
        <v>low</v>
      </c>
      <c r="G232" s="1">
        <v>7</v>
      </c>
      <c r="H232" t="str" cm="1">
        <f t="array" ref="H232">_xlfn.IFS(G232&lt;=15,"Junior",G232&lt;=30,"Mid level",G232&gt;30,"Lead")</f>
        <v>Junior</v>
      </c>
    </row>
    <row r="233" spans="1:8" x14ac:dyDescent="0.3">
      <c r="A233" s="7">
        <v>2514</v>
      </c>
      <c r="B233" t="str" cm="1">
        <f t="array" ref="B233">_xlfn.IFS(A233&lt;=8000,"low",A233&lt;15000,"medium",A233&gt;=15000,"high")</f>
        <v>low</v>
      </c>
      <c r="G233" s="2">
        <v>2</v>
      </c>
      <c r="H233" t="str" cm="1">
        <f t="array" ref="H233">_xlfn.IFS(G233&lt;=15,"Junior",G233&lt;=30,"Mid level",G233&gt;30,"Lead")</f>
        <v>Junior</v>
      </c>
    </row>
    <row r="234" spans="1:8" x14ac:dyDescent="0.3">
      <c r="A234" s="8">
        <v>2515</v>
      </c>
      <c r="B234" t="str" cm="1">
        <f t="array" ref="B234">_xlfn.IFS(A234&lt;=8000,"low",A234&lt;15000,"medium",A234&gt;=15000,"high")</f>
        <v>low</v>
      </c>
      <c r="G234" s="1">
        <v>1</v>
      </c>
      <c r="H234" t="str" cm="1">
        <f t="array" ref="H234">_xlfn.IFS(G234&lt;=15,"Junior",G234&lt;=30,"Mid level",G234&gt;30,"Lead")</f>
        <v>Junior</v>
      </c>
    </row>
    <row r="235" spans="1:8" x14ac:dyDescent="0.3">
      <c r="A235" s="7">
        <v>2515</v>
      </c>
      <c r="B235" t="str" cm="1">
        <f t="array" ref="B235">_xlfn.IFS(A235&lt;=8000,"low",A235&lt;15000,"medium",A235&gt;=15000,"high")</f>
        <v>low</v>
      </c>
      <c r="G235" s="2">
        <v>5</v>
      </c>
      <c r="H235" t="str" cm="1">
        <f t="array" ref="H235">_xlfn.IFS(G235&lt;=15,"Junior",G235&lt;=30,"Mid level",G235&gt;30,"Lead")</f>
        <v>Junior</v>
      </c>
    </row>
    <row r="236" spans="1:8" x14ac:dyDescent="0.3">
      <c r="A236" s="8">
        <v>2517</v>
      </c>
      <c r="B236" t="str" cm="1">
        <f t="array" ref="B236">_xlfn.IFS(A236&lt;=8000,"low",A236&lt;15000,"medium",A236&gt;=15000,"high")</f>
        <v>low</v>
      </c>
      <c r="G236" s="1">
        <v>11</v>
      </c>
      <c r="H236" t="str" cm="1">
        <f t="array" ref="H236">_xlfn.IFS(G236&lt;=15,"Junior",G236&lt;=30,"Mid level",G236&gt;30,"Lead")</f>
        <v>Junior</v>
      </c>
    </row>
    <row r="237" spans="1:8" x14ac:dyDescent="0.3">
      <c r="A237" s="7">
        <v>2519</v>
      </c>
      <c r="B237" t="str" cm="1">
        <f t="array" ref="B237">_xlfn.IFS(A237&lt;=8000,"low",A237&lt;15000,"medium",A237&gt;=15000,"high")</f>
        <v>low</v>
      </c>
      <c r="G237" s="2">
        <v>2</v>
      </c>
      <c r="H237" t="str" cm="1">
        <f t="array" ref="H237">_xlfn.IFS(G237&lt;=15,"Junior",G237&lt;=30,"Mid level",G237&gt;30,"Lead")</f>
        <v>Junior</v>
      </c>
    </row>
    <row r="238" spans="1:8" x14ac:dyDescent="0.3">
      <c r="A238" s="8">
        <v>2523</v>
      </c>
      <c r="B238" t="str" cm="1">
        <f t="array" ref="B238">_xlfn.IFS(A238&lt;=8000,"low",A238&lt;15000,"medium",A238&gt;=15000,"high")</f>
        <v>low</v>
      </c>
      <c r="G238" s="1">
        <v>4</v>
      </c>
      <c r="H238" t="str" cm="1">
        <f t="array" ref="H238">_xlfn.IFS(G238&lt;=15,"Junior",G238&lt;=30,"Mid level",G238&gt;30,"Lead")</f>
        <v>Junior</v>
      </c>
    </row>
    <row r="239" spans="1:8" x14ac:dyDescent="0.3">
      <c r="A239" s="7">
        <v>2532</v>
      </c>
      <c r="B239" t="str" cm="1">
        <f t="array" ref="B239">_xlfn.IFS(A239&lt;=8000,"low",A239&lt;15000,"medium",A239&gt;=15000,"high")</f>
        <v>low</v>
      </c>
      <c r="G239" s="2">
        <v>1</v>
      </c>
      <c r="H239" t="str" cm="1">
        <f t="array" ref="H239">_xlfn.IFS(G239&lt;=15,"Junior",G239&lt;=30,"Mid level",G239&gt;30,"Lead")</f>
        <v>Junior</v>
      </c>
    </row>
    <row r="240" spans="1:8" x14ac:dyDescent="0.3">
      <c r="A240" s="8">
        <v>2534</v>
      </c>
      <c r="B240" t="str" cm="1">
        <f t="array" ref="B240">_xlfn.IFS(A240&lt;=8000,"low",A240&lt;15000,"medium",A240&gt;=15000,"high")</f>
        <v>low</v>
      </c>
      <c r="G240" s="1">
        <v>4</v>
      </c>
      <c r="H240" t="str" cm="1">
        <f t="array" ref="H240">_xlfn.IFS(G240&lt;=15,"Junior",G240&lt;=30,"Mid level",G240&gt;30,"Lead")</f>
        <v>Junior</v>
      </c>
    </row>
    <row r="241" spans="1:8" x14ac:dyDescent="0.3">
      <c r="A241" s="7">
        <v>2539</v>
      </c>
      <c r="B241" t="str" cm="1">
        <f t="array" ref="B241">_xlfn.IFS(A241&lt;=8000,"low",A241&lt;15000,"medium",A241&gt;=15000,"high")</f>
        <v>low</v>
      </c>
      <c r="G241" s="2">
        <v>2</v>
      </c>
      <c r="H241" t="str" cm="1">
        <f t="array" ref="H241">_xlfn.IFS(G241&lt;=15,"Junior",G241&lt;=30,"Mid level",G241&gt;30,"Lead")</f>
        <v>Junior</v>
      </c>
    </row>
    <row r="242" spans="1:8" x14ac:dyDescent="0.3">
      <c r="A242" s="8">
        <v>2543</v>
      </c>
      <c r="B242" t="str" cm="1">
        <f t="array" ref="B242">_xlfn.IFS(A242&lt;=8000,"low",A242&lt;15000,"medium",A242&gt;=15000,"high")</f>
        <v>low</v>
      </c>
      <c r="G242" s="1">
        <v>7</v>
      </c>
      <c r="H242" t="str" cm="1">
        <f t="array" ref="H242">_xlfn.IFS(G242&lt;=15,"Junior",G242&lt;=30,"Mid level",G242&gt;30,"Lead")</f>
        <v>Junior</v>
      </c>
    </row>
    <row r="243" spans="1:8" x14ac:dyDescent="0.3">
      <c r="A243" s="7">
        <v>2544</v>
      </c>
      <c r="B243" t="str" cm="1">
        <f t="array" ref="B243">_xlfn.IFS(A243&lt;=8000,"low",A243&lt;15000,"medium",A243&gt;=15000,"high")</f>
        <v>low</v>
      </c>
      <c r="G243" s="2">
        <v>2</v>
      </c>
      <c r="H243" t="str" cm="1">
        <f t="array" ref="H243">_xlfn.IFS(G243&lt;=15,"Junior",G243&lt;=30,"Mid level",G243&gt;30,"Lead")</f>
        <v>Junior</v>
      </c>
    </row>
    <row r="244" spans="1:8" x14ac:dyDescent="0.3">
      <c r="A244" s="8">
        <v>2546</v>
      </c>
      <c r="B244" t="str" cm="1">
        <f t="array" ref="B244">_xlfn.IFS(A244&lt;=8000,"low",A244&lt;15000,"medium",A244&gt;=15000,"high")</f>
        <v>low</v>
      </c>
      <c r="G244" s="1">
        <v>1</v>
      </c>
      <c r="H244" t="str" cm="1">
        <f t="array" ref="H244">_xlfn.IFS(G244&lt;=15,"Junior",G244&lt;=30,"Mid level",G244&gt;30,"Lead")</f>
        <v>Junior</v>
      </c>
    </row>
    <row r="245" spans="1:8" x14ac:dyDescent="0.3">
      <c r="A245" s="7">
        <v>2552</v>
      </c>
      <c r="B245" t="str" cm="1">
        <f t="array" ref="B245">_xlfn.IFS(A245&lt;=8000,"low",A245&lt;15000,"medium",A245&gt;=15000,"high")</f>
        <v>low</v>
      </c>
      <c r="G245" s="2">
        <v>5</v>
      </c>
      <c r="H245" t="str" cm="1">
        <f t="array" ref="H245">_xlfn.IFS(G245&lt;=15,"Junior",G245&lt;=30,"Mid level",G245&gt;30,"Lead")</f>
        <v>Junior</v>
      </c>
    </row>
    <row r="246" spans="1:8" x14ac:dyDescent="0.3">
      <c r="A246" s="8">
        <v>2553</v>
      </c>
      <c r="B246" t="str" cm="1">
        <f t="array" ref="B246">_xlfn.IFS(A246&lt;=8000,"low",A246&lt;15000,"medium",A246&gt;=15000,"high")</f>
        <v>low</v>
      </c>
      <c r="G246" s="1">
        <v>6</v>
      </c>
      <c r="H246" t="str" cm="1">
        <f t="array" ref="H246">_xlfn.IFS(G246&lt;=15,"Junior",G246&lt;=30,"Mid level",G246&gt;30,"Lead")</f>
        <v>Junior</v>
      </c>
    </row>
    <row r="247" spans="1:8" x14ac:dyDescent="0.3">
      <c r="A247" s="7">
        <v>2559</v>
      </c>
      <c r="B247" t="str" cm="1">
        <f t="array" ref="B247">_xlfn.IFS(A247&lt;=8000,"low",A247&lt;15000,"medium",A247&gt;=15000,"high")</f>
        <v>low</v>
      </c>
      <c r="G247" s="2">
        <v>8</v>
      </c>
      <c r="H247" t="str" cm="1">
        <f t="array" ref="H247">_xlfn.IFS(G247&lt;=15,"Junior",G247&lt;=30,"Mid level",G247&gt;30,"Lead")</f>
        <v>Junior</v>
      </c>
    </row>
    <row r="248" spans="1:8" x14ac:dyDescent="0.3">
      <c r="A248" s="8">
        <v>2559</v>
      </c>
      <c r="B248" t="str" cm="1">
        <f t="array" ref="B248">_xlfn.IFS(A248&lt;=8000,"low",A248&lt;15000,"medium",A248&gt;=15000,"high")</f>
        <v>low</v>
      </c>
      <c r="G248" s="1">
        <v>1</v>
      </c>
      <c r="H248" t="str" cm="1">
        <f t="array" ref="H248">_xlfn.IFS(G248&lt;=15,"Junior",G248&lt;=30,"Mid level",G248&gt;30,"Lead")</f>
        <v>Junior</v>
      </c>
    </row>
    <row r="249" spans="1:8" x14ac:dyDescent="0.3">
      <c r="A249" s="7">
        <v>2559</v>
      </c>
      <c r="B249" t="str" cm="1">
        <f t="array" ref="B249">_xlfn.IFS(A249&lt;=8000,"low",A249&lt;15000,"medium",A249&gt;=15000,"high")</f>
        <v>low</v>
      </c>
      <c r="G249" s="2">
        <v>0</v>
      </c>
      <c r="H249" t="str" cm="1">
        <f t="array" ref="H249">_xlfn.IFS(G249&lt;=15,"Junior",G249&lt;=30,"Mid level",G249&gt;30,"Lead")</f>
        <v>Junior</v>
      </c>
    </row>
    <row r="250" spans="1:8" x14ac:dyDescent="0.3">
      <c r="A250" s="8">
        <v>2561</v>
      </c>
      <c r="B250" t="str" cm="1">
        <f t="array" ref="B250">_xlfn.IFS(A250&lt;=8000,"low",A250&lt;15000,"medium",A250&gt;=15000,"high")</f>
        <v>low</v>
      </c>
      <c r="G250" s="1">
        <v>1</v>
      </c>
      <c r="H250" t="str" cm="1">
        <f t="array" ref="H250">_xlfn.IFS(G250&lt;=15,"Junior",G250&lt;=30,"Mid level",G250&gt;30,"Lead")</f>
        <v>Junior</v>
      </c>
    </row>
    <row r="251" spans="1:8" x14ac:dyDescent="0.3">
      <c r="A251" s="7">
        <v>2564</v>
      </c>
      <c r="B251" t="str" cm="1">
        <f t="array" ref="B251">_xlfn.IFS(A251&lt;=8000,"low",A251&lt;15000,"medium",A251&gt;=15000,"high")</f>
        <v>low</v>
      </c>
      <c r="G251" s="2">
        <v>11</v>
      </c>
      <c r="H251" t="str" cm="1">
        <f t="array" ref="H251">_xlfn.IFS(G251&lt;=15,"Junior",G251&lt;=30,"Mid level",G251&gt;30,"Lead")</f>
        <v>Junior</v>
      </c>
    </row>
    <row r="252" spans="1:8" x14ac:dyDescent="0.3">
      <c r="A252" s="8">
        <v>2564</v>
      </c>
      <c r="B252" t="str" cm="1">
        <f t="array" ref="B252">_xlfn.IFS(A252&lt;=8000,"low",A252&lt;15000,"medium",A252&gt;=15000,"high")</f>
        <v>low</v>
      </c>
      <c r="G252" s="1">
        <v>1</v>
      </c>
      <c r="H252" t="str" cm="1">
        <f t="array" ref="H252">_xlfn.IFS(G252&lt;=15,"Junior",G252&lt;=30,"Mid level",G252&gt;30,"Lead")</f>
        <v>Junior</v>
      </c>
    </row>
    <row r="253" spans="1:8" x14ac:dyDescent="0.3">
      <c r="A253" s="7">
        <v>2566</v>
      </c>
      <c r="B253" t="str" cm="1">
        <f t="array" ref="B253">_xlfn.IFS(A253&lt;=8000,"low",A253&lt;15000,"medium",A253&gt;=15000,"high")</f>
        <v>low</v>
      </c>
      <c r="G253" s="2">
        <v>7</v>
      </c>
      <c r="H253" t="str" cm="1">
        <f t="array" ref="H253">_xlfn.IFS(G253&lt;=15,"Junior",G253&lt;=30,"Mid level",G253&gt;30,"Lead")</f>
        <v>Junior</v>
      </c>
    </row>
    <row r="254" spans="1:8" x14ac:dyDescent="0.3">
      <c r="A254" s="8">
        <v>2570</v>
      </c>
      <c r="B254" t="str" cm="1">
        <f t="array" ref="B254">_xlfn.IFS(A254&lt;=8000,"low",A254&lt;15000,"medium",A254&gt;=15000,"high")</f>
        <v>low</v>
      </c>
      <c r="G254" s="1">
        <v>5</v>
      </c>
      <c r="H254" t="str" cm="1">
        <f t="array" ref="H254">_xlfn.IFS(G254&lt;=15,"Junior",G254&lt;=30,"Mid level",G254&gt;30,"Lead")</f>
        <v>Junior</v>
      </c>
    </row>
    <row r="255" spans="1:8" x14ac:dyDescent="0.3">
      <c r="A255" s="7">
        <v>2571</v>
      </c>
      <c r="B255" t="str" cm="1">
        <f t="array" ref="B255">_xlfn.IFS(A255&lt;=8000,"low",A255&lt;15000,"medium",A255&gt;=15000,"high")</f>
        <v>low</v>
      </c>
      <c r="G255" s="2">
        <v>3</v>
      </c>
      <c r="H255" t="str" cm="1">
        <f t="array" ref="H255">_xlfn.IFS(G255&lt;=15,"Junior",G255&lt;=30,"Mid level",G255&gt;30,"Lead")</f>
        <v>Junior</v>
      </c>
    </row>
    <row r="256" spans="1:8" x14ac:dyDescent="0.3">
      <c r="A256" s="8">
        <v>2572</v>
      </c>
      <c r="B256" t="str" cm="1">
        <f t="array" ref="B256">_xlfn.IFS(A256&lt;=8000,"low",A256&lt;15000,"medium",A256&gt;=15000,"high")</f>
        <v>low</v>
      </c>
      <c r="G256" s="1">
        <v>5</v>
      </c>
      <c r="H256" t="str" cm="1">
        <f t="array" ref="H256">_xlfn.IFS(G256&lt;=15,"Junior",G256&lt;=30,"Mid level",G256&gt;30,"Lead")</f>
        <v>Junior</v>
      </c>
    </row>
    <row r="257" spans="1:8" x14ac:dyDescent="0.3">
      <c r="A257" s="7">
        <v>2576</v>
      </c>
      <c r="B257" t="str" cm="1">
        <f t="array" ref="B257">_xlfn.IFS(A257&lt;=8000,"low",A257&lt;15000,"medium",A257&gt;=15000,"high")</f>
        <v>low</v>
      </c>
      <c r="G257" s="2">
        <v>8</v>
      </c>
      <c r="H257" t="str" cm="1">
        <f t="array" ref="H257">_xlfn.IFS(G257&lt;=15,"Junior",G257&lt;=30,"Mid level",G257&gt;30,"Lead")</f>
        <v>Junior</v>
      </c>
    </row>
    <row r="258" spans="1:8" x14ac:dyDescent="0.3">
      <c r="A258" s="8">
        <v>2579</v>
      </c>
      <c r="B258" t="str" cm="1">
        <f t="array" ref="B258">_xlfn.IFS(A258&lt;=8000,"low",A258&lt;15000,"medium",A258&gt;=15000,"high")</f>
        <v>low</v>
      </c>
      <c r="G258" s="1">
        <v>4</v>
      </c>
      <c r="H258" t="str" cm="1">
        <f t="array" ref="H258">_xlfn.IFS(G258&lt;=15,"Junior",G258&lt;=30,"Mid level",G258&gt;30,"Lead")</f>
        <v>Junior</v>
      </c>
    </row>
    <row r="259" spans="1:8" x14ac:dyDescent="0.3">
      <c r="A259" s="7">
        <v>2580</v>
      </c>
      <c r="B259" t="str" cm="1">
        <f t="array" ref="B259">_xlfn.IFS(A259&lt;=8000,"low",A259&lt;15000,"medium",A259&gt;=15000,"high")</f>
        <v>low</v>
      </c>
      <c r="G259" s="2">
        <v>1</v>
      </c>
      <c r="H259" t="str" cm="1">
        <f t="array" ref="H259">_xlfn.IFS(G259&lt;=15,"Junior",G259&lt;=30,"Mid level",G259&gt;30,"Lead")</f>
        <v>Junior</v>
      </c>
    </row>
    <row r="260" spans="1:8" x14ac:dyDescent="0.3">
      <c r="A260" s="8">
        <v>2585</v>
      </c>
      <c r="B260" t="str" cm="1">
        <f t="array" ref="B260">_xlfn.IFS(A260&lt;=8000,"low",A260&lt;15000,"medium",A260&gt;=15000,"high")</f>
        <v>low</v>
      </c>
      <c r="G260" s="1">
        <v>2</v>
      </c>
      <c r="H260" t="str" cm="1">
        <f t="array" ref="H260">_xlfn.IFS(G260&lt;=15,"Junior",G260&lt;=30,"Mid level",G260&gt;30,"Lead")</f>
        <v>Junior</v>
      </c>
    </row>
    <row r="261" spans="1:8" x14ac:dyDescent="0.3">
      <c r="A261" s="7">
        <v>2587</v>
      </c>
      <c r="B261" t="str" cm="1">
        <f t="array" ref="B261">_xlfn.IFS(A261&lt;=8000,"low",A261&lt;15000,"medium",A261&gt;=15000,"high")</f>
        <v>low</v>
      </c>
      <c r="G261" s="2">
        <v>4</v>
      </c>
      <c r="H261" t="str" cm="1">
        <f t="array" ref="H261">_xlfn.IFS(G261&lt;=15,"Junior",G261&lt;=30,"Mid level",G261&gt;30,"Lead")</f>
        <v>Junior</v>
      </c>
    </row>
    <row r="262" spans="1:8" x14ac:dyDescent="0.3">
      <c r="A262" s="8">
        <v>2587</v>
      </c>
      <c r="B262" t="str" cm="1">
        <f t="array" ref="B262">_xlfn.IFS(A262&lt;=8000,"low",A262&lt;15000,"medium",A262&gt;=15000,"high")</f>
        <v>low</v>
      </c>
      <c r="G262" s="1">
        <v>11</v>
      </c>
      <c r="H262" t="str" cm="1">
        <f t="array" ref="H262">_xlfn.IFS(G262&lt;=15,"Junior",G262&lt;=30,"Mid level",G262&gt;30,"Lead")</f>
        <v>Junior</v>
      </c>
    </row>
    <row r="263" spans="1:8" x14ac:dyDescent="0.3">
      <c r="A263" s="7">
        <v>2592</v>
      </c>
      <c r="B263" t="str" cm="1">
        <f t="array" ref="B263">_xlfn.IFS(A263&lt;=8000,"low",A263&lt;15000,"medium",A263&gt;=15000,"high")</f>
        <v>low</v>
      </c>
      <c r="G263" s="2">
        <v>9</v>
      </c>
      <c r="H263" t="str" cm="1">
        <f t="array" ref="H263">_xlfn.IFS(G263&lt;=15,"Junior",G263&lt;=30,"Mid level",G263&gt;30,"Lead")</f>
        <v>Junior</v>
      </c>
    </row>
    <row r="264" spans="1:8" x14ac:dyDescent="0.3">
      <c r="A264" s="8">
        <v>2593</v>
      </c>
      <c r="B264" t="str" cm="1">
        <f t="array" ref="B264">_xlfn.IFS(A264&lt;=8000,"low",A264&lt;15000,"medium",A264&gt;=15000,"high")</f>
        <v>low</v>
      </c>
      <c r="G264" s="1">
        <v>1</v>
      </c>
      <c r="H264" t="str" cm="1">
        <f t="array" ref="H264">_xlfn.IFS(G264&lt;=15,"Junior",G264&lt;=30,"Mid level",G264&gt;30,"Lead")</f>
        <v>Junior</v>
      </c>
    </row>
    <row r="265" spans="1:8" x14ac:dyDescent="0.3">
      <c r="A265" s="7">
        <v>2596</v>
      </c>
      <c r="B265" t="str" cm="1">
        <f t="array" ref="B265">_xlfn.IFS(A265&lt;=8000,"low",A265&lt;15000,"medium",A265&gt;=15000,"high")</f>
        <v>low</v>
      </c>
      <c r="G265" s="2">
        <v>1</v>
      </c>
      <c r="H265" t="str" cm="1">
        <f t="array" ref="H265">_xlfn.IFS(G265&lt;=15,"Junior",G265&lt;=30,"Mid level",G265&gt;30,"Lead")</f>
        <v>Junior</v>
      </c>
    </row>
    <row r="266" spans="1:8" x14ac:dyDescent="0.3">
      <c r="A266" s="8">
        <v>2600</v>
      </c>
      <c r="B266" t="str" cm="1">
        <f t="array" ref="B266">_xlfn.IFS(A266&lt;=8000,"low",A266&lt;15000,"medium",A266&gt;=15000,"high")</f>
        <v>low</v>
      </c>
      <c r="G266" s="1">
        <v>3</v>
      </c>
      <c r="H266" t="str" cm="1">
        <f t="array" ref="H266">_xlfn.IFS(G266&lt;=15,"Junior",G266&lt;=30,"Mid level",G266&gt;30,"Lead")</f>
        <v>Junior</v>
      </c>
    </row>
    <row r="267" spans="1:8" x14ac:dyDescent="0.3">
      <c r="A267" s="7">
        <v>2610</v>
      </c>
      <c r="B267" t="str" cm="1">
        <f t="array" ref="B267">_xlfn.IFS(A267&lt;=8000,"low",A267&lt;15000,"medium",A267&gt;=15000,"high")</f>
        <v>low</v>
      </c>
      <c r="G267" s="2">
        <v>2</v>
      </c>
      <c r="H267" t="str" cm="1">
        <f t="array" ref="H267">_xlfn.IFS(G267&lt;=15,"Junior",G267&lt;=30,"Mid level",G267&gt;30,"Lead")</f>
        <v>Junior</v>
      </c>
    </row>
    <row r="268" spans="1:8" x14ac:dyDescent="0.3">
      <c r="A268" s="8">
        <v>2610</v>
      </c>
      <c r="B268" t="str" cm="1">
        <f t="array" ref="B268">_xlfn.IFS(A268&lt;=8000,"low",A268&lt;15000,"medium",A268&gt;=15000,"high")</f>
        <v>low</v>
      </c>
      <c r="G268" s="1">
        <v>4</v>
      </c>
      <c r="H268" t="str" cm="1">
        <f t="array" ref="H268">_xlfn.IFS(G268&lt;=15,"Junior",G268&lt;=30,"Mid level",G268&gt;30,"Lead")</f>
        <v>Junior</v>
      </c>
    </row>
    <row r="269" spans="1:8" x14ac:dyDescent="0.3">
      <c r="A269" s="7">
        <v>2610</v>
      </c>
      <c r="B269" t="str" cm="1">
        <f t="array" ref="B269">_xlfn.IFS(A269&lt;=8000,"low",A269&lt;15000,"medium",A269&gt;=15000,"high")</f>
        <v>low</v>
      </c>
      <c r="G269" s="2">
        <v>10</v>
      </c>
      <c r="H269" t="str" cm="1">
        <f t="array" ref="H269">_xlfn.IFS(G269&lt;=15,"Junior",G269&lt;=30,"Mid level",G269&gt;30,"Lead")</f>
        <v>Junior</v>
      </c>
    </row>
    <row r="270" spans="1:8" x14ac:dyDescent="0.3">
      <c r="A270" s="8">
        <v>2613</v>
      </c>
      <c r="B270" t="str" cm="1">
        <f t="array" ref="B270">_xlfn.IFS(A270&lt;=8000,"low",A270&lt;15000,"medium",A270&gt;=15000,"high")</f>
        <v>low</v>
      </c>
      <c r="G270" s="1">
        <v>0</v>
      </c>
      <c r="H270" t="str" cm="1">
        <f t="array" ref="H270">_xlfn.IFS(G270&lt;=15,"Junior",G270&lt;=30,"Mid level",G270&gt;30,"Lead")</f>
        <v>Junior</v>
      </c>
    </row>
    <row r="271" spans="1:8" x14ac:dyDescent="0.3">
      <c r="A271" s="7">
        <v>2619</v>
      </c>
      <c r="B271" t="str" cm="1">
        <f t="array" ref="B271">_xlfn.IFS(A271&lt;=8000,"low",A271&lt;15000,"medium",A271&gt;=15000,"high")</f>
        <v>low</v>
      </c>
      <c r="G271" s="2">
        <v>3</v>
      </c>
      <c r="H271" t="str" cm="1">
        <f t="array" ref="H271">_xlfn.IFS(G271&lt;=15,"Junior",G271&lt;=30,"Mid level",G271&gt;30,"Lead")</f>
        <v>Junior</v>
      </c>
    </row>
    <row r="272" spans="1:8" x14ac:dyDescent="0.3">
      <c r="A272" s="8">
        <v>2622</v>
      </c>
      <c r="B272" t="str" cm="1">
        <f t="array" ref="B272">_xlfn.IFS(A272&lt;=8000,"low",A272&lt;15000,"medium",A272&gt;=15000,"high")</f>
        <v>low</v>
      </c>
      <c r="G272" s="1">
        <v>2</v>
      </c>
      <c r="H272" t="str" cm="1">
        <f t="array" ref="H272">_xlfn.IFS(G272&lt;=15,"Junior",G272&lt;=30,"Mid level",G272&gt;30,"Lead")</f>
        <v>Junior</v>
      </c>
    </row>
    <row r="273" spans="1:8" x14ac:dyDescent="0.3">
      <c r="A273" s="7">
        <v>2625</v>
      </c>
      <c r="B273" t="str" cm="1">
        <f t="array" ref="B273">_xlfn.IFS(A273&lt;=8000,"low",A273&lt;15000,"medium",A273&gt;=15000,"high")</f>
        <v>low</v>
      </c>
      <c r="G273" s="2">
        <v>5</v>
      </c>
      <c r="H273" t="str" cm="1">
        <f t="array" ref="H273">_xlfn.IFS(G273&lt;=15,"Junior",G273&lt;=30,"Mid level",G273&gt;30,"Lead")</f>
        <v>Junior</v>
      </c>
    </row>
    <row r="274" spans="1:8" x14ac:dyDescent="0.3">
      <c r="A274" s="8">
        <v>2632</v>
      </c>
      <c r="B274" t="str" cm="1">
        <f t="array" ref="B274">_xlfn.IFS(A274&lt;=8000,"low",A274&lt;15000,"medium",A274&gt;=15000,"high")</f>
        <v>low</v>
      </c>
      <c r="G274" s="1">
        <v>1</v>
      </c>
      <c r="H274" t="str" cm="1">
        <f t="array" ref="H274">_xlfn.IFS(G274&lt;=15,"Junior",G274&lt;=30,"Mid level",G274&gt;30,"Lead")</f>
        <v>Junior</v>
      </c>
    </row>
    <row r="275" spans="1:8" x14ac:dyDescent="0.3">
      <c r="A275" s="7">
        <v>2642</v>
      </c>
      <c r="B275" t="str" cm="1">
        <f t="array" ref="B275">_xlfn.IFS(A275&lt;=8000,"low",A275&lt;15000,"medium",A275&gt;=15000,"high")</f>
        <v>low</v>
      </c>
      <c r="G275" s="2">
        <v>3</v>
      </c>
      <c r="H275" t="str" cm="1">
        <f t="array" ref="H275">_xlfn.IFS(G275&lt;=15,"Junior",G275&lt;=30,"Mid level",G275&gt;30,"Lead")</f>
        <v>Junior</v>
      </c>
    </row>
    <row r="276" spans="1:8" x14ac:dyDescent="0.3">
      <c r="A276" s="8">
        <v>2644</v>
      </c>
      <c r="B276" t="str" cm="1">
        <f t="array" ref="B276">_xlfn.IFS(A276&lt;=8000,"low",A276&lt;15000,"medium",A276&gt;=15000,"high")</f>
        <v>low</v>
      </c>
      <c r="G276" s="1">
        <v>5</v>
      </c>
      <c r="H276" t="str" cm="1">
        <f t="array" ref="H276">_xlfn.IFS(G276&lt;=15,"Junior",G276&lt;=30,"Mid level",G276&gt;30,"Lead")</f>
        <v>Junior</v>
      </c>
    </row>
    <row r="277" spans="1:8" x14ac:dyDescent="0.3">
      <c r="A277" s="7">
        <v>2645</v>
      </c>
      <c r="B277" t="str" cm="1">
        <f t="array" ref="B277">_xlfn.IFS(A277&lt;=8000,"low",A277&lt;15000,"medium",A277&gt;=15000,"high")</f>
        <v>low</v>
      </c>
      <c r="G277" s="2">
        <v>5</v>
      </c>
      <c r="H277" t="str" cm="1">
        <f t="array" ref="H277">_xlfn.IFS(G277&lt;=15,"Junior",G277&lt;=30,"Mid level",G277&gt;30,"Lead")</f>
        <v>Junior</v>
      </c>
    </row>
    <row r="278" spans="1:8" x14ac:dyDescent="0.3">
      <c r="A278" s="8">
        <v>2647</v>
      </c>
      <c r="B278" t="str" cm="1">
        <f t="array" ref="B278">_xlfn.IFS(A278&lt;=8000,"low",A278&lt;15000,"medium",A278&gt;=15000,"high")</f>
        <v>low</v>
      </c>
      <c r="G278" s="1">
        <v>2</v>
      </c>
      <c r="H278" t="str" cm="1">
        <f t="array" ref="H278">_xlfn.IFS(G278&lt;=15,"Junior",G278&lt;=30,"Mid level",G278&gt;30,"Lead")</f>
        <v>Junior</v>
      </c>
    </row>
    <row r="279" spans="1:8" x14ac:dyDescent="0.3">
      <c r="A279" s="7">
        <v>2654</v>
      </c>
      <c r="B279" t="str" cm="1">
        <f t="array" ref="B279">_xlfn.IFS(A279&lt;=8000,"low",A279&lt;15000,"medium",A279&gt;=15000,"high")</f>
        <v>low</v>
      </c>
      <c r="G279" s="2">
        <v>9</v>
      </c>
      <c r="H279" t="str" cm="1">
        <f t="array" ref="H279">_xlfn.IFS(G279&lt;=15,"Junior",G279&lt;=30,"Mid level",G279&gt;30,"Lead")</f>
        <v>Junior</v>
      </c>
    </row>
    <row r="280" spans="1:8" x14ac:dyDescent="0.3">
      <c r="A280" s="8">
        <v>2655</v>
      </c>
      <c r="B280" t="str" cm="1">
        <f t="array" ref="B280">_xlfn.IFS(A280&lt;=8000,"low",A280&lt;15000,"medium",A280&gt;=15000,"high")</f>
        <v>low</v>
      </c>
      <c r="G280" s="1">
        <v>5</v>
      </c>
      <c r="H280" t="str" cm="1">
        <f t="array" ref="H280">_xlfn.IFS(G280&lt;=15,"Junior",G280&lt;=30,"Mid level",G280&gt;30,"Lead")</f>
        <v>Junior</v>
      </c>
    </row>
    <row r="281" spans="1:8" x14ac:dyDescent="0.3">
      <c r="A281" s="7">
        <v>2657</v>
      </c>
      <c r="B281" t="str" cm="1">
        <f t="array" ref="B281">_xlfn.IFS(A281&lt;=8000,"low",A281&lt;15000,"medium",A281&gt;=15000,"high")</f>
        <v>low</v>
      </c>
      <c r="G281" s="2">
        <v>2</v>
      </c>
      <c r="H281" t="str" cm="1">
        <f t="array" ref="H281">_xlfn.IFS(G281&lt;=15,"Junior",G281&lt;=30,"Mid level",G281&gt;30,"Lead")</f>
        <v>Junior</v>
      </c>
    </row>
    <row r="282" spans="1:8" x14ac:dyDescent="0.3">
      <c r="A282" s="8">
        <v>2657</v>
      </c>
      <c r="B282" t="str" cm="1">
        <f t="array" ref="B282">_xlfn.IFS(A282&lt;=8000,"low",A282&lt;15000,"medium",A282&gt;=15000,"high")</f>
        <v>low</v>
      </c>
      <c r="G282" s="1">
        <v>3</v>
      </c>
      <c r="H282" t="str" cm="1">
        <f t="array" ref="H282">_xlfn.IFS(G282&lt;=15,"Junior",G282&lt;=30,"Mid level",G282&gt;30,"Lead")</f>
        <v>Junior</v>
      </c>
    </row>
    <row r="283" spans="1:8" x14ac:dyDescent="0.3">
      <c r="A283" s="7">
        <v>2659</v>
      </c>
      <c r="B283" t="str" cm="1">
        <f t="array" ref="B283">_xlfn.IFS(A283&lt;=8000,"low",A283&lt;15000,"medium",A283&gt;=15000,"high")</f>
        <v>low</v>
      </c>
      <c r="G283" s="2">
        <v>2</v>
      </c>
      <c r="H283" t="str" cm="1">
        <f t="array" ref="H283">_xlfn.IFS(G283&lt;=15,"Junior",G283&lt;=30,"Mid level",G283&gt;30,"Lead")</f>
        <v>Junior</v>
      </c>
    </row>
    <row r="284" spans="1:8" x14ac:dyDescent="0.3">
      <c r="A284" s="8">
        <v>2660</v>
      </c>
      <c r="B284" t="str" cm="1">
        <f t="array" ref="B284">_xlfn.IFS(A284&lt;=8000,"low",A284&lt;15000,"medium",A284&gt;=15000,"high")</f>
        <v>low</v>
      </c>
      <c r="G284" s="1">
        <v>2</v>
      </c>
      <c r="H284" t="str" cm="1">
        <f t="array" ref="H284">_xlfn.IFS(G284&lt;=15,"Junior",G284&lt;=30,"Mid level",G284&gt;30,"Lead")</f>
        <v>Junior</v>
      </c>
    </row>
    <row r="285" spans="1:8" x14ac:dyDescent="0.3">
      <c r="A285" s="7">
        <v>2661</v>
      </c>
      <c r="B285" t="str" cm="1">
        <f t="array" ref="B285">_xlfn.IFS(A285&lt;=8000,"low",A285&lt;15000,"medium",A285&gt;=15000,"high")</f>
        <v>low</v>
      </c>
      <c r="G285" s="2">
        <v>5</v>
      </c>
      <c r="H285" t="str" cm="1">
        <f t="array" ref="H285">_xlfn.IFS(G285&lt;=15,"Junior",G285&lt;=30,"Mid level",G285&gt;30,"Lead")</f>
        <v>Junior</v>
      </c>
    </row>
    <row r="286" spans="1:8" x14ac:dyDescent="0.3">
      <c r="A286" s="8">
        <v>2662</v>
      </c>
      <c r="B286" t="str" cm="1">
        <f t="array" ref="B286">_xlfn.IFS(A286&lt;=8000,"low",A286&lt;15000,"medium",A286&gt;=15000,"high")</f>
        <v>low</v>
      </c>
      <c r="G286" s="1">
        <v>1</v>
      </c>
      <c r="H286" t="str" cm="1">
        <f t="array" ref="H286">_xlfn.IFS(G286&lt;=15,"Junior",G286&lt;=30,"Mid level",G286&gt;30,"Lead")</f>
        <v>Junior</v>
      </c>
    </row>
    <row r="287" spans="1:8" x14ac:dyDescent="0.3">
      <c r="A287" s="7">
        <v>2670</v>
      </c>
      <c r="B287" t="str" cm="1">
        <f t="array" ref="B287">_xlfn.IFS(A287&lt;=8000,"low",A287&lt;15000,"medium",A287&gt;=15000,"high")</f>
        <v>low</v>
      </c>
      <c r="G287" s="2">
        <v>2</v>
      </c>
      <c r="H287" t="str" cm="1">
        <f t="array" ref="H287">_xlfn.IFS(G287&lt;=15,"Junior",G287&lt;=30,"Mid level",G287&gt;30,"Lead")</f>
        <v>Junior</v>
      </c>
    </row>
    <row r="288" spans="1:8" x14ac:dyDescent="0.3">
      <c r="A288" s="8">
        <v>2678</v>
      </c>
      <c r="B288" t="str" cm="1">
        <f t="array" ref="B288">_xlfn.IFS(A288&lt;=8000,"low",A288&lt;15000,"medium",A288&gt;=15000,"high")</f>
        <v>low</v>
      </c>
      <c r="G288" s="1">
        <v>1</v>
      </c>
      <c r="H288" t="str" cm="1">
        <f t="array" ref="H288">_xlfn.IFS(G288&lt;=15,"Junior",G288&lt;=30,"Mid level",G288&gt;30,"Lead")</f>
        <v>Junior</v>
      </c>
    </row>
    <row r="289" spans="1:8" x14ac:dyDescent="0.3">
      <c r="A289" s="7">
        <v>2679</v>
      </c>
      <c r="B289" t="str" cm="1">
        <f t="array" ref="B289">_xlfn.IFS(A289&lt;=8000,"low",A289&lt;15000,"medium",A289&gt;=15000,"high")</f>
        <v>low</v>
      </c>
      <c r="G289" s="2">
        <v>3</v>
      </c>
      <c r="H289" t="str" cm="1">
        <f t="array" ref="H289">_xlfn.IFS(G289&lt;=15,"Junior",G289&lt;=30,"Mid level",G289&gt;30,"Lead")</f>
        <v>Junior</v>
      </c>
    </row>
    <row r="290" spans="1:8" x14ac:dyDescent="0.3">
      <c r="A290" s="8">
        <v>2683</v>
      </c>
      <c r="B290" t="str" cm="1">
        <f t="array" ref="B290">_xlfn.IFS(A290&lt;=8000,"low",A290&lt;15000,"medium",A290&gt;=15000,"high")</f>
        <v>low</v>
      </c>
      <c r="G290" s="1">
        <v>2</v>
      </c>
      <c r="H290" t="str" cm="1">
        <f t="array" ref="H290">_xlfn.IFS(G290&lt;=15,"Junior",G290&lt;=30,"Mid level",G290&gt;30,"Lead")</f>
        <v>Junior</v>
      </c>
    </row>
    <row r="291" spans="1:8" x14ac:dyDescent="0.3">
      <c r="A291" s="7">
        <v>2684</v>
      </c>
      <c r="B291" t="str" cm="1">
        <f t="array" ref="B291">_xlfn.IFS(A291&lt;=8000,"low",A291&lt;15000,"medium",A291&gt;=15000,"high")</f>
        <v>low</v>
      </c>
      <c r="G291" s="2">
        <v>10</v>
      </c>
      <c r="H291" t="str" cm="1">
        <f t="array" ref="H291">_xlfn.IFS(G291&lt;=15,"Junior",G291&lt;=30,"Mid level",G291&gt;30,"Lead")</f>
        <v>Junior</v>
      </c>
    </row>
    <row r="292" spans="1:8" x14ac:dyDescent="0.3">
      <c r="A292" s="8">
        <v>2686</v>
      </c>
      <c r="B292" t="str" cm="1">
        <f t="array" ref="B292">_xlfn.IFS(A292&lt;=8000,"low",A292&lt;15000,"medium",A292&gt;=15000,"high")</f>
        <v>low</v>
      </c>
      <c r="G292" s="1">
        <v>1</v>
      </c>
      <c r="H292" t="str" cm="1">
        <f t="array" ref="H292">_xlfn.IFS(G292&lt;=15,"Junior",G292&lt;=30,"Mid level",G292&gt;30,"Lead")</f>
        <v>Junior</v>
      </c>
    </row>
    <row r="293" spans="1:8" x14ac:dyDescent="0.3">
      <c r="A293" s="7">
        <v>2690</v>
      </c>
      <c r="B293" t="str" cm="1">
        <f t="array" ref="B293">_xlfn.IFS(A293&lt;=8000,"low",A293&lt;15000,"medium",A293&gt;=15000,"high")</f>
        <v>low</v>
      </c>
      <c r="G293" s="2">
        <v>10</v>
      </c>
      <c r="H293" t="str" cm="1">
        <f t="array" ref="H293">_xlfn.IFS(G293&lt;=15,"Junior",G293&lt;=30,"Mid level",G293&gt;30,"Lead")</f>
        <v>Junior</v>
      </c>
    </row>
    <row r="294" spans="1:8" x14ac:dyDescent="0.3">
      <c r="A294" s="8">
        <v>2691</v>
      </c>
      <c r="B294" t="str" cm="1">
        <f t="array" ref="B294">_xlfn.IFS(A294&lt;=8000,"low",A294&lt;15000,"medium",A294&gt;=15000,"high")</f>
        <v>low</v>
      </c>
      <c r="G294" s="1">
        <v>1</v>
      </c>
      <c r="H294" t="str" cm="1">
        <f t="array" ref="H294">_xlfn.IFS(G294&lt;=15,"Junior",G294&lt;=30,"Mid level",G294&gt;30,"Lead")</f>
        <v>Junior</v>
      </c>
    </row>
    <row r="295" spans="1:8" x14ac:dyDescent="0.3">
      <c r="A295" s="7">
        <v>2693</v>
      </c>
      <c r="B295" t="str" cm="1">
        <f t="array" ref="B295">_xlfn.IFS(A295&lt;=8000,"low",A295&lt;15000,"medium",A295&gt;=15000,"high")</f>
        <v>low</v>
      </c>
      <c r="G295" s="2">
        <v>1</v>
      </c>
      <c r="H295" t="str" cm="1">
        <f t="array" ref="H295">_xlfn.IFS(G295&lt;=15,"Junior",G295&lt;=30,"Mid level",G295&gt;30,"Lead")</f>
        <v>Junior</v>
      </c>
    </row>
    <row r="296" spans="1:8" x14ac:dyDescent="0.3">
      <c r="A296" s="8">
        <v>2693</v>
      </c>
      <c r="B296" t="str" cm="1">
        <f t="array" ref="B296">_xlfn.IFS(A296&lt;=8000,"low",A296&lt;15000,"medium",A296&gt;=15000,"high")</f>
        <v>low</v>
      </c>
      <c r="G296" s="1">
        <v>1</v>
      </c>
      <c r="H296" t="str" cm="1">
        <f t="array" ref="H296">_xlfn.IFS(G296&lt;=15,"Junior",G296&lt;=30,"Mid level",G296&gt;30,"Lead")</f>
        <v>Junior</v>
      </c>
    </row>
    <row r="297" spans="1:8" x14ac:dyDescent="0.3">
      <c r="A297" s="7">
        <v>2694</v>
      </c>
      <c r="B297" t="str" cm="1">
        <f t="array" ref="B297">_xlfn.IFS(A297&lt;=8000,"low",A297&lt;15000,"medium",A297&gt;=15000,"high")</f>
        <v>low</v>
      </c>
      <c r="G297" s="2">
        <v>2</v>
      </c>
      <c r="H297" t="str" cm="1">
        <f t="array" ref="H297">_xlfn.IFS(G297&lt;=15,"Junior",G297&lt;=30,"Mid level",G297&gt;30,"Lead")</f>
        <v>Junior</v>
      </c>
    </row>
    <row r="298" spans="1:8" x14ac:dyDescent="0.3">
      <c r="A298" s="8">
        <v>2695</v>
      </c>
      <c r="B298" t="str" cm="1">
        <f t="array" ref="B298">_xlfn.IFS(A298&lt;=8000,"low",A298&lt;15000,"medium",A298&gt;=15000,"high")</f>
        <v>low</v>
      </c>
      <c r="G298" s="1">
        <v>3</v>
      </c>
      <c r="H298" t="str" cm="1">
        <f t="array" ref="H298">_xlfn.IFS(G298&lt;=15,"Junior",G298&lt;=30,"Mid level",G298&gt;30,"Lead")</f>
        <v>Junior</v>
      </c>
    </row>
    <row r="299" spans="1:8" x14ac:dyDescent="0.3">
      <c r="A299" s="7">
        <v>2696</v>
      </c>
      <c r="B299" t="str" cm="1">
        <f t="array" ref="B299">_xlfn.IFS(A299&lt;=8000,"low",A299&lt;15000,"medium",A299&gt;=15000,"high")</f>
        <v>low</v>
      </c>
      <c r="G299" s="2">
        <v>10</v>
      </c>
      <c r="H299" t="str" cm="1">
        <f t="array" ref="H299">_xlfn.IFS(G299&lt;=15,"Junior",G299&lt;=30,"Mid level",G299&gt;30,"Lead")</f>
        <v>Junior</v>
      </c>
    </row>
    <row r="300" spans="1:8" x14ac:dyDescent="0.3">
      <c r="A300" s="8">
        <v>2700</v>
      </c>
      <c r="B300" t="str" cm="1">
        <f t="array" ref="B300">_xlfn.IFS(A300&lt;=8000,"low",A300&lt;15000,"medium",A300&gt;=15000,"high")</f>
        <v>low</v>
      </c>
      <c r="G300" s="1">
        <v>5</v>
      </c>
      <c r="H300" t="str" cm="1">
        <f t="array" ref="H300">_xlfn.IFS(G300&lt;=15,"Junior",G300&lt;=30,"Mid level",G300&gt;30,"Lead")</f>
        <v>Junior</v>
      </c>
    </row>
    <row r="301" spans="1:8" x14ac:dyDescent="0.3">
      <c r="A301" s="7">
        <v>2703</v>
      </c>
      <c r="B301" t="str" cm="1">
        <f t="array" ref="B301">_xlfn.IFS(A301&lt;=8000,"low",A301&lt;15000,"medium",A301&gt;=15000,"high")</f>
        <v>low</v>
      </c>
      <c r="G301" s="2">
        <v>3</v>
      </c>
      <c r="H301" t="str" cm="1">
        <f t="array" ref="H301">_xlfn.IFS(G301&lt;=15,"Junior",G301&lt;=30,"Mid level",G301&gt;30,"Lead")</f>
        <v>Junior</v>
      </c>
    </row>
    <row r="302" spans="1:8" x14ac:dyDescent="0.3">
      <c r="A302" s="8">
        <v>2703</v>
      </c>
      <c r="B302" t="str" cm="1">
        <f t="array" ref="B302">_xlfn.IFS(A302&lt;=8000,"low",A302&lt;15000,"medium",A302&gt;=15000,"high")</f>
        <v>low</v>
      </c>
      <c r="G302" s="1">
        <v>5</v>
      </c>
      <c r="H302" t="str" cm="1">
        <f t="array" ref="H302">_xlfn.IFS(G302&lt;=15,"Junior",G302&lt;=30,"Mid level",G302&gt;30,"Lead")</f>
        <v>Junior</v>
      </c>
    </row>
    <row r="303" spans="1:8" x14ac:dyDescent="0.3">
      <c r="A303" s="7">
        <v>2705</v>
      </c>
      <c r="B303" t="str" cm="1">
        <f t="array" ref="B303">_xlfn.IFS(A303&lt;=8000,"low",A303&lt;15000,"medium",A303&gt;=15000,"high")</f>
        <v>low</v>
      </c>
      <c r="G303" s="2">
        <v>3</v>
      </c>
      <c r="H303" t="str" cm="1">
        <f t="array" ref="H303">_xlfn.IFS(G303&lt;=15,"Junior",G303&lt;=30,"Mid level",G303&gt;30,"Lead")</f>
        <v>Junior</v>
      </c>
    </row>
    <row r="304" spans="1:8" x14ac:dyDescent="0.3">
      <c r="A304" s="8">
        <v>2706</v>
      </c>
      <c r="B304" t="str" cm="1">
        <f t="array" ref="B304">_xlfn.IFS(A304&lt;=8000,"low",A304&lt;15000,"medium",A304&gt;=15000,"high")</f>
        <v>low</v>
      </c>
      <c r="G304" s="1">
        <v>9</v>
      </c>
      <c r="H304" t="str" cm="1">
        <f t="array" ref="H304">_xlfn.IFS(G304&lt;=15,"Junior",G304&lt;=30,"Mid level",G304&gt;30,"Lead")</f>
        <v>Junior</v>
      </c>
    </row>
    <row r="305" spans="1:8" x14ac:dyDescent="0.3">
      <c r="A305" s="7">
        <v>2707</v>
      </c>
      <c r="B305" t="str" cm="1">
        <f t="array" ref="B305">_xlfn.IFS(A305&lt;=8000,"low",A305&lt;15000,"medium",A305&gt;=15000,"high")</f>
        <v>low</v>
      </c>
      <c r="G305" s="2">
        <v>5</v>
      </c>
      <c r="H305" t="str" cm="1">
        <f t="array" ref="H305">_xlfn.IFS(G305&lt;=15,"Junior",G305&lt;=30,"Mid level",G305&gt;30,"Lead")</f>
        <v>Junior</v>
      </c>
    </row>
    <row r="306" spans="1:8" x14ac:dyDescent="0.3">
      <c r="A306" s="8">
        <v>2713</v>
      </c>
      <c r="B306" t="str" cm="1">
        <f t="array" ref="B306">_xlfn.IFS(A306&lt;=8000,"low",A306&lt;15000,"medium",A306&gt;=15000,"high")</f>
        <v>low</v>
      </c>
      <c r="G306" s="1">
        <v>1</v>
      </c>
      <c r="H306" t="str" cm="1">
        <f t="array" ref="H306">_xlfn.IFS(G306&lt;=15,"Junior",G306&lt;=30,"Mid level",G306&gt;30,"Lead")</f>
        <v>Junior</v>
      </c>
    </row>
    <row r="307" spans="1:8" x14ac:dyDescent="0.3">
      <c r="A307" s="7">
        <v>2716</v>
      </c>
      <c r="B307" t="str" cm="1">
        <f t="array" ref="B307">_xlfn.IFS(A307&lt;=8000,"low",A307&lt;15000,"medium",A307&gt;=15000,"high")</f>
        <v>low</v>
      </c>
      <c r="G307" s="2">
        <v>7</v>
      </c>
      <c r="H307" t="str" cm="1">
        <f t="array" ref="H307">_xlfn.IFS(G307&lt;=15,"Junior",G307&lt;=30,"Mid level",G307&gt;30,"Lead")</f>
        <v>Junior</v>
      </c>
    </row>
    <row r="308" spans="1:8" x14ac:dyDescent="0.3">
      <c r="A308" s="8">
        <v>2718</v>
      </c>
      <c r="B308" t="str" cm="1">
        <f t="array" ref="B308">_xlfn.IFS(A308&lt;=8000,"low",A308&lt;15000,"medium",A308&gt;=15000,"high")</f>
        <v>low</v>
      </c>
      <c r="G308" s="1">
        <v>5</v>
      </c>
      <c r="H308" t="str" cm="1">
        <f t="array" ref="H308">_xlfn.IFS(G308&lt;=15,"Junior",G308&lt;=30,"Mid level",G308&gt;30,"Lead")</f>
        <v>Junior</v>
      </c>
    </row>
    <row r="309" spans="1:8" x14ac:dyDescent="0.3">
      <c r="A309" s="7">
        <v>2720</v>
      </c>
      <c r="B309" t="str" cm="1">
        <f t="array" ref="B309">_xlfn.IFS(A309&lt;=8000,"low",A309&lt;15000,"medium",A309&gt;=15000,"high")</f>
        <v>low</v>
      </c>
      <c r="G309" s="2">
        <v>10</v>
      </c>
      <c r="H309" t="str" cm="1">
        <f t="array" ref="H309">_xlfn.IFS(G309&lt;=15,"Junior",G309&lt;=30,"Mid level",G309&gt;30,"Lead")</f>
        <v>Junior</v>
      </c>
    </row>
    <row r="310" spans="1:8" x14ac:dyDescent="0.3">
      <c r="A310" s="8">
        <v>2720</v>
      </c>
      <c r="B310" t="str" cm="1">
        <f t="array" ref="B310">_xlfn.IFS(A310&lt;=8000,"low",A310&lt;15000,"medium",A310&gt;=15000,"high")</f>
        <v>low</v>
      </c>
      <c r="G310" s="1">
        <v>1</v>
      </c>
      <c r="H310" t="str" cm="1">
        <f t="array" ref="H310">_xlfn.IFS(G310&lt;=15,"Junior",G310&lt;=30,"Mid level",G310&gt;30,"Lead")</f>
        <v>Junior</v>
      </c>
    </row>
    <row r="311" spans="1:8" x14ac:dyDescent="0.3">
      <c r="A311" s="7">
        <v>2723</v>
      </c>
      <c r="B311" t="str" cm="1">
        <f t="array" ref="B311">_xlfn.IFS(A311&lt;=8000,"low",A311&lt;15000,"medium",A311&gt;=15000,"high")</f>
        <v>low</v>
      </c>
      <c r="G311" s="2">
        <v>6</v>
      </c>
      <c r="H311" t="str" cm="1">
        <f t="array" ref="H311">_xlfn.IFS(G311&lt;=15,"Junior",G311&lt;=30,"Mid level",G311&gt;30,"Lead")</f>
        <v>Junior</v>
      </c>
    </row>
    <row r="312" spans="1:8" x14ac:dyDescent="0.3">
      <c r="A312" s="8">
        <v>2725</v>
      </c>
      <c r="B312" t="str" cm="1">
        <f t="array" ref="B312">_xlfn.IFS(A312&lt;=8000,"low",A312&lt;15000,"medium",A312&gt;=15000,"high")</f>
        <v>low</v>
      </c>
      <c r="G312" s="1">
        <v>2</v>
      </c>
      <c r="H312" t="str" cm="1">
        <f t="array" ref="H312">_xlfn.IFS(G312&lt;=15,"Junior",G312&lt;=30,"Mid level",G312&gt;30,"Lead")</f>
        <v>Junior</v>
      </c>
    </row>
    <row r="313" spans="1:8" x14ac:dyDescent="0.3">
      <c r="A313" s="7">
        <v>2728</v>
      </c>
      <c r="B313" t="str" cm="1">
        <f t="array" ref="B313">_xlfn.IFS(A313&lt;=8000,"low",A313&lt;15000,"medium",A313&gt;=15000,"high")</f>
        <v>low</v>
      </c>
      <c r="G313" s="2">
        <v>7</v>
      </c>
      <c r="H313" t="str" cm="1">
        <f t="array" ref="H313">_xlfn.IFS(G313&lt;=15,"Junior",G313&lt;=30,"Mid level",G313&gt;30,"Lead")</f>
        <v>Junior</v>
      </c>
    </row>
    <row r="314" spans="1:8" x14ac:dyDescent="0.3">
      <c r="A314" s="8">
        <v>2741</v>
      </c>
      <c r="B314" t="str" cm="1">
        <f t="array" ref="B314">_xlfn.IFS(A314&lt;=8000,"low",A314&lt;15000,"medium",A314&gt;=15000,"high")</f>
        <v>low</v>
      </c>
      <c r="G314" s="1">
        <v>7</v>
      </c>
      <c r="H314" t="str" cm="1">
        <f t="array" ref="H314">_xlfn.IFS(G314&lt;=15,"Junior",G314&lt;=30,"Mid level",G314&gt;30,"Lead")</f>
        <v>Junior</v>
      </c>
    </row>
    <row r="315" spans="1:8" x14ac:dyDescent="0.3">
      <c r="A315" s="7">
        <v>2741</v>
      </c>
      <c r="B315" t="str" cm="1">
        <f t="array" ref="B315">_xlfn.IFS(A315&lt;=8000,"low",A315&lt;15000,"medium",A315&gt;=15000,"high")</f>
        <v>low</v>
      </c>
      <c r="G315" s="2">
        <v>7</v>
      </c>
      <c r="H315" t="str" cm="1">
        <f t="array" ref="H315">_xlfn.IFS(G315&lt;=15,"Junior",G315&lt;=30,"Mid level",G315&gt;30,"Lead")</f>
        <v>Junior</v>
      </c>
    </row>
    <row r="316" spans="1:8" x14ac:dyDescent="0.3">
      <c r="A316" s="8">
        <v>2741</v>
      </c>
      <c r="B316" t="str" cm="1">
        <f t="array" ref="B316">_xlfn.IFS(A316&lt;=8000,"low",A316&lt;15000,"medium",A316&gt;=15000,"high")</f>
        <v>low</v>
      </c>
      <c r="G316" s="1">
        <v>2</v>
      </c>
      <c r="H316" t="str" cm="1">
        <f t="array" ref="H316">_xlfn.IFS(G316&lt;=15,"Junior",G316&lt;=30,"Mid level",G316&gt;30,"Lead")</f>
        <v>Junior</v>
      </c>
    </row>
    <row r="317" spans="1:8" x14ac:dyDescent="0.3">
      <c r="A317" s="7">
        <v>2742</v>
      </c>
      <c r="B317" t="str" cm="1">
        <f t="array" ref="B317">_xlfn.IFS(A317&lt;=8000,"low",A317&lt;15000,"medium",A317&gt;=15000,"high")</f>
        <v>low</v>
      </c>
      <c r="G317" s="2">
        <v>17</v>
      </c>
      <c r="H317" t="str" cm="1">
        <f t="array" ref="H317">_xlfn.IFS(G317&lt;=15,"Junior",G317&lt;=30,"Mid level",G317&gt;30,"Lead")</f>
        <v>Mid level</v>
      </c>
    </row>
    <row r="318" spans="1:8" x14ac:dyDescent="0.3">
      <c r="A318" s="8">
        <v>2743</v>
      </c>
      <c r="B318" t="str" cm="1">
        <f t="array" ref="B318">_xlfn.IFS(A318&lt;=8000,"low",A318&lt;15000,"medium",A318&gt;=15000,"high")</f>
        <v>low</v>
      </c>
      <c r="G318" s="1">
        <v>2</v>
      </c>
      <c r="H318" t="str" cm="1">
        <f t="array" ref="H318">_xlfn.IFS(G318&lt;=15,"Junior",G318&lt;=30,"Mid level",G318&gt;30,"Lead")</f>
        <v>Junior</v>
      </c>
    </row>
    <row r="319" spans="1:8" x14ac:dyDescent="0.3">
      <c r="A319" s="7">
        <v>2743</v>
      </c>
      <c r="B319" t="str" cm="1">
        <f t="array" ref="B319">_xlfn.IFS(A319&lt;=8000,"low",A319&lt;15000,"medium",A319&gt;=15000,"high")</f>
        <v>low</v>
      </c>
      <c r="G319" s="2">
        <v>8</v>
      </c>
      <c r="H319" t="str" cm="1">
        <f t="array" ref="H319">_xlfn.IFS(G319&lt;=15,"Junior",G319&lt;=30,"Mid level",G319&gt;30,"Lead")</f>
        <v>Junior</v>
      </c>
    </row>
    <row r="320" spans="1:8" x14ac:dyDescent="0.3">
      <c r="A320" s="8">
        <v>2756</v>
      </c>
      <c r="B320" t="str" cm="1">
        <f t="array" ref="B320">_xlfn.IFS(A320&lt;=8000,"low",A320&lt;15000,"medium",A320&gt;=15000,"high")</f>
        <v>low</v>
      </c>
      <c r="G320" s="1">
        <v>2</v>
      </c>
      <c r="H320" t="str" cm="1">
        <f t="array" ref="H320">_xlfn.IFS(G320&lt;=15,"Junior",G320&lt;=30,"Mid level",G320&gt;30,"Lead")</f>
        <v>Junior</v>
      </c>
    </row>
    <row r="321" spans="1:8" x14ac:dyDescent="0.3">
      <c r="A321" s="7">
        <v>2759</v>
      </c>
      <c r="B321" t="str" cm="1">
        <f t="array" ref="B321">_xlfn.IFS(A321&lt;=8000,"low",A321&lt;15000,"medium",A321&gt;=15000,"high")</f>
        <v>low</v>
      </c>
      <c r="G321" s="2">
        <v>2</v>
      </c>
      <c r="H321" t="str" cm="1">
        <f t="array" ref="H321">_xlfn.IFS(G321&lt;=15,"Junior",G321&lt;=30,"Mid level",G321&gt;30,"Lead")</f>
        <v>Junior</v>
      </c>
    </row>
    <row r="322" spans="1:8" x14ac:dyDescent="0.3">
      <c r="A322" s="8">
        <v>2760</v>
      </c>
      <c r="B322" t="str" cm="1">
        <f t="array" ref="B322">_xlfn.IFS(A322&lt;=8000,"low",A322&lt;15000,"medium",A322&gt;=15000,"high")</f>
        <v>low</v>
      </c>
      <c r="G322" s="1">
        <v>5</v>
      </c>
      <c r="H322" t="str" cm="1">
        <f t="array" ref="H322">_xlfn.IFS(G322&lt;=15,"Junior",G322&lt;=30,"Mid level",G322&gt;30,"Lead")</f>
        <v>Junior</v>
      </c>
    </row>
    <row r="323" spans="1:8" x14ac:dyDescent="0.3">
      <c r="A323" s="7">
        <v>2766</v>
      </c>
      <c r="B323" t="str" cm="1">
        <f t="array" ref="B323">_xlfn.IFS(A323&lt;=8000,"low",A323&lt;15000,"medium",A323&gt;=15000,"high")</f>
        <v>low</v>
      </c>
      <c r="G323" s="2">
        <v>7</v>
      </c>
      <c r="H323" t="str" cm="1">
        <f t="array" ref="H323">_xlfn.IFS(G323&lt;=15,"Junior",G323&lt;=30,"Mid level",G323&gt;30,"Lead")</f>
        <v>Junior</v>
      </c>
    </row>
    <row r="324" spans="1:8" x14ac:dyDescent="0.3">
      <c r="A324" s="8">
        <v>2768</v>
      </c>
      <c r="B324" t="str" cm="1">
        <f t="array" ref="B324">_xlfn.IFS(A324&lt;=8000,"low",A324&lt;15000,"medium",A324&gt;=15000,"high")</f>
        <v>low</v>
      </c>
      <c r="G324" s="1">
        <v>2</v>
      </c>
      <c r="H324" t="str" cm="1">
        <f t="array" ref="H324">_xlfn.IFS(G324&lt;=15,"Junior",G324&lt;=30,"Mid level",G324&gt;30,"Lead")</f>
        <v>Junior</v>
      </c>
    </row>
    <row r="325" spans="1:8" x14ac:dyDescent="0.3">
      <c r="A325" s="7">
        <v>2773</v>
      </c>
      <c r="B325" t="str" cm="1">
        <f t="array" ref="B325">_xlfn.IFS(A325&lt;=8000,"low",A325&lt;15000,"medium",A325&gt;=15000,"high")</f>
        <v>low</v>
      </c>
      <c r="G325" s="2">
        <v>5</v>
      </c>
      <c r="H325" t="str" cm="1">
        <f t="array" ref="H325">_xlfn.IFS(G325&lt;=15,"Junior",G325&lt;=30,"Mid level",G325&gt;30,"Lead")</f>
        <v>Junior</v>
      </c>
    </row>
    <row r="326" spans="1:8" x14ac:dyDescent="0.3">
      <c r="A326" s="8">
        <v>2774</v>
      </c>
      <c r="B326" t="str" cm="1">
        <f t="array" ref="B326">_xlfn.IFS(A326&lt;=8000,"low",A326&lt;15000,"medium",A326&gt;=15000,"high")</f>
        <v>low</v>
      </c>
      <c r="G326" s="1">
        <v>7</v>
      </c>
      <c r="H326" t="str" cm="1">
        <f t="array" ref="H326">_xlfn.IFS(G326&lt;=15,"Junior",G326&lt;=30,"Mid level",G326&gt;30,"Lead")</f>
        <v>Junior</v>
      </c>
    </row>
    <row r="327" spans="1:8" x14ac:dyDescent="0.3">
      <c r="A327" s="7">
        <v>2778</v>
      </c>
      <c r="B327" t="str" cm="1">
        <f t="array" ref="B327">_xlfn.IFS(A327&lt;=8000,"low",A327&lt;15000,"medium",A327&gt;=15000,"high")</f>
        <v>low</v>
      </c>
      <c r="G327" s="2">
        <v>14</v>
      </c>
      <c r="H327" t="str" cm="1">
        <f t="array" ref="H327">_xlfn.IFS(G327&lt;=15,"Junior",G327&lt;=30,"Mid level",G327&gt;30,"Lead")</f>
        <v>Junior</v>
      </c>
    </row>
    <row r="328" spans="1:8" x14ac:dyDescent="0.3">
      <c r="A328" s="8">
        <v>2781</v>
      </c>
      <c r="B328" t="str" cm="1">
        <f t="array" ref="B328">_xlfn.IFS(A328&lt;=8000,"low",A328&lt;15000,"medium",A328&gt;=15000,"high")</f>
        <v>low</v>
      </c>
      <c r="G328" s="1">
        <v>5</v>
      </c>
      <c r="H328" t="str" cm="1">
        <f t="array" ref="H328">_xlfn.IFS(G328&lt;=15,"Junior",G328&lt;=30,"Mid level",G328&gt;30,"Lead")</f>
        <v>Junior</v>
      </c>
    </row>
    <row r="329" spans="1:8" x14ac:dyDescent="0.3">
      <c r="A329" s="7">
        <v>2782</v>
      </c>
      <c r="B329" t="str" cm="1">
        <f t="array" ref="B329">_xlfn.IFS(A329&lt;=8000,"low",A329&lt;15000,"medium",A329&gt;=15000,"high")</f>
        <v>low</v>
      </c>
      <c r="G329" s="2">
        <v>5</v>
      </c>
      <c r="H329" t="str" cm="1">
        <f t="array" ref="H329">_xlfn.IFS(G329&lt;=15,"Junior",G329&lt;=30,"Mid level",G329&gt;30,"Lead")</f>
        <v>Junior</v>
      </c>
    </row>
    <row r="330" spans="1:8" x14ac:dyDescent="0.3">
      <c r="A330" s="8">
        <v>2782</v>
      </c>
      <c r="B330" t="str" cm="1">
        <f t="array" ref="B330">_xlfn.IFS(A330&lt;=8000,"low",A330&lt;15000,"medium",A330&gt;=15000,"high")</f>
        <v>low</v>
      </c>
      <c r="G330" s="1">
        <v>2</v>
      </c>
      <c r="H330" t="str" cm="1">
        <f t="array" ref="H330">_xlfn.IFS(G330&lt;=15,"Junior",G330&lt;=30,"Mid level",G330&gt;30,"Lead")</f>
        <v>Junior</v>
      </c>
    </row>
    <row r="331" spans="1:8" x14ac:dyDescent="0.3">
      <c r="A331" s="7">
        <v>2783</v>
      </c>
      <c r="B331" t="str" cm="1">
        <f t="array" ref="B331">_xlfn.IFS(A331&lt;=8000,"low",A331&lt;15000,"medium",A331&gt;=15000,"high")</f>
        <v>low</v>
      </c>
      <c r="G331" s="2">
        <v>1</v>
      </c>
      <c r="H331" t="str" cm="1">
        <f t="array" ref="H331">_xlfn.IFS(G331&lt;=15,"Junior",G331&lt;=30,"Mid level",G331&gt;30,"Lead")</f>
        <v>Junior</v>
      </c>
    </row>
    <row r="332" spans="1:8" x14ac:dyDescent="0.3">
      <c r="A332" s="8">
        <v>2785</v>
      </c>
      <c r="B332" t="str" cm="1">
        <f t="array" ref="B332">_xlfn.IFS(A332&lt;=8000,"low",A332&lt;15000,"medium",A332&gt;=15000,"high")</f>
        <v>low</v>
      </c>
      <c r="G332" s="1">
        <v>2</v>
      </c>
      <c r="H332" t="str" cm="1">
        <f t="array" ref="H332">_xlfn.IFS(G332&lt;=15,"Junior",G332&lt;=30,"Mid level",G332&gt;30,"Lead")</f>
        <v>Junior</v>
      </c>
    </row>
    <row r="333" spans="1:8" x14ac:dyDescent="0.3">
      <c r="A333" s="7">
        <v>2789</v>
      </c>
      <c r="B333" t="str" cm="1">
        <f t="array" ref="B333">_xlfn.IFS(A333&lt;=8000,"low",A333&lt;15000,"medium",A333&gt;=15000,"high")</f>
        <v>low</v>
      </c>
      <c r="G333" s="2">
        <v>2</v>
      </c>
      <c r="H333" t="str" cm="1">
        <f t="array" ref="H333">_xlfn.IFS(G333&lt;=15,"Junior",G333&lt;=30,"Mid level",G333&gt;30,"Lead")</f>
        <v>Junior</v>
      </c>
    </row>
    <row r="334" spans="1:8" x14ac:dyDescent="0.3">
      <c r="A334" s="8">
        <v>2791</v>
      </c>
      <c r="B334" t="str" cm="1">
        <f t="array" ref="B334">_xlfn.IFS(A334&lt;=8000,"low",A334&lt;15000,"medium",A334&gt;=15000,"high")</f>
        <v>low</v>
      </c>
      <c r="G334" s="1">
        <v>9</v>
      </c>
      <c r="H334" t="str" cm="1">
        <f t="array" ref="H334">_xlfn.IFS(G334&lt;=15,"Junior",G334&lt;=30,"Mid level",G334&gt;30,"Lead")</f>
        <v>Junior</v>
      </c>
    </row>
    <row r="335" spans="1:8" x14ac:dyDescent="0.3">
      <c r="A335" s="7">
        <v>2793</v>
      </c>
      <c r="B335" t="str" cm="1">
        <f t="array" ref="B335">_xlfn.IFS(A335&lt;=8000,"low",A335&lt;15000,"medium",A335&gt;=15000,"high")</f>
        <v>low</v>
      </c>
      <c r="G335" s="2">
        <v>5</v>
      </c>
      <c r="H335" t="str" cm="1">
        <f t="array" ref="H335">_xlfn.IFS(G335&lt;=15,"Junior",G335&lt;=30,"Mid level",G335&gt;30,"Lead")</f>
        <v>Junior</v>
      </c>
    </row>
    <row r="336" spans="1:8" x14ac:dyDescent="0.3">
      <c r="A336" s="8">
        <v>2794</v>
      </c>
      <c r="B336" t="str" cm="1">
        <f t="array" ref="B336">_xlfn.IFS(A336&lt;=8000,"low",A336&lt;15000,"medium",A336&gt;=15000,"high")</f>
        <v>low</v>
      </c>
      <c r="G336" s="1">
        <v>1</v>
      </c>
      <c r="H336" t="str" cm="1">
        <f t="array" ref="H336">_xlfn.IFS(G336&lt;=15,"Junior",G336&lt;=30,"Mid level",G336&gt;30,"Lead")</f>
        <v>Junior</v>
      </c>
    </row>
    <row r="337" spans="1:8" x14ac:dyDescent="0.3">
      <c r="A337" s="7">
        <v>2795</v>
      </c>
      <c r="B337" t="str" cm="1">
        <f t="array" ref="B337">_xlfn.IFS(A337&lt;=8000,"low",A337&lt;15000,"medium",A337&gt;=15000,"high")</f>
        <v>low</v>
      </c>
      <c r="G337" s="2">
        <v>3</v>
      </c>
      <c r="H337" t="str" cm="1">
        <f t="array" ref="H337">_xlfn.IFS(G337&lt;=15,"Junior",G337&lt;=30,"Mid level",G337&gt;30,"Lead")</f>
        <v>Junior</v>
      </c>
    </row>
    <row r="338" spans="1:8" x14ac:dyDescent="0.3">
      <c r="A338" s="8">
        <v>2799</v>
      </c>
      <c r="B338" t="str" cm="1">
        <f t="array" ref="B338">_xlfn.IFS(A338&lt;=8000,"low",A338&lt;15000,"medium",A338&gt;=15000,"high")</f>
        <v>low</v>
      </c>
      <c r="G338" s="1">
        <v>3</v>
      </c>
      <c r="H338" t="str" cm="1">
        <f t="array" ref="H338">_xlfn.IFS(G338&lt;=15,"Junior",G338&lt;=30,"Mid level",G338&gt;30,"Lead")</f>
        <v>Junior</v>
      </c>
    </row>
    <row r="339" spans="1:8" x14ac:dyDescent="0.3">
      <c r="A339" s="7">
        <v>2800</v>
      </c>
      <c r="B339" t="str" cm="1">
        <f t="array" ref="B339">_xlfn.IFS(A339&lt;=8000,"low",A339&lt;15000,"medium",A339&gt;=15000,"high")</f>
        <v>low</v>
      </c>
      <c r="G339" s="2">
        <v>1</v>
      </c>
      <c r="H339" t="str" cm="1">
        <f t="array" ref="H339">_xlfn.IFS(G339&lt;=15,"Junior",G339&lt;=30,"Mid level",G339&gt;30,"Lead")</f>
        <v>Junior</v>
      </c>
    </row>
    <row r="340" spans="1:8" x14ac:dyDescent="0.3">
      <c r="A340" s="8">
        <v>2804</v>
      </c>
      <c r="B340" t="str" cm="1">
        <f t="array" ref="B340">_xlfn.IFS(A340&lt;=8000,"low",A340&lt;15000,"medium",A340&gt;=15000,"high")</f>
        <v>low</v>
      </c>
      <c r="G340" s="1">
        <v>2</v>
      </c>
      <c r="H340" t="str" cm="1">
        <f t="array" ref="H340">_xlfn.IFS(G340&lt;=15,"Junior",G340&lt;=30,"Mid level",G340&gt;30,"Lead")</f>
        <v>Junior</v>
      </c>
    </row>
    <row r="341" spans="1:8" x14ac:dyDescent="0.3">
      <c r="A341" s="7">
        <v>2809</v>
      </c>
      <c r="B341" t="str" cm="1">
        <f t="array" ref="B341">_xlfn.IFS(A341&lt;=8000,"low",A341&lt;15000,"medium",A341&gt;=15000,"high")</f>
        <v>low</v>
      </c>
      <c r="G341" s="2">
        <v>5</v>
      </c>
      <c r="H341" t="str" cm="1">
        <f t="array" ref="H341">_xlfn.IFS(G341&lt;=15,"Junior",G341&lt;=30,"Mid level",G341&gt;30,"Lead")</f>
        <v>Junior</v>
      </c>
    </row>
    <row r="342" spans="1:8" x14ac:dyDescent="0.3">
      <c r="A342" s="8">
        <v>2810</v>
      </c>
      <c r="B342" t="str" cm="1">
        <f t="array" ref="B342">_xlfn.IFS(A342&lt;=8000,"low",A342&lt;15000,"medium",A342&gt;=15000,"high")</f>
        <v>low</v>
      </c>
      <c r="G342" s="1">
        <v>2</v>
      </c>
      <c r="H342" t="str" cm="1">
        <f t="array" ref="H342">_xlfn.IFS(G342&lt;=15,"Junior",G342&lt;=30,"Mid level",G342&gt;30,"Lead")</f>
        <v>Junior</v>
      </c>
    </row>
    <row r="343" spans="1:8" x14ac:dyDescent="0.3">
      <c r="A343" s="7">
        <v>2811</v>
      </c>
      <c r="B343" t="str" cm="1">
        <f t="array" ref="B343">_xlfn.IFS(A343&lt;=8000,"low",A343&lt;15000,"medium",A343&gt;=15000,"high")</f>
        <v>low</v>
      </c>
      <c r="G343" s="2">
        <v>4</v>
      </c>
      <c r="H343" t="str" cm="1">
        <f t="array" ref="H343">_xlfn.IFS(G343&lt;=15,"Junior",G343&lt;=30,"Mid level",G343&gt;30,"Lead")</f>
        <v>Junior</v>
      </c>
    </row>
    <row r="344" spans="1:8" x14ac:dyDescent="0.3">
      <c r="A344" s="8">
        <v>2814</v>
      </c>
      <c r="B344" t="str" cm="1">
        <f t="array" ref="B344">_xlfn.IFS(A344&lt;=8000,"low",A344&lt;15000,"medium",A344&gt;=15000,"high")</f>
        <v>low</v>
      </c>
      <c r="G344" s="1">
        <v>3</v>
      </c>
      <c r="H344" t="str" cm="1">
        <f t="array" ref="H344">_xlfn.IFS(G344&lt;=15,"Junior",G344&lt;=30,"Mid level",G344&gt;30,"Lead")</f>
        <v>Junior</v>
      </c>
    </row>
    <row r="345" spans="1:8" x14ac:dyDescent="0.3">
      <c r="A345" s="7">
        <v>2818</v>
      </c>
      <c r="B345" t="str" cm="1">
        <f t="array" ref="B345">_xlfn.IFS(A345&lt;=8000,"low",A345&lt;15000,"medium",A345&gt;=15000,"high")</f>
        <v>low</v>
      </c>
      <c r="G345" s="2">
        <v>3</v>
      </c>
      <c r="H345" t="str" cm="1">
        <f t="array" ref="H345">_xlfn.IFS(G345&lt;=15,"Junior",G345&lt;=30,"Mid level",G345&gt;30,"Lead")</f>
        <v>Junior</v>
      </c>
    </row>
    <row r="346" spans="1:8" x14ac:dyDescent="0.3">
      <c r="A346" s="8">
        <v>2819</v>
      </c>
      <c r="B346" t="str" cm="1">
        <f t="array" ref="B346">_xlfn.IFS(A346&lt;=8000,"low",A346&lt;15000,"medium",A346&gt;=15000,"high")</f>
        <v>low</v>
      </c>
      <c r="G346" s="1">
        <v>2</v>
      </c>
      <c r="H346" t="str" cm="1">
        <f t="array" ref="H346">_xlfn.IFS(G346&lt;=15,"Junior",G346&lt;=30,"Mid level",G346&gt;30,"Lead")</f>
        <v>Junior</v>
      </c>
    </row>
    <row r="347" spans="1:8" x14ac:dyDescent="0.3">
      <c r="A347" s="7">
        <v>2821</v>
      </c>
      <c r="B347" t="str" cm="1">
        <f t="array" ref="B347">_xlfn.IFS(A347&lt;=8000,"low",A347&lt;15000,"medium",A347&gt;=15000,"high")</f>
        <v>low</v>
      </c>
      <c r="G347" s="2">
        <v>1</v>
      </c>
      <c r="H347" t="str" cm="1">
        <f t="array" ref="H347">_xlfn.IFS(G347&lt;=15,"Junior",G347&lt;=30,"Mid level",G347&gt;30,"Lead")</f>
        <v>Junior</v>
      </c>
    </row>
    <row r="348" spans="1:8" x14ac:dyDescent="0.3">
      <c r="A348" s="8">
        <v>2827</v>
      </c>
      <c r="B348" t="str" cm="1">
        <f t="array" ref="B348">_xlfn.IFS(A348&lt;=8000,"low",A348&lt;15000,"medium",A348&gt;=15000,"high")</f>
        <v>low</v>
      </c>
      <c r="G348" s="1">
        <v>1</v>
      </c>
      <c r="H348" t="str" cm="1">
        <f t="array" ref="H348">_xlfn.IFS(G348&lt;=15,"Junior",G348&lt;=30,"Mid level",G348&gt;30,"Lead")</f>
        <v>Junior</v>
      </c>
    </row>
    <row r="349" spans="1:8" x14ac:dyDescent="0.3">
      <c r="A349" s="7">
        <v>2835</v>
      </c>
      <c r="B349" t="str" cm="1">
        <f t="array" ref="B349">_xlfn.IFS(A349&lt;=8000,"low",A349&lt;15000,"medium",A349&gt;=15000,"high")</f>
        <v>low</v>
      </c>
      <c r="G349" s="2">
        <v>1</v>
      </c>
      <c r="H349" t="str" cm="1">
        <f t="array" ref="H349">_xlfn.IFS(G349&lt;=15,"Junior",G349&lt;=30,"Mid level",G349&gt;30,"Lead")</f>
        <v>Junior</v>
      </c>
    </row>
    <row r="350" spans="1:8" x14ac:dyDescent="0.3">
      <c r="A350" s="8">
        <v>2836</v>
      </c>
      <c r="B350" t="str" cm="1">
        <f t="array" ref="B350">_xlfn.IFS(A350&lt;=8000,"low",A350&lt;15000,"medium",A350&gt;=15000,"high")</f>
        <v>low</v>
      </c>
      <c r="G350" s="1">
        <v>6</v>
      </c>
      <c r="H350" t="str" cm="1">
        <f t="array" ref="H350">_xlfn.IFS(G350&lt;=15,"Junior",G350&lt;=30,"Mid level",G350&gt;30,"Lead")</f>
        <v>Junior</v>
      </c>
    </row>
    <row r="351" spans="1:8" x14ac:dyDescent="0.3">
      <c r="A351" s="7">
        <v>2837</v>
      </c>
      <c r="B351" t="str" cm="1">
        <f t="array" ref="B351">_xlfn.IFS(A351&lt;=8000,"low",A351&lt;15000,"medium",A351&gt;=15000,"high")</f>
        <v>low</v>
      </c>
      <c r="G351" s="2">
        <v>7</v>
      </c>
      <c r="H351" t="str" cm="1">
        <f t="array" ref="H351">_xlfn.IFS(G351&lt;=15,"Junior",G351&lt;=30,"Mid level",G351&gt;30,"Lead")</f>
        <v>Junior</v>
      </c>
    </row>
    <row r="352" spans="1:8" x14ac:dyDescent="0.3">
      <c r="A352" s="8">
        <v>2838</v>
      </c>
      <c r="B352" t="str" cm="1">
        <f t="array" ref="B352">_xlfn.IFS(A352&lt;=8000,"low",A352&lt;15000,"medium",A352&gt;=15000,"high")</f>
        <v>low</v>
      </c>
      <c r="G352" s="1">
        <v>7</v>
      </c>
      <c r="H352" t="str" cm="1">
        <f t="array" ref="H352">_xlfn.IFS(G352&lt;=15,"Junior",G352&lt;=30,"Mid level",G352&gt;30,"Lead")</f>
        <v>Junior</v>
      </c>
    </row>
    <row r="353" spans="1:8" x14ac:dyDescent="0.3">
      <c r="A353" s="7">
        <v>2844</v>
      </c>
      <c r="B353" t="str" cm="1">
        <f t="array" ref="B353">_xlfn.IFS(A353&lt;=8000,"low",A353&lt;15000,"medium",A353&gt;=15000,"high")</f>
        <v>low</v>
      </c>
      <c r="G353" s="2">
        <v>1</v>
      </c>
      <c r="H353" t="str" cm="1">
        <f t="array" ref="H353">_xlfn.IFS(G353&lt;=15,"Junior",G353&lt;=30,"Mid level",G353&gt;30,"Lead")</f>
        <v>Junior</v>
      </c>
    </row>
    <row r="354" spans="1:8" x14ac:dyDescent="0.3">
      <c r="A354" s="8">
        <v>2851</v>
      </c>
      <c r="B354" t="str" cm="1">
        <f t="array" ref="B354">_xlfn.IFS(A354&lt;=8000,"low",A354&lt;15000,"medium",A354&gt;=15000,"high")</f>
        <v>low</v>
      </c>
      <c r="G354" s="1">
        <v>0</v>
      </c>
      <c r="H354" t="str" cm="1">
        <f t="array" ref="H354">_xlfn.IFS(G354&lt;=15,"Junior",G354&lt;=30,"Mid level",G354&gt;30,"Lead")</f>
        <v>Junior</v>
      </c>
    </row>
    <row r="355" spans="1:8" x14ac:dyDescent="0.3">
      <c r="A355" s="7">
        <v>2853</v>
      </c>
      <c r="B355" t="str" cm="1">
        <f t="array" ref="B355">_xlfn.IFS(A355&lt;=8000,"low",A355&lt;15000,"medium",A355&gt;=15000,"high")</f>
        <v>low</v>
      </c>
      <c r="G355" s="2">
        <v>1</v>
      </c>
      <c r="H355" t="str" cm="1">
        <f t="array" ref="H355">_xlfn.IFS(G355&lt;=15,"Junior",G355&lt;=30,"Mid level",G355&gt;30,"Lead")</f>
        <v>Junior</v>
      </c>
    </row>
    <row r="356" spans="1:8" x14ac:dyDescent="0.3">
      <c r="A356" s="8">
        <v>2856</v>
      </c>
      <c r="B356" t="str" cm="1">
        <f t="array" ref="B356">_xlfn.IFS(A356&lt;=8000,"low",A356&lt;15000,"medium",A356&gt;=15000,"high")</f>
        <v>low</v>
      </c>
      <c r="G356" s="1">
        <v>1</v>
      </c>
      <c r="H356" t="str" cm="1">
        <f t="array" ref="H356">_xlfn.IFS(G356&lt;=15,"Junior",G356&lt;=30,"Mid level",G356&gt;30,"Lead")</f>
        <v>Junior</v>
      </c>
    </row>
    <row r="357" spans="1:8" x14ac:dyDescent="0.3">
      <c r="A357" s="7">
        <v>2858</v>
      </c>
      <c r="B357" t="str" cm="1">
        <f t="array" ref="B357">_xlfn.IFS(A357&lt;=8000,"low",A357&lt;15000,"medium",A357&gt;=15000,"high")</f>
        <v>low</v>
      </c>
      <c r="G357" s="2">
        <v>6</v>
      </c>
      <c r="H357" t="str" cm="1">
        <f t="array" ref="H357">_xlfn.IFS(G357&lt;=15,"Junior",G357&lt;=30,"Mid level",G357&gt;30,"Lead")</f>
        <v>Junior</v>
      </c>
    </row>
    <row r="358" spans="1:8" x14ac:dyDescent="0.3">
      <c r="A358" s="8">
        <v>2859</v>
      </c>
      <c r="B358" t="str" cm="1">
        <f t="array" ref="B358">_xlfn.IFS(A358&lt;=8000,"low",A358&lt;15000,"medium",A358&gt;=15000,"high")</f>
        <v>low</v>
      </c>
      <c r="G358" s="1">
        <v>10</v>
      </c>
      <c r="H358" t="str" cm="1">
        <f t="array" ref="H358">_xlfn.IFS(G358&lt;=15,"Junior",G358&lt;=30,"Mid level",G358&gt;30,"Lead")</f>
        <v>Junior</v>
      </c>
    </row>
    <row r="359" spans="1:8" x14ac:dyDescent="0.3">
      <c r="A359" s="7">
        <v>2862</v>
      </c>
      <c r="B359" t="str" cm="1">
        <f t="array" ref="B359">_xlfn.IFS(A359&lt;=8000,"low",A359&lt;15000,"medium",A359&gt;=15000,"high")</f>
        <v>low</v>
      </c>
      <c r="G359" s="2">
        <v>1</v>
      </c>
      <c r="H359" t="str" cm="1">
        <f t="array" ref="H359">_xlfn.IFS(G359&lt;=15,"Junior",G359&lt;=30,"Mid level",G359&gt;30,"Lead")</f>
        <v>Junior</v>
      </c>
    </row>
    <row r="360" spans="1:8" x14ac:dyDescent="0.3">
      <c r="A360" s="8">
        <v>2863</v>
      </c>
      <c r="B360" t="str" cm="1">
        <f t="array" ref="B360">_xlfn.IFS(A360&lt;=8000,"low",A360&lt;15000,"medium",A360&gt;=15000,"high")</f>
        <v>low</v>
      </c>
      <c r="G360" s="1">
        <v>7</v>
      </c>
      <c r="H360" t="str" cm="1">
        <f t="array" ref="H360">_xlfn.IFS(G360&lt;=15,"Junior",G360&lt;=30,"Mid level",G360&gt;30,"Lead")</f>
        <v>Junior</v>
      </c>
    </row>
    <row r="361" spans="1:8" x14ac:dyDescent="0.3">
      <c r="A361" s="7">
        <v>2867</v>
      </c>
      <c r="B361" t="str" cm="1">
        <f t="array" ref="B361">_xlfn.IFS(A361&lt;=8000,"low",A361&lt;15000,"medium",A361&gt;=15000,"high")</f>
        <v>low</v>
      </c>
      <c r="G361" s="2">
        <v>0</v>
      </c>
      <c r="H361" t="str" cm="1">
        <f t="array" ref="H361">_xlfn.IFS(G361&lt;=15,"Junior",G361&lt;=30,"Mid level",G361&gt;30,"Lead")</f>
        <v>Junior</v>
      </c>
    </row>
    <row r="362" spans="1:8" x14ac:dyDescent="0.3">
      <c r="A362" s="8">
        <v>2871</v>
      </c>
      <c r="B362" t="str" cm="1">
        <f t="array" ref="B362">_xlfn.IFS(A362&lt;=8000,"low",A362&lt;15000,"medium",A362&gt;=15000,"high")</f>
        <v>low</v>
      </c>
      <c r="G362" s="1">
        <v>8</v>
      </c>
      <c r="H362" t="str" cm="1">
        <f t="array" ref="H362">_xlfn.IFS(G362&lt;=15,"Junior",G362&lt;=30,"Mid level",G362&gt;30,"Lead")</f>
        <v>Junior</v>
      </c>
    </row>
    <row r="363" spans="1:8" x14ac:dyDescent="0.3">
      <c r="A363" s="7">
        <v>2875</v>
      </c>
      <c r="B363" t="str" cm="1">
        <f t="array" ref="B363">_xlfn.IFS(A363&lt;=8000,"low",A363&lt;15000,"medium",A363&gt;=15000,"high")</f>
        <v>low</v>
      </c>
      <c r="G363" s="2">
        <v>3</v>
      </c>
      <c r="H363" t="str" cm="1">
        <f t="array" ref="H363">_xlfn.IFS(G363&lt;=15,"Junior",G363&lt;=30,"Mid level",G363&gt;30,"Lead")</f>
        <v>Junior</v>
      </c>
    </row>
    <row r="364" spans="1:8" x14ac:dyDescent="0.3">
      <c r="A364" s="8">
        <v>2886</v>
      </c>
      <c r="B364" t="str" cm="1">
        <f t="array" ref="B364">_xlfn.IFS(A364&lt;=8000,"low",A364&lt;15000,"medium",A364&gt;=15000,"high")</f>
        <v>low</v>
      </c>
      <c r="G364" s="1">
        <v>6</v>
      </c>
      <c r="H364" t="str" cm="1">
        <f t="array" ref="H364">_xlfn.IFS(G364&lt;=15,"Junior",G364&lt;=30,"Mid level",G364&gt;30,"Lead")</f>
        <v>Junior</v>
      </c>
    </row>
    <row r="365" spans="1:8" x14ac:dyDescent="0.3">
      <c r="A365" s="7">
        <v>2886</v>
      </c>
      <c r="B365" t="str" cm="1">
        <f t="array" ref="B365">_xlfn.IFS(A365&lt;=8000,"low",A365&lt;15000,"medium",A365&gt;=15000,"high")</f>
        <v>low</v>
      </c>
      <c r="G365" s="2">
        <v>2</v>
      </c>
      <c r="H365" t="str" cm="1">
        <f t="array" ref="H365">_xlfn.IFS(G365&lt;=15,"Junior",G365&lt;=30,"Mid level",G365&gt;30,"Lead")</f>
        <v>Junior</v>
      </c>
    </row>
    <row r="366" spans="1:8" x14ac:dyDescent="0.3">
      <c r="A366" s="8">
        <v>2889</v>
      </c>
      <c r="B366" t="str" cm="1">
        <f t="array" ref="B366">_xlfn.IFS(A366&lt;=8000,"low",A366&lt;15000,"medium",A366&gt;=15000,"high")</f>
        <v>low</v>
      </c>
      <c r="G366" s="1">
        <v>4</v>
      </c>
      <c r="H366" t="str" cm="1">
        <f t="array" ref="H366">_xlfn.IFS(G366&lt;=15,"Junior",G366&lt;=30,"Mid level",G366&gt;30,"Lead")</f>
        <v>Junior</v>
      </c>
    </row>
    <row r="367" spans="1:8" x14ac:dyDescent="0.3">
      <c r="A367" s="7">
        <v>2897</v>
      </c>
      <c r="B367" t="str" cm="1">
        <f t="array" ref="B367">_xlfn.IFS(A367&lt;=8000,"low",A367&lt;15000,"medium",A367&gt;=15000,"high")</f>
        <v>low</v>
      </c>
      <c r="G367" s="2">
        <v>2</v>
      </c>
      <c r="H367" t="str" cm="1">
        <f t="array" ref="H367">_xlfn.IFS(G367&lt;=15,"Junior",G367&lt;=30,"Mid level",G367&gt;30,"Lead")</f>
        <v>Junior</v>
      </c>
    </row>
    <row r="368" spans="1:8" x14ac:dyDescent="0.3">
      <c r="A368" s="8">
        <v>2899</v>
      </c>
      <c r="B368" t="str" cm="1">
        <f t="array" ref="B368">_xlfn.IFS(A368&lt;=8000,"low",A368&lt;15000,"medium",A368&gt;=15000,"high")</f>
        <v>low</v>
      </c>
      <c r="G368" s="1">
        <v>4</v>
      </c>
      <c r="H368" t="str" cm="1">
        <f t="array" ref="H368">_xlfn.IFS(G368&lt;=15,"Junior",G368&lt;=30,"Mid level",G368&gt;30,"Lead")</f>
        <v>Junior</v>
      </c>
    </row>
    <row r="369" spans="1:8" x14ac:dyDescent="0.3">
      <c r="A369" s="7">
        <v>2904</v>
      </c>
      <c r="B369" t="str" cm="1">
        <f t="array" ref="B369">_xlfn.IFS(A369&lt;=8000,"low",A369&lt;15000,"medium",A369&gt;=15000,"high")</f>
        <v>low</v>
      </c>
      <c r="G369" s="2">
        <v>8</v>
      </c>
      <c r="H369" t="str" cm="1">
        <f t="array" ref="H369">_xlfn.IFS(G369&lt;=15,"Junior",G369&lt;=30,"Mid level",G369&gt;30,"Lead")</f>
        <v>Junior</v>
      </c>
    </row>
    <row r="370" spans="1:8" x14ac:dyDescent="0.3">
      <c r="A370" s="8">
        <v>2909</v>
      </c>
      <c r="B370" t="str" cm="1">
        <f t="array" ref="B370">_xlfn.IFS(A370&lt;=8000,"low",A370&lt;15000,"medium",A370&gt;=15000,"high")</f>
        <v>low</v>
      </c>
      <c r="G370" s="1">
        <v>3</v>
      </c>
      <c r="H370" t="str" cm="1">
        <f t="array" ref="H370">_xlfn.IFS(G370&lt;=15,"Junior",G370&lt;=30,"Mid level",G370&gt;30,"Lead")</f>
        <v>Junior</v>
      </c>
    </row>
    <row r="371" spans="1:8" x14ac:dyDescent="0.3">
      <c r="A371" s="7">
        <v>2909</v>
      </c>
      <c r="B371" t="str" cm="1">
        <f t="array" ref="B371">_xlfn.IFS(A371&lt;=8000,"low",A371&lt;15000,"medium",A371&gt;=15000,"high")</f>
        <v>low</v>
      </c>
      <c r="G371" s="2">
        <v>5</v>
      </c>
      <c r="H371" t="str" cm="1">
        <f t="array" ref="H371">_xlfn.IFS(G371&lt;=15,"Junior",G371&lt;=30,"Mid level",G371&gt;30,"Lead")</f>
        <v>Junior</v>
      </c>
    </row>
    <row r="372" spans="1:8" x14ac:dyDescent="0.3">
      <c r="A372" s="8">
        <v>2911</v>
      </c>
      <c r="B372" t="str" cm="1">
        <f t="array" ref="B372">_xlfn.IFS(A372&lt;=8000,"low",A372&lt;15000,"medium",A372&gt;=15000,"high")</f>
        <v>low</v>
      </c>
      <c r="G372" s="1">
        <v>2</v>
      </c>
      <c r="H372" t="str" cm="1">
        <f t="array" ref="H372">_xlfn.IFS(G372&lt;=15,"Junior",G372&lt;=30,"Mid level",G372&gt;30,"Lead")</f>
        <v>Junior</v>
      </c>
    </row>
    <row r="373" spans="1:8" x14ac:dyDescent="0.3">
      <c r="A373" s="7">
        <v>2911</v>
      </c>
      <c r="B373" t="str" cm="1">
        <f t="array" ref="B373">_xlfn.IFS(A373&lt;=8000,"low",A373&lt;15000,"medium",A373&gt;=15000,"high")</f>
        <v>low</v>
      </c>
      <c r="G373" s="2">
        <v>1</v>
      </c>
      <c r="H373" t="str" cm="1">
        <f t="array" ref="H373">_xlfn.IFS(G373&lt;=15,"Junior",G373&lt;=30,"Mid level",G373&gt;30,"Lead")</f>
        <v>Junior</v>
      </c>
    </row>
    <row r="374" spans="1:8" x14ac:dyDescent="0.3">
      <c r="A374" s="8">
        <v>2926</v>
      </c>
      <c r="B374" t="str" cm="1">
        <f t="array" ref="B374">_xlfn.IFS(A374&lt;=8000,"low",A374&lt;15000,"medium",A374&gt;=15000,"high")</f>
        <v>low</v>
      </c>
      <c r="G374" s="1">
        <v>10</v>
      </c>
      <c r="H374" t="str" cm="1">
        <f t="array" ref="H374">_xlfn.IFS(G374&lt;=15,"Junior",G374&lt;=30,"Mid level",G374&gt;30,"Lead")</f>
        <v>Junior</v>
      </c>
    </row>
    <row r="375" spans="1:8" x14ac:dyDescent="0.3">
      <c r="A375" s="7">
        <v>2929</v>
      </c>
      <c r="B375" t="str" cm="1">
        <f t="array" ref="B375">_xlfn.IFS(A375&lt;=8000,"low",A375&lt;15000,"medium",A375&gt;=15000,"high")</f>
        <v>low</v>
      </c>
      <c r="G375" s="2">
        <v>5</v>
      </c>
      <c r="H375" t="str" cm="1">
        <f t="array" ref="H375">_xlfn.IFS(G375&lt;=15,"Junior",G375&lt;=30,"Mid level",G375&gt;30,"Lead")</f>
        <v>Junior</v>
      </c>
    </row>
    <row r="376" spans="1:8" x14ac:dyDescent="0.3">
      <c r="A376" s="8">
        <v>2932</v>
      </c>
      <c r="B376" t="str" cm="1">
        <f t="array" ref="B376">_xlfn.IFS(A376&lt;=8000,"low",A376&lt;15000,"medium",A376&gt;=15000,"high")</f>
        <v>low</v>
      </c>
      <c r="G376" s="1">
        <v>1</v>
      </c>
      <c r="H376" t="str" cm="1">
        <f t="array" ref="H376">_xlfn.IFS(G376&lt;=15,"Junior",G376&lt;=30,"Mid level",G376&gt;30,"Lead")</f>
        <v>Junior</v>
      </c>
    </row>
    <row r="377" spans="1:8" x14ac:dyDescent="0.3">
      <c r="A377" s="7">
        <v>2933</v>
      </c>
      <c r="B377" t="str" cm="1">
        <f t="array" ref="B377">_xlfn.IFS(A377&lt;=8000,"low",A377&lt;15000,"medium",A377&gt;=15000,"high")</f>
        <v>low</v>
      </c>
      <c r="G377" s="2">
        <v>1</v>
      </c>
      <c r="H377" t="str" cm="1">
        <f t="array" ref="H377">_xlfn.IFS(G377&lt;=15,"Junior",G377&lt;=30,"Mid level",G377&gt;30,"Lead")</f>
        <v>Junior</v>
      </c>
    </row>
    <row r="378" spans="1:8" x14ac:dyDescent="0.3">
      <c r="A378" s="8">
        <v>2935</v>
      </c>
      <c r="B378" t="str" cm="1">
        <f t="array" ref="B378">_xlfn.IFS(A378&lt;=8000,"low",A378&lt;15000,"medium",A378&gt;=15000,"high")</f>
        <v>low</v>
      </c>
      <c r="G378" s="1">
        <v>6</v>
      </c>
      <c r="H378" t="str" cm="1">
        <f t="array" ref="H378">_xlfn.IFS(G378&lt;=15,"Junior",G378&lt;=30,"Mid level",G378&gt;30,"Lead")</f>
        <v>Junior</v>
      </c>
    </row>
    <row r="379" spans="1:8" x14ac:dyDescent="0.3">
      <c r="A379" s="7">
        <v>2936</v>
      </c>
      <c r="B379" t="str" cm="1">
        <f t="array" ref="B379">_xlfn.IFS(A379&lt;=8000,"low",A379&lt;15000,"medium",A379&gt;=15000,"high")</f>
        <v>low</v>
      </c>
      <c r="G379" s="2">
        <v>6</v>
      </c>
      <c r="H379" t="str" cm="1">
        <f t="array" ref="H379">_xlfn.IFS(G379&lt;=15,"Junior",G379&lt;=30,"Mid level",G379&gt;30,"Lead")</f>
        <v>Junior</v>
      </c>
    </row>
    <row r="380" spans="1:8" x14ac:dyDescent="0.3">
      <c r="A380" s="8">
        <v>2936</v>
      </c>
      <c r="B380" t="str" cm="1">
        <f t="array" ref="B380">_xlfn.IFS(A380&lt;=8000,"low",A380&lt;15000,"medium",A380&gt;=15000,"high")</f>
        <v>low</v>
      </c>
      <c r="G380" s="1">
        <v>8</v>
      </c>
      <c r="H380" t="str" cm="1">
        <f t="array" ref="H380">_xlfn.IFS(G380&lt;=15,"Junior",G380&lt;=30,"Mid level",G380&gt;30,"Lead")</f>
        <v>Junior</v>
      </c>
    </row>
    <row r="381" spans="1:8" x14ac:dyDescent="0.3">
      <c r="A381" s="7">
        <v>2942</v>
      </c>
      <c r="B381" t="str" cm="1">
        <f t="array" ref="B381">_xlfn.IFS(A381&lt;=8000,"low",A381&lt;15000,"medium",A381&gt;=15000,"high")</f>
        <v>low</v>
      </c>
      <c r="G381" s="2">
        <v>5</v>
      </c>
      <c r="H381" t="str" cm="1">
        <f t="array" ref="H381">_xlfn.IFS(G381&lt;=15,"Junior",G381&lt;=30,"Mid level",G381&gt;30,"Lead")</f>
        <v>Junior</v>
      </c>
    </row>
    <row r="382" spans="1:8" x14ac:dyDescent="0.3">
      <c r="A382" s="8">
        <v>2942</v>
      </c>
      <c r="B382" t="str" cm="1">
        <f t="array" ref="B382">_xlfn.IFS(A382&lt;=8000,"low",A382&lt;15000,"medium",A382&gt;=15000,"high")</f>
        <v>low</v>
      </c>
      <c r="G382" s="1">
        <v>5</v>
      </c>
      <c r="H382" t="str" cm="1">
        <f t="array" ref="H382">_xlfn.IFS(G382&lt;=15,"Junior",G382&lt;=30,"Mid level",G382&gt;30,"Lead")</f>
        <v>Junior</v>
      </c>
    </row>
    <row r="383" spans="1:8" x14ac:dyDescent="0.3">
      <c r="A383" s="7">
        <v>2950</v>
      </c>
      <c r="B383" t="str" cm="1">
        <f t="array" ref="B383">_xlfn.IFS(A383&lt;=8000,"low",A383&lt;15000,"medium",A383&gt;=15000,"high")</f>
        <v>low</v>
      </c>
      <c r="G383" s="2">
        <v>1</v>
      </c>
      <c r="H383" t="str" cm="1">
        <f t="array" ref="H383">_xlfn.IFS(G383&lt;=15,"Junior",G383&lt;=30,"Mid level",G383&gt;30,"Lead")</f>
        <v>Junior</v>
      </c>
    </row>
    <row r="384" spans="1:8" x14ac:dyDescent="0.3">
      <c r="A384" s="8">
        <v>2956</v>
      </c>
      <c r="B384" t="str" cm="1">
        <f t="array" ref="B384">_xlfn.IFS(A384&lt;=8000,"low",A384&lt;15000,"medium",A384&gt;=15000,"high")</f>
        <v>low</v>
      </c>
      <c r="G384" s="1">
        <v>1</v>
      </c>
      <c r="H384" t="str" cm="1">
        <f t="array" ref="H384">_xlfn.IFS(G384&lt;=15,"Junior",G384&lt;=30,"Mid level",G384&gt;30,"Lead")</f>
        <v>Junior</v>
      </c>
    </row>
    <row r="385" spans="1:8" x14ac:dyDescent="0.3">
      <c r="A385" s="7">
        <v>2956</v>
      </c>
      <c r="B385" t="str" cm="1">
        <f t="array" ref="B385">_xlfn.IFS(A385&lt;=8000,"low",A385&lt;15000,"medium",A385&gt;=15000,"high")</f>
        <v>low</v>
      </c>
      <c r="G385" s="2">
        <v>4</v>
      </c>
      <c r="H385" t="str" cm="1">
        <f t="array" ref="H385">_xlfn.IFS(G385&lt;=15,"Junior",G385&lt;=30,"Mid level",G385&gt;30,"Lead")</f>
        <v>Junior</v>
      </c>
    </row>
    <row r="386" spans="1:8" x14ac:dyDescent="0.3">
      <c r="A386" s="8">
        <v>2960</v>
      </c>
      <c r="B386" t="str" cm="1">
        <f t="array" ref="B386">_xlfn.IFS(A386&lt;=8000,"low",A386&lt;15000,"medium",A386&gt;=15000,"high")</f>
        <v>low</v>
      </c>
      <c r="G386" s="1">
        <v>4</v>
      </c>
      <c r="H386" t="str" cm="1">
        <f t="array" ref="H386">_xlfn.IFS(G386&lt;=15,"Junior",G386&lt;=30,"Mid level",G386&gt;30,"Lead")</f>
        <v>Junior</v>
      </c>
    </row>
    <row r="387" spans="1:8" x14ac:dyDescent="0.3">
      <c r="A387" s="7">
        <v>2966</v>
      </c>
      <c r="B387" t="str" cm="1">
        <f t="array" ref="B387">_xlfn.IFS(A387&lt;=8000,"low",A387&lt;15000,"medium",A387&gt;=15000,"high")</f>
        <v>low</v>
      </c>
      <c r="G387" s="2">
        <v>1</v>
      </c>
      <c r="H387" t="str" cm="1">
        <f t="array" ref="H387">_xlfn.IFS(G387&lt;=15,"Junior",G387&lt;=30,"Mid level",G387&gt;30,"Lead")</f>
        <v>Junior</v>
      </c>
    </row>
    <row r="388" spans="1:8" x14ac:dyDescent="0.3">
      <c r="A388" s="8">
        <v>2972</v>
      </c>
      <c r="B388" t="str" cm="1">
        <f t="array" ref="B388">_xlfn.IFS(A388&lt;=8000,"low",A388&lt;15000,"medium",A388&gt;=15000,"high")</f>
        <v>low</v>
      </c>
      <c r="G388" s="1">
        <v>5</v>
      </c>
      <c r="H388" t="str" cm="1">
        <f t="array" ref="H388">_xlfn.IFS(G388&lt;=15,"Junior",G388&lt;=30,"Mid level",G388&gt;30,"Lead")</f>
        <v>Junior</v>
      </c>
    </row>
    <row r="389" spans="1:8" x14ac:dyDescent="0.3">
      <c r="A389" s="7">
        <v>2973</v>
      </c>
      <c r="B389" t="str" cm="1">
        <f t="array" ref="B389">_xlfn.IFS(A389&lt;=8000,"low",A389&lt;15000,"medium",A389&gt;=15000,"high")</f>
        <v>low</v>
      </c>
      <c r="G389" s="2">
        <v>1</v>
      </c>
      <c r="H389" t="str" cm="1">
        <f t="array" ref="H389">_xlfn.IFS(G389&lt;=15,"Junior",G389&lt;=30,"Mid level",G389&gt;30,"Lead")</f>
        <v>Junior</v>
      </c>
    </row>
    <row r="390" spans="1:8" x14ac:dyDescent="0.3">
      <c r="A390" s="8">
        <v>2973</v>
      </c>
      <c r="B390" t="str" cm="1">
        <f t="array" ref="B390">_xlfn.IFS(A390&lt;=8000,"low",A390&lt;15000,"medium",A390&gt;=15000,"high")</f>
        <v>low</v>
      </c>
      <c r="G390" s="1">
        <v>5</v>
      </c>
      <c r="H390" t="str" cm="1">
        <f t="array" ref="H390">_xlfn.IFS(G390&lt;=15,"Junior",G390&lt;=30,"Mid level",G390&gt;30,"Lead")</f>
        <v>Junior</v>
      </c>
    </row>
    <row r="391" spans="1:8" x14ac:dyDescent="0.3">
      <c r="A391" s="7">
        <v>2974</v>
      </c>
      <c r="B391" t="str" cm="1">
        <f t="array" ref="B391">_xlfn.IFS(A391&lt;=8000,"low",A391&lt;15000,"medium",A391&gt;=15000,"high")</f>
        <v>low</v>
      </c>
      <c r="G391" s="2">
        <v>0</v>
      </c>
      <c r="H391" t="str" cm="1">
        <f t="array" ref="H391">_xlfn.IFS(G391&lt;=15,"Junior",G391&lt;=30,"Mid level",G391&gt;30,"Lead")</f>
        <v>Junior</v>
      </c>
    </row>
    <row r="392" spans="1:8" x14ac:dyDescent="0.3">
      <c r="A392" s="8">
        <v>2976</v>
      </c>
      <c r="B392" t="str" cm="1">
        <f t="array" ref="B392">_xlfn.IFS(A392&lt;=8000,"low",A392&lt;15000,"medium",A392&gt;=15000,"high")</f>
        <v>low</v>
      </c>
      <c r="G392" s="1">
        <v>4</v>
      </c>
      <c r="H392" t="str" cm="1">
        <f t="array" ref="H392">_xlfn.IFS(G392&lt;=15,"Junior",G392&lt;=30,"Mid level",G392&gt;30,"Lead")</f>
        <v>Junior</v>
      </c>
    </row>
    <row r="393" spans="1:8" x14ac:dyDescent="0.3">
      <c r="A393" s="7">
        <v>2977</v>
      </c>
      <c r="B393" t="str" cm="1">
        <f t="array" ref="B393">_xlfn.IFS(A393&lt;=8000,"low",A393&lt;15000,"medium",A393&gt;=15000,"high")</f>
        <v>low</v>
      </c>
      <c r="G393" s="2">
        <v>0</v>
      </c>
      <c r="H393" t="str" cm="1">
        <f t="array" ref="H393">_xlfn.IFS(G393&lt;=15,"Junior",G393&lt;=30,"Mid level",G393&gt;30,"Lead")</f>
        <v>Junior</v>
      </c>
    </row>
    <row r="394" spans="1:8" x14ac:dyDescent="0.3">
      <c r="A394" s="8">
        <v>2979</v>
      </c>
      <c r="B394" t="str" cm="1">
        <f t="array" ref="B394">_xlfn.IFS(A394&lt;=8000,"low",A394&lt;15000,"medium",A394&gt;=15000,"high")</f>
        <v>low</v>
      </c>
      <c r="G394" s="1">
        <v>3</v>
      </c>
      <c r="H394" t="str" cm="1">
        <f t="array" ref="H394">_xlfn.IFS(G394&lt;=15,"Junior",G394&lt;=30,"Mid level",G394&gt;30,"Lead")</f>
        <v>Junior</v>
      </c>
    </row>
    <row r="395" spans="1:8" x14ac:dyDescent="0.3">
      <c r="A395" s="7">
        <v>2983</v>
      </c>
      <c r="B395" t="str" cm="1">
        <f t="array" ref="B395">_xlfn.IFS(A395&lt;=8000,"low",A395&lt;15000,"medium",A395&gt;=15000,"high")</f>
        <v>low</v>
      </c>
      <c r="G395" s="2">
        <v>6</v>
      </c>
      <c r="H395" t="str" cm="1">
        <f t="array" ref="H395">_xlfn.IFS(G395&lt;=15,"Junior",G395&lt;=30,"Mid level",G395&gt;30,"Lead")</f>
        <v>Junior</v>
      </c>
    </row>
    <row r="396" spans="1:8" x14ac:dyDescent="0.3">
      <c r="A396" s="8">
        <v>2991</v>
      </c>
      <c r="B396" t="str" cm="1">
        <f t="array" ref="B396">_xlfn.IFS(A396&lt;=8000,"low",A396&lt;15000,"medium",A396&gt;=15000,"high")</f>
        <v>low</v>
      </c>
      <c r="G396" s="1">
        <v>1</v>
      </c>
      <c r="H396" t="str" cm="1">
        <f t="array" ref="H396">_xlfn.IFS(G396&lt;=15,"Junior",G396&lt;=30,"Mid level",G396&gt;30,"Lead")</f>
        <v>Junior</v>
      </c>
    </row>
    <row r="397" spans="1:8" x14ac:dyDescent="0.3">
      <c r="A397" s="7">
        <v>2994</v>
      </c>
      <c r="B397" t="str" cm="1">
        <f t="array" ref="B397">_xlfn.IFS(A397&lt;=8000,"low",A397&lt;15000,"medium",A397&gt;=15000,"high")</f>
        <v>low</v>
      </c>
      <c r="G397" s="2">
        <v>6</v>
      </c>
      <c r="H397" t="str" cm="1">
        <f t="array" ref="H397">_xlfn.IFS(G397&lt;=15,"Junior",G397&lt;=30,"Mid level",G397&gt;30,"Lead")</f>
        <v>Junior</v>
      </c>
    </row>
    <row r="398" spans="1:8" x14ac:dyDescent="0.3">
      <c r="A398" s="8">
        <v>2996</v>
      </c>
      <c r="B398" t="str" cm="1">
        <f t="array" ref="B398">_xlfn.IFS(A398&lt;=8000,"low",A398&lt;15000,"medium",A398&gt;=15000,"high")</f>
        <v>low</v>
      </c>
      <c r="G398" s="1">
        <v>4</v>
      </c>
      <c r="H398" t="str" cm="1">
        <f t="array" ref="H398">_xlfn.IFS(G398&lt;=15,"Junior",G398&lt;=30,"Mid level",G398&gt;30,"Lead")</f>
        <v>Junior</v>
      </c>
    </row>
    <row r="399" spans="1:8" x14ac:dyDescent="0.3">
      <c r="A399" s="7">
        <v>2996</v>
      </c>
      <c r="B399" t="str" cm="1">
        <f t="array" ref="B399">_xlfn.IFS(A399&lt;=8000,"low",A399&lt;15000,"medium",A399&gt;=15000,"high")</f>
        <v>low</v>
      </c>
      <c r="G399" s="2">
        <v>1</v>
      </c>
      <c r="H399" t="str" cm="1">
        <f t="array" ref="H399">_xlfn.IFS(G399&lt;=15,"Junior",G399&lt;=30,"Mid level",G399&gt;30,"Lead")</f>
        <v>Junior</v>
      </c>
    </row>
    <row r="400" spans="1:8" x14ac:dyDescent="0.3">
      <c r="A400" s="8">
        <v>3022</v>
      </c>
      <c r="B400" t="str" cm="1">
        <f t="array" ref="B400">_xlfn.IFS(A400&lt;=8000,"low",A400&lt;15000,"medium",A400&gt;=15000,"high")</f>
        <v>low</v>
      </c>
      <c r="G400" s="1">
        <v>2</v>
      </c>
      <c r="H400" t="str" cm="1">
        <f t="array" ref="H400">_xlfn.IFS(G400&lt;=15,"Junior",G400&lt;=30,"Mid level",G400&gt;30,"Lead")</f>
        <v>Junior</v>
      </c>
    </row>
    <row r="401" spans="1:8" x14ac:dyDescent="0.3">
      <c r="A401" s="7">
        <v>3033</v>
      </c>
      <c r="B401" t="str" cm="1">
        <f t="array" ref="B401">_xlfn.IFS(A401&lt;=8000,"low",A401&lt;15000,"medium",A401&gt;=15000,"high")</f>
        <v>low</v>
      </c>
      <c r="G401" s="2">
        <v>18</v>
      </c>
      <c r="H401" t="str" cm="1">
        <f t="array" ref="H401">_xlfn.IFS(G401&lt;=15,"Junior",G401&lt;=30,"Mid level",G401&gt;30,"Lead")</f>
        <v>Mid level</v>
      </c>
    </row>
    <row r="402" spans="1:8" x14ac:dyDescent="0.3">
      <c r="A402" s="8">
        <v>3034</v>
      </c>
      <c r="B402" t="str" cm="1">
        <f t="array" ref="B402">_xlfn.IFS(A402&lt;=8000,"low",A402&lt;15000,"medium",A402&gt;=15000,"high")</f>
        <v>low</v>
      </c>
      <c r="G402" s="1">
        <v>1</v>
      </c>
      <c r="H402" t="str" cm="1">
        <f t="array" ref="H402">_xlfn.IFS(G402&lt;=15,"Junior",G402&lt;=30,"Mid level",G402&gt;30,"Lead")</f>
        <v>Junior</v>
      </c>
    </row>
    <row r="403" spans="1:8" x14ac:dyDescent="0.3">
      <c r="A403" s="7">
        <v>3038</v>
      </c>
      <c r="B403" t="str" cm="1">
        <f t="array" ref="B403">_xlfn.IFS(A403&lt;=8000,"low",A403&lt;15000,"medium",A403&gt;=15000,"high")</f>
        <v>low</v>
      </c>
      <c r="G403" s="2">
        <v>5</v>
      </c>
      <c r="H403" t="str" cm="1">
        <f t="array" ref="H403">_xlfn.IFS(G403&lt;=15,"Junior",G403&lt;=30,"Mid level",G403&gt;30,"Lead")</f>
        <v>Junior</v>
      </c>
    </row>
    <row r="404" spans="1:8" x14ac:dyDescent="0.3">
      <c r="A404" s="8">
        <v>3038</v>
      </c>
      <c r="B404" t="str" cm="1">
        <f t="array" ref="B404">_xlfn.IFS(A404&lt;=8000,"low",A404&lt;15000,"medium",A404&gt;=15000,"high")</f>
        <v>low</v>
      </c>
      <c r="G404" s="1">
        <v>4</v>
      </c>
      <c r="H404" t="str" cm="1">
        <f t="array" ref="H404">_xlfn.IFS(G404&lt;=15,"Junior",G404&lt;=30,"Mid level",G404&gt;30,"Lead")</f>
        <v>Junior</v>
      </c>
    </row>
    <row r="405" spans="1:8" x14ac:dyDescent="0.3">
      <c r="A405" s="7">
        <v>3041</v>
      </c>
      <c r="B405" t="str" cm="1">
        <f t="array" ref="B405">_xlfn.IFS(A405&lt;=8000,"low",A405&lt;15000,"medium",A405&gt;=15000,"high")</f>
        <v>low</v>
      </c>
      <c r="G405" s="2">
        <v>9</v>
      </c>
      <c r="H405" t="str" cm="1">
        <f t="array" ref="H405">_xlfn.IFS(G405&lt;=15,"Junior",G405&lt;=30,"Mid level",G405&gt;30,"Lead")</f>
        <v>Junior</v>
      </c>
    </row>
    <row r="406" spans="1:8" x14ac:dyDescent="0.3">
      <c r="A406" s="8">
        <v>3055</v>
      </c>
      <c r="B406" t="str" cm="1">
        <f t="array" ref="B406">_xlfn.IFS(A406&lt;=8000,"low",A406&lt;15000,"medium",A406&gt;=15000,"high")</f>
        <v>low</v>
      </c>
      <c r="G406" s="1">
        <v>1</v>
      </c>
      <c r="H406" t="str" cm="1">
        <f t="array" ref="H406">_xlfn.IFS(G406&lt;=15,"Junior",G406&lt;=30,"Mid level",G406&gt;30,"Lead")</f>
        <v>Junior</v>
      </c>
    </row>
    <row r="407" spans="1:8" x14ac:dyDescent="0.3">
      <c r="A407" s="7">
        <v>3057</v>
      </c>
      <c r="B407" t="str" cm="1">
        <f t="array" ref="B407">_xlfn.IFS(A407&lt;=8000,"low",A407&lt;15000,"medium",A407&gt;=15000,"high")</f>
        <v>low</v>
      </c>
      <c r="G407" s="2">
        <v>5</v>
      </c>
      <c r="H407" t="str" cm="1">
        <f t="array" ref="H407">_xlfn.IFS(G407&lt;=15,"Junior",G407&lt;=30,"Mid level",G407&gt;30,"Lead")</f>
        <v>Junior</v>
      </c>
    </row>
    <row r="408" spans="1:8" x14ac:dyDescent="0.3">
      <c r="A408" s="8">
        <v>3058</v>
      </c>
      <c r="B408" t="str" cm="1">
        <f t="array" ref="B408">_xlfn.IFS(A408&lt;=8000,"low",A408&lt;15000,"medium",A408&gt;=15000,"high")</f>
        <v>low</v>
      </c>
      <c r="G408" s="1">
        <v>4</v>
      </c>
      <c r="H408" t="str" cm="1">
        <f t="array" ref="H408">_xlfn.IFS(G408&lt;=15,"Junior",G408&lt;=30,"Mid level",G408&gt;30,"Lead")</f>
        <v>Junior</v>
      </c>
    </row>
    <row r="409" spans="1:8" x14ac:dyDescent="0.3">
      <c r="A409" s="7">
        <v>3065</v>
      </c>
      <c r="B409" t="str" cm="1">
        <f t="array" ref="B409">_xlfn.IFS(A409&lt;=8000,"low",A409&lt;15000,"medium",A409&gt;=15000,"high")</f>
        <v>low</v>
      </c>
      <c r="G409" s="2">
        <v>2</v>
      </c>
      <c r="H409" t="str" cm="1">
        <f t="array" ref="H409">_xlfn.IFS(G409&lt;=15,"Junior",G409&lt;=30,"Mid level",G409&gt;30,"Lead")</f>
        <v>Junior</v>
      </c>
    </row>
    <row r="410" spans="1:8" x14ac:dyDescent="0.3">
      <c r="A410" s="8">
        <v>3067</v>
      </c>
      <c r="B410" t="str" cm="1">
        <f t="array" ref="B410">_xlfn.IFS(A410&lt;=8000,"low",A410&lt;15000,"medium",A410&gt;=15000,"high")</f>
        <v>low</v>
      </c>
      <c r="G410" s="1">
        <v>7</v>
      </c>
      <c r="H410" t="str" cm="1">
        <f t="array" ref="H410">_xlfn.IFS(G410&lt;=15,"Junior",G410&lt;=30,"Mid level",G410&gt;30,"Lead")</f>
        <v>Junior</v>
      </c>
    </row>
    <row r="411" spans="1:8" x14ac:dyDescent="0.3">
      <c r="A411" s="7">
        <v>3068</v>
      </c>
      <c r="B411" t="str" cm="1">
        <f t="array" ref="B411">_xlfn.IFS(A411&lt;=8000,"low",A411&lt;15000,"medium",A411&gt;=15000,"high")</f>
        <v>low</v>
      </c>
      <c r="G411" s="2">
        <v>10</v>
      </c>
      <c r="H411" t="str" cm="1">
        <f t="array" ref="H411">_xlfn.IFS(G411&lt;=15,"Junior",G411&lt;=30,"Mid level",G411&gt;30,"Lead")</f>
        <v>Junior</v>
      </c>
    </row>
    <row r="412" spans="1:8" x14ac:dyDescent="0.3">
      <c r="A412" s="8">
        <v>3069</v>
      </c>
      <c r="B412" t="str" cm="1">
        <f t="array" ref="B412">_xlfn.IFS(A412&lt;=8000,"low",A412&lt;15000,"medium",A412&gt;=15000,"high")</f>
        <v>low</v>
      </c>
      <c r="G412" s="1">
        <v>12</v>
      </c>
      <c r="H412" t="str" cm="1">
        <f t="array" ref="H412">_xlfn.IFS(G412&lt;=15,"Junior",G412&lt;=30,"Mid level",G412&gt;30,"Lead")</f>
        <v>Junior</v>
      </c>
    </row>
    <row r="413" spans="1:8" x14ac:dyDescent="0.3">
      <c r="A413" s="7">
        <v>3072</v>
      </c>
      <c r="B413" t="str" cm="1">
        <f t="array" ref="B413">_xlfn.IFS(A413&lt;=8000,"low",A413&lt;15000,"medium",A413&gt;=15000,"high")</f>
        <v>low</v>
      </c>
      <c r="G413" s="2">
        <v>1</v>
      </c>
      <c r="H413" t="str" cm="1">
        <f t="array" ref="H413">_xlfn.IFS(G413&lt;=15,"Junior",G413&lt;=30,"Mid level",G413&gt;30,"Lead")</f>
        <v>Junior</v>
      </c>
    </row>
    <row r="414" spans="1:8" x14ac:dyDescent="0.3">
      <c r="A414" s="8">
        <v>3072</v>
      </c>
      <c r="B414" t="str" cm="1">
        <f t="array" ref="B414">_xlfn.IFS(A414&lt;=8000,"low",A414&lt;15000,"medium",A414&gt;=15000,"high")</f>
        <v>low</v>
      </c>
      <c r="G414" s="1">
        <v>6</v>
      </c>
      <c r="H414" t="str" cm="1">
        <f t="array" ref="H414">_xlfn.IFS(G414&lt;=15,"Junior",G414&lt;=30,"Mid level",G414&gt;30,"Lead")</f>
        <v>Junior</v>
      </c>
    </row>
    <row r="415" spans="1:8" x14ac:dyDescent="0.3">
      <c r="A415" s="7">
        <v>3102</v>
      </c>
      <c r="B415" t="str" cm="1">
        <f t="array" ref="B415">_xlfn.IFS(A415&lt;=8000,"low",A415&lt;15000,"medium",A415&gt;=15000,"high")</f>
        <v>low</v>
      </c>
      <c r="G415" s="2">
        <v>2</v>
      </c>
      <c r="H415" t="str" cm="1">
        <f t="array" ref="H415">_xlfn.IFS(G415&lt;=15,"Junior",G415&lt;=30,"Mid level",G415&gt;30,"Lead")</f>
        <v>Junior</v>
      </c>
    </row>
    <row r="416" spans="1:8" x14ac:dyDescent="0.3">
      <c r="A416" s="8">
        <v>3117</v>
      </c>
      <c r="B416" t="str" cm="1">
        <f t="array" ref="B416">_xlfn.IFS(A416&lt;=8000,"low",A416&lt;15000,"medium",A416&gt;=15000,"high")</f>
        <v>low</v>
      </c>
      <c r="G416" s="1">
        <v>10</v>
      </c>
      <c r="H416" t="str" cm="1">
        <f t="array" ref="H416">_xlfn.IFS(G416&lt;=15,"Junior",G416&lt;=30,"Mid level",G416&gt;30,"Lead")</f>
        <v>Junior</v>
      </c>
    </row>
    <row r="417" spans="1:8" x14ac:dyDescent="0.3">
      <c r="A417" s="7">
        <v>3131</v>
      </c>
      <c r="B417" t="str" cm="1">
        <f t="array" ref="B417">_xlfn.IFS(A417&lt;=8000,"low",A417&lt;15000,"medium",A417&gt;=15000,"high")</f>
        <v>low</v>
      </c>
      <c r="G417" s="2">
        <v>4</v>
      </c>
      <c r="H417" t="str" cm="1">
        <f t="array" ref="H417">_xlfn.IFS(G417&lt;=15,"Junior",G417&lt;=30,"Mid level",G417&gt;30,"Lead")</f>
        <v>Junior</v>
      </c>
    </row>
    <row r="418" spans="1:8" x14ac:dyDescent="0.3">
      <c r="A418" s="8">
        <v>3140</v>
      </c>
      <c r="B418" t="str" cm="1">
        <f t="array" ref="B418">_xlfn.IFS(A418&lt;=8000,"low",A418&lt;15000,"medium",A418&gt;=15000,"high")</f>
        <v>low</v>
      </c>
      <c r="G418" s="1">
        <v>10</v>
      </c>
      <c r="H418" t="str" cm="1">
        <f t="array" ref="H418">_xlfn.IFS(G418&lt;=15,"Junior",G418&lt;=30,"Mid level",G418&gt;30,"Lead")</f>
        <v>Junior</v>
      </c>
    </row>
    <row r="419" spans="1:8" x14ac:dyDescent="0.3">
      <c r="A419" s="7">
        <v>3143</v>
      </c>
      <c r="B419" t="str" cm="1">
        <f t="array" ref="B419">_xlfn.IFS(A419&lt;=8000,"low",A419&lt;15000,"medium",A419&gt;=15000,"high")</f>
        <v>low</v>
      </c>
      <c r="G419" s="2">
        <v>5</v>
      </c>
      <c r="H419" t="str" cm="1">
        <f t="array" ref="H419">_xlfn.IFS(G419&lt;=15,"Junior",G419&lt;=30,"Mid level",G419&gt;30,"Lead")</f>
        <v>Junior</v>
      </c>
    </row>
    <row r="420" spans="1:8" x14ac:dyDescent="0.3">
      <c r="A420" s="8">
        <v>3149</v>
      </c>
      <c r="B420" t="str" cm="1">
        <f t="array" ref="B420">_xlfn.IFS(A420&lt;=8000,"low",A420&lt;15000,"medium",A420&gt;=15000,"high")</f>
        <v>low</v>
      </c>
      <c r="G420" s="1">
        <v>1</v>
      </c>
      <c r="H420" t="str" cm="1">
        <f t="array" ref="H420">_xlfn.IFS(G420&lt;=15,"Junior",G420&lt;=30,"Mid level",G420&gt;30,"Lead")</f>
        <v>Junior</v>
      </c>
    </row>
    <row r="421" spans="1:8" x14ac:dyDescent="0.3">
      <c r="A421" s="7">
        <v>3161</v>
      </c>
      <c r="B421" t="str" cm="1">
        <f t="array" ref="B421">_xlfn.IFS(A421&lt;=8000,"low",A421&lt;15000,"medium",A421&gt;=15000,"high")</f>
        <v>low</v>
      </c>
      <c r="G421" s="2">
        <v>5</v>
      </c>
      <c r="H421" t="str" cm="1">
        <f t="array" ref="H421">_xlfn.IFS(G421&lt;=15,"Junior",G421&lt;=30,"Mid level",G421&gt;30,"Lead")</f>
        <v>Junior</v>
      </c>
    </row>
    <row r="422" spans="1:8" x14ac:dyDescent="0.3">
      <c r="A422" s="8">
        <v>3162</v>
      </c>
      <c r="B422" t="str" cm="1">
        <f t="array" ref="B422">_xlfn.IFS(A422&lt;=8000,"low",A422&lt;15000,"medium",A422&gt;=15000,"high")</f>
        <v>low</v>
      </c>
      <c r="G422" s="1">
        <v>5</v>
      </c>
      <c r="H422" t="str" cm="1">
        <f t="array" ref="H422">_xlfn.IFS(G422&lt;=15,"Junior",G422&lt;=30,"Mid level",G422&gt;30,"Lead")</f>
        <v>Junior</v>
      </c>
    </row>
    <row r="423" spans="1:8" x14ac:dyDescent="0.3">
      <c r="A423" s="7">
        <v>3162</v>
      </c>
      <c r="B423" t="str" cm="1">
        <f t="array" ref="B423">_xlfn.IFS(A423&lt;=8000,"low",A423&lt;15000,"medium",A423&gt;=15000,"high")</f>
        <v>low</v>
      </c>
      <c r="G423" s="2">
        <v>0</v>
      </c>
      <c r="H423" t="str" cm="1">
        <f t="array" ref="H423">_xlfn.IFS(G423&lt;=15,"Junior",G423&lt;=30,"Mid level",G423&gt;30,"Lead")</f>
        <v>Junior</v>
      </c>
    </row>
    <row r="424" spans="1:8" x14ac:dyDescent="0.3">
      <c r="A424" s="8">
        <v>3172</v>
      </c>
      <c r="B424" t="str" cm="1">
        <f t="array" ref="B424">_xlfn.IFS(A424&lt;=8000,"low",A424&lt;15000,"medium",A424&gt;=15000,"high")</f>
        <v>low</v>
      </c>
      <c r="G424" s="1">
        <v>3</v>
      </c>
      <c r="H424" t="str" cm="1">
        <f t="array" ref="H424">_xlfn.IFS(G424&lt;=15,"Junior",G424&lt;=30,"Mid level",G424&gt;30,"Lead")</f>
        <v>Junior</v>
      </c>
    </row>
    <row r="425" spans="1:8" x14ac:dyDescent="0.3">
      <c r="A425" s="7">
        <v>3180</v>
      </c>
      <c r="B425" t="str" cm="1">
        <f t="array" ref="B425">_xlfn.IFS(A425&lt;=8000,"low",A425&lt;15000,"medium",A425&gt;=15000,"high")</f>
        <v>low</v>
      </c>
      <c r="G425" s="2">
        <v>2</v>
      </c>
      <c r="H425" t="str" cm="1">
        <f t="array" ref="H425">_xlfn.IFS(G425&lt;=15,"Junior",G425&lt;=30,"Mid level",G425&gt;30,"Lead")</f>
        <v>Junior</v>
      </c>
    </row>
    <row r="426" spans="1:8" x14ac:dyDescent="0.3">
      <c r="A426" s="8">
        <v>3195</v>
      </c>
      <c r="B426" t="str" cm="1">
        <f t="array" ref="B426">_xlfn.IFS(A426&lt;=8000,"low",A426&lt;15000,"medium",A426&gt;=15000,"high")</f>
        <v>low</v>
      </c>
      <c r="G426" s="1">
        <v>6</v>
      </c>
      <c r="H426" t="str" cm="1">
        <f t="array" ref="H426">_xlfn.IFS(G426&lt;=15,"Junior",G426&lt;=30,"Mid level",G426&gt;30,"Lead")</f>
        <v>Junior</v>
      </c>
    </row>
    <row r="427" spans="1:8" x14ac:dyDescent="0.3">
      <c r="A427" s="7">
        <v>3196</v>
      </c>
      <c r="B427" t="str" cm="1">
        <f t="array" ref="B427">_xlfn.IFS(A427&lt;=8000,"low",A427&lt;15000,"medium",A427&gt;=15000,"high")</f>
        <v>low</v>
      </c>
      <c r="G427" s="2">
        <v>5</v>
      </c>
      <c r="H427" t="str" cm="1">
        <f t="array" ref="H427">_xlfn.IFS(G427&lt;=15,"Junior",G427&lt;=30,"Mid level",G427&gt;30,"Lead")</f>
        <v>Junior</v>
      </c>
    </row>
    <row r="428" spans="1:8" x14ac:dyDescent="0.3">
      <c r="A428" s="8">
        <v>3201</v>
      </c>
      <c r="B428" t="str" cm="1">
        <f t="array" ref="B428">_xlfn.IFS(A428&lt;=8000,"low",A428&lt;15000,"medium",A428&gt;=15000,"high")</f>
        <v>low</v>
      </c>
      <c r="G428" s="1">
        <v>5</v>
      </c>
      <c r="H428" t="str" cm="1">
        <f t="array" ref="H428">_xlfn.IFS(G428&lt;=15,"Junior",G428&lt;=30,"Mid level",G428&gt;30,"Lead")</f>
        <v>Junior</v>
      </c>
    </row>
    <row r="429" spans="1:8" x14ac:dyDescent="0.3">
      <c r="A429" s="7">
        <v>3202</v>
      </c>
      <c r="B429" t="str" cm="1">
        <f t="array" ref="B429">_xlfn.IFS(A429&lt;=8000,"low",A429&lt;15000,"medium",A429&gt;=15000,"high")</f>
        <v>low</v>
      </c>
      <c r="G429" s="2">
        <v>3</v>
      </c>
      <c r="H429" t="str" cm="1">
        <f t="array" ref="H429">_xlfn.IFS(G429&lt;=15,"Junior",G429&lt;=30,"Mid level",G429&gt;30,"Lead")</f>
        <v>Junior</v>
      </c>
    </row>
    <row r="430" spans="1:8" x14ac:dyDescent="0.3">
      <c r="A430" s="8">
        <v>3204</v>
      </c>
      <c r="B430" t="str" cm="1">
        <f t="array" ref="B430">_xlfn.IFS(A430&lt;=8000,"low",A430&lt;15000,"medium",A430&gt;=15000,"high")</f>
        <v>low</v>
      </c>
      <c r="G430" s="1">
        <v>15</v>
      </c>
      <c r="H430" t="str" cm="1">
        <f t="array" ref="H430">_xlfn.IFS(G430&lt;=15,"Junior",G430&lt;=30,"Mid level",G430&gt;30,"Lead")</f>
        <v>Junior</v>
      </c>
    </row>
    <row r="431" spans="1:8" x14ac:dyDescent="0.3">
      <c r="A431" s="7">
        <v>3210</v>
      </c>
      <c r="B431" t="str" cm="1">
        <f t="array" ref="B431">_xlfn.IFS(A431&lt;=8000,"low",A431&lt;15000,"medium",A431&gt;=15000,"high")</f>
        <v>low</v>
      </c>
      <c r="G431" s="2">
        <v>9</v>
      </c>
      <c r="H431" t="str" cm="1">
        <f t="array" ref="H431">_xlfn.IFS(G431&lt;=15,"Junior",G431&lt;=30,"Mid level",G431&gt;30,"Lead")</f>
        <v>Junior</v>
      </c>
    </row>
    <row r="432" spans="1:8" x14ac:dyDescent="0.3">
      <c r="A432" s="8">
        <v>3211</v>
      </c>
      <c r="B432" t="str" cm="1">
        <f t="array" ref="B432">_xlfn.IFS(A432&lt;=8000,"low",A432&lt;15000,"medium",A432&gt;=15000,"high")</f>
        <v>low</v>
      </c>
      <c r="G432" s="1">
        <v>2</v>
      </c>
      <c r="H432" t="str" cm="1">
        <f t="array" ref="H432">_xlfn.IFS(G432&lt;=15,"Junior",G432&lt;=30,"Mid level",G432&gt;30,"Lead")</f>
        <v>Junior</v>
      </c>
    </row>
    <row r="433" spans="1:8" x14ac:dyDescent="0.3">
      <c r="A433" s="7">
        <v>3212</v>
      </c>
      <c r="B433" t="str" cm="1">
        <f t="array" ref="B433">_xlfn.IFS(A433&lt;=8000,"low",A433&lt;15000,"medium",A433&gt;=15000,"high")</f>
        <v>low</v>
      </c>
      <c r="G433" s="2">
        <v>20</v>
      </c>
      <c r="H433" t="str" cm="1">
        <f t="array" ref="H433">_xlfn.IFS(G433&lt;=15,"Junior",G433&lt;=30,"Mid level",G433&gt;30,"Lead")</f>
        <v>Mid level</v>
      </c>
    </row>
    <row r="434" spans="1:8" x14ac:dyDescent="0.3">
      <c r="A434" s="8">
        <v>3221</v>
      </c>
      <c r="B434" t="str" cm="1">
        <f t="array" ref="B434">_xlfn.IFS(A434&lt;=8000,"low",A434&lt;15000,"medium",A434&gt;=15000,"high")</f>
        <v>low</v>
      </c>
      <c r="G434" s="1">
        <v>3</v>
      </c>
      <c r="H434" t="str" cm="1">
        <f t="array" ref="H434">_xlfn.IFS(G434&lt;=15,"Junior",G434&lt;=30,"Mid level",G434&gt;30,"Lead")</f>
        <v>Junior</v>
      </c>
    </row>
    <row r="435" spans="1:8" x14ac:dyDescent="0.3">
      <c r="A435" s="7">
        <v>3229</v>
      </c>
      <c r="B435" t="str" cm="1">
        <f t="array" ref="B435">_xlfn.IFS(A435&lt;=8000,"low",A435&lt;15000,"medium",A435&gt;=15000,"high")</f>
        <v>low</v>
      </c>
      <c r="G435" s="2">
        <v>3</v>
      </c>
      <c r="H435" t="str" cm="1">
        <f t="array" ref="H435">_xlfn.IFS(G435&lt;=15,"Junior",G435&lt;=30,"Mid level",G435&gt;30,"Lead")</f>
        <v>Junior</v>
      </c>
    </row>
    <row r="436" spans="1:8" x14ac:dyDescent="0.3">
      <c r="A436" s="8">
        <v>3230</v>
      </c>
      <c r="B436" t="str" cm="1">
        <f t="array" ref="B436">_xlfn.IFS(A436&lt;=8000,"low",A436&lt;15000,"medium",A436&gt;=15000,"high")</f>
        <v>low</v>
      </c>
      <c r="G436" s="1">
        <v>4</v>
      </c>
      <c r="H436" t="str" cm="1">
        <f t="array" ref="H436">_xlfn.IFS(G436&lt;=15,"Junior",G436&lt;=30,"Mid level",G436&gt;30,"Lead")</f>
        <v>Junior</v>
      </c>
    </row>
    <row r="437" spans="1:8" x14ac:dyDescent="0.3">
      <c r="A437" s="7">
        <v>3280</v>
      </c>
      <c r="B437" t="str" cm="1">
        <f t="array" ref="B437">_xlfn.IFS(A437&lt;=8000,"low",A437&lt;15000,"medium",A437&gt;=15000,"high")</f>
        <v>low</v>
      </c>
      <c r="G437" s="2">
        <v>7</v>
      </c>
      <c r="H437" t="str" cm="1">
        <f t="array" ref="H437">_xlfn.IFS(G437&lt;=15,"Junior",G437&lt;=30,"Mid level",G437&gt;30,"Lead")</f>
        <v>Junior</v>
      </c>
    </row>
    <row r="438" spans="1:8" x14ac:dyDescent="0.3">
      <c r="A438" s="8">
        <v>3291</v>
      </c>
      <c r="B438" t="str" cm="1">
        <f t="array" ref="B438">_xlfn.IFS(A438&lt;=8000,"low",A438&lt;15000,"medium",A438&gt;=15000,"high")</f>
        <v>low</v>
      </c>
      <c r="G438" s="1">
        <v>3</v>
      </c>
      <c r="H438" t="str" cm="1">
        <f t="array" ref="H438">_xlfn.IFS(G438&lt;=15,"Junior",G438&lt;=30,"Mid level",G438&gt;30,"Lead")</f>
        <v>Junior</v>
      </c>
    </row>
    <row r="439" spans="1:8" x14ac:dyDescent="0.3">
      <c r="A439" s="7">
        <v>3294</v>
      </c>
      <c r="B439" t="str" cm="1">
        <f t="array" ref="B439">_xlfn.IFS(A439&lt;=8000,"low",A439&lt;15000,"medium",A439&gt;=15000,"high")</f>
        <v>low</v>
      </c>
      <c r="G439" s="2">
        <v>5</v>
      </c>
      <c r="H439" t="str" cm="1">
        <f t="array" ref="H439">_xlfn.IFS(G439&lt;=15,"Junior",G439&lt;=30,"Mid level",G439&gt;30,"Lead")</f>
        <v>Junior</v>
      </c>
    </row>
    <row r="440" spans="1:8" x14ac:dyDescent="0.3">
      <c r="A440" s="8">
        <v>3294</v>
      </c>
      <c r="B440" t="str" cm="1">
        <f t="array" ref="B440">_xlfn.IFS(A440&lt;=8000,"low",A440&lt;15000,"medium",A440&gt;=15000,"high")</f>
        <v>low</v>
      </c>
      <c r="G440" s="1">
        <v>3</v>
      </c>
      <c r="H440" t="str" cm="1">
        <f t="array" ref="H440">_xlfn.IFS(G440&lt;=15,"Junior",G440&lt;=30,"Mid level",G440&gt;30,"Lead")</f>
        <v>Junior</v>
      </c>
    </row>
    <row r="441" spans="1:8" x14ac:dyDescent="0.3">
      <c r="A441" s="7">
        <v>3295</v>
      </c>
      <c r="B441" t="str" cm="1">
        <f t="array" ref="B441">_xlfn.IFS(A441&lt;=8000,"low",A441&lt;15000,"medium",A441&gt;=15000,"high")</f>
        <v>low</v>
      </c>
      <c r="G441" s="2">
        <v>6</v>
      </c>
      <c r="H441" t="str" cm="1">
        <f t="array" ref="H441">_xlfn.IFS(G441&lt;=15,"Junior",G441&lt;=30,"Mid level",G441&gt;30,"Lead")</f>
        <v>Junior</v>
      </c>
    </row>
    <row r="442" spans="1:8" x14ac:dyDescent="0.3">
      <c r="A442" s="8">
        <v>3298</v>
      </c>
      <c r="B442" t="str" cm="1">
        <f t="array" ref="B442">_xlfn.IFS(A442&lt;=8000,"low",A442&lt;15000,"medium",A442&gt;=15000,"high")</f>
        <v>low</v>
      </c>
      <c r="G442" s="1">
        <v>0</v>
      </c>
      <c r="H442" t="str" cm="1">
        <f t="array" ref="H442">_xlfn.IFS(G442&lt;=15,"Junior",G442&lt;=30,"Mid level",G442&gt;30,"Lead")</f>
        <v>Junior</v>
      </c>
    </row>
    <row r="443" spans="1:8" x14ac:dyDescent="0.3">
      <c r="A443" s="7">
        <v>3306</v>
      </c>
      <c r="B443" t="str" cm="1">
        <f t="array" ref="B443">_xlfn.IFS(A443&lt;=8000,"low",A443&lt;15000,"medium",A443&gt;=15000,"high")</f>
        <v>low</v>
      </c>
      <c r="G443" s="2">
        <v>5</v>
      </c>
      <c r="H443" t="str" cm="1">
        <f t="array" ref="H443">_xlfn.IFS(G443&lt;=15,"Junior",G443&lt;=30,"Mid level",G443&gt;30,"Lead")</f>
        <v>Junior</v>
      </c>
    </row>
    <row r="444" spans="1:8" x14ac:dyDescent="0.3">
      <c r="A444" s="8">
        <v>3310</v>
      </c>
      <c r="B444" t="str" cm="1">
        <f t="array" ref="B444">_xlfn.IFS(A444&lt;=8000,"low",A444&lt;15000,"medium",A444&gt;=15000,"high")</f>
        <v>low</v>
      </c>
      <c r="G444" s="1">
        <v>3</v>
      </c>
      <c r="H444" t="str" cm="1">
        <f t="array" ref="H444">_xlfn.IFS(G444&lt;=15,"Junior",G444&lt;=30,"Mid level",G444&gt;30,"Lead")</f>
        <v>Junior</v>
      </c>
    </row>
    <row r="445" spans="1:8" x14ac:dyDescent="0.3">
      <c r="A445" s="7">
        <v>3312</v>
      </c>
      <c r="B445" t="str" cm="1">
        <f t="array" ref="B445">_xlfn.IFS(A445&lt;=8000,"low",A445&lt;15000,"medium",A445&gt;=15000,"high")</f>
        <v>low</v>
      </c>
      <c r="G445" s="2">
        <v>9</v>
      </c>
      <c r="H445" t="str" cm="1">
        <f t="array" ref="H445">_xlfn.IFS(G445&lt;=15,"Junior",G445&lt;=30,"Mid level",G445&gt;30,"Lead")</f>
        <v>Junior</v>
      </c>
    </row>
    <row r="446" spans="1:8" x14ac:dyDescent="0.3">
      <c r="A446" s="8">
        <v>3319</v>
      </c>
      <c r="B446" t="str" cm="1">
        <f t="array" ref="B446">_xlfn.IFS(A446&lt;=8000,"low",A446&lt;15000,"medium",A446&gt;=15000,"high")</f>
        <v>low</v>
      </c>
      <c r="G446" s="1">
        <v>7</v>
      </c>
      <c r="H446" t="str" cm="1">
        <f t="array" ref="H446">_xlfn.IFS(G446&lt;=15,"Junior",G446&lt;=30,"Mid level",G446&gt;30,"Lead")</f>
        <v>Junior</v>
      </c>
    </row>
    <row r="447" spans="1:8" x14ac:dyDescent="0.3">
      <c r="A447" s="7">
        <v>3339</v>
      </c>
      <c r="B447" t="str" cm="1">
        <f t="array" ref="B447">_xlfn.IFS(A447&lt;=8000,"low",A447&lt;15000,"medium",A447&gt;=15000,"high")</f>
        <v>low</v>
      </c>
      <c r="G447" s="2">
        <v>1</v>
      </c>
      <c r="H447" t="str" cm="1">
        <f t="array" ref="H447">_xlfn.IFS(G447&lt;=15,"Junior",G447&lt;=30,"Mid level",G447&gt;30,"Lead")</f>
        <v>Junior</v>
      </c>
    </row>
    <row r="448" spans="1:8" x14ac:dyDescent="0.3">
      <c r="A448" s="8">
        <v>3346</v>
      </c>
      <c r="B448" t="str" cm="1">
        <f t="array" ref="B448">_xlfn.IFS(A448&lt;=8000,"low",A448&lt;15000,"medium",A448&gt;=15000,"high")</f>
        <v>low</v>
      </c>
      <c r="G448" s="1">
        <v>10</v>
      </c>
      <c r="H448" t="str" cm="1">
        <f t="array" ref="H448">_xlfn.IFS(G448&lt;=15,"Junior",G448&lt;=30,"Mid level",G448&gt;30,"Lead")</f>
        <v>Junior</v>
      </c>
    </row>
    <row r="449" spans="1:8" x14ac:dyDescent="0.3">
      <c r="A449" s="7">
        <v>3348</v>
      </c>
      <c r="B449" t="str" cm="1">
        <f t="array" ref="B449">_xlfn.IFS(A449&lt;=8000,"low",A449&lt;15000,"medium",A449&gt;=15000,"high")</f>
        <v>low</v>
      </c>
      <c r="G449" s="2">
        <v>3</v>
      </c>
      <c r="H449" t="str" cm="1">
        <f t="array" ref="H449">_xlfn.IFS(G449&lt;=15,"Junior",G449&lt;=30,"Mid level",G449&gt;30,"Lead")</f>
        <v>Junior</v>
      </c>
    </row>
    <row r="450" spans="1:8" x14ac:dyDescent="0.3">
      <c r="A450" s="8">
        <v>3375</v>
      </c>
      <c r="B450" t="str" cm="1">
        <f t="array" ref="B450">_xlfn.IFS(A450&lt;=8000,"low",A450&lt;15000,"medium",A450&gt;=15000,"high")</f>
        <v>low</v>
      </c>
      <c r="G450" s="1">
        <v>10</v>
      </c>
      <c r="H450" t="str" cm="1">
        <f t="array" ref="H450">_xlfn.IFS(G450&lt;=15,"Junior",G450&lt;=30,"Mid level",G450&gt;30,"Lead")</f>
        <v>Junior</v>
      </c>
    </row>
    <row r="451" spans="1:8" x14ac:dyDescent="0.3">
      <c r="A451" s="7">
        <v>3376</v>
      </c>
      <c r="B451" t="str" cm="1">
        <f t="array" ref="B451">_xlfn.IFS(A451&lt;=8000,"low",A451&lt;15000,"medium",A451&gt;=15000,"high")</f>
        <v>low</v>
      </c>
      <c r="G451" s="2">
        <v>4</v>
      </c>
      <c r="H451" t="str" cm="1">
        <f t="array" ref="H451">_xlfn.IFS(G451&lt;=15,"Junior",G451&lt;=30,"Mid level",G451&gt;30,"Lead")</f>
        <v>Junior</v>
      </c>
    </row>
    <row r="452" spans="1:8" x14ac:dyDescent="0.3">
      <c r="A452" s="8">
        <v>3377</v>
      </c>
      <c r="B452" t="str" cm="1">
        <f t="array" ref="B452">_xlfn.IFS(A452&lt;=8000,"low",A452&lt;15000,"medium",A452&gt;=15000,"high")</f>
        <v>low</v>
      </c>
      <c r="G452" s="1">
        <v>1</v>
      </c>
      <c r="H452" t="str" cm="1">
        <f t="array" ref="H452">_xlfn.IFS(G452&lt;=15,"Junior",G452&lt;=30,"Mid level",G452&gt;30,"Lead")</f>
        <v>Junior</v>
      </c>
    </row>
    <row r="453" spans="1:8" x14ac:dyDescent="0.3">
      <c r="A453" s="7">
        <v>3388</v>
      </c>
      <c r="B453" t="str" cm="1">
        <f t="array" ref="B453">_xlfn.IFS(A453&lt;=8000,"low",A453&lt;15000,"medium",A453&gt;=15000,"high")</f>
        <v>low</v>
      </c>
      <c r="G453" s="2">
        <v>5</v>
      </c>
      <c r="H453" t="str" cm="1">
        <f t="array" ref="H453">_xlfn.IFS(G453&lt;=15,"Junior",G453&lt;=30,"Mid level",G453&gt;30,"Lead")</f>
        <v>Junior</v>
      </c>
    </row>
    <row r="454" spans="1:8" x14ac:dyDescent="0.3">
      <c r="A454" s="8">
        <v>3407</v>
      </c>
      <c r="B454" t="str" cm="1">
        <f t="array" ref="B454">_xlfn.IFS(A454&lt;=8000,"low",A454&lt;15000,"medium",A454&gt;=15000,"high")</f>
        <v>low</v>
      </c>
      <c r="G454" s="1">
        <v>10</v>
      </c>
      <c r="H454" t="str" cm="1">
        <f t="array" ref="H454">_xlfn.IFS(G454&lt;=15,"Junior",G454&lt;=30,"Mid level",G454&gt;30,"Lead")</f>
        <v>Junior</v>
      </c>
    </row>
    <row r="455" spans="1:8" x14ac:dyDescent="0.3">
      <c r="A455" s="7">
        <v>3407</v>
      </c>
      <c r="B455" t="str" cm="1">
        <f t="array" ref="B455">_xlfn.IFS(A455&lt;=8000,"low",A455&lt;15000,"medium",A455&gt;=15000,"high")</f>
        <v>low</v>
      </c>
      <c r="G455" s="2">
        <v>4</v>
      </c>
      <c r="H455" t="str" cm="1">
        <f t="array" ref="H455">_xlfn.IFS(G455&lt;=15,"Junior",G455&lt;=30,"Mid level",G455&gt;30,"Lead")</f>
        <v>Junior</v>
      </c>
    </row>
    <row r="456" spans="1:8" x14ac:dyDescent="0.3">
      <c r="A456" s="8">
        <v>3408</v>
      </c>
      <c r="B456" t="str" cm="1">
        <f t="array" ref="B456">_xlfn.IFS(A456&lt;=8000,"low",A456&lt;15000,"medium",A456&gt;=15000,"high")</f>
        <v>low</v>
      </c>
      <c r="G456" s="1">
        <v>1</v>
      </c>
      <c r="H456" t="str" cm="1">
        <f t="array" ref="H456">_xlfn.IFS(G456&lt;=15,"Junior",G456&lt;=30,"Mid level",G456&gt;30,"Lead")</f>
        <v>Junior</v>
      </c>
    </row>
    <row r="457" spans="1:8" x14ac:dyDescent="0.3">
      <c r="A457" s="7">
        <v>3419</v>
      </c>
      <c r="B457" t="str" cm="1">
        <f t="array" ref="B457">_xlfn.IFS(A457&lt;=8000,"low",A457&lt;15000,"medium",A457&gt;=15000,"high")</f>
        <v>low</v>
      </c>
      <c r="G457" s="2">
        <v>6</v>
      </c>
      <c r="H457" t="str" cm="1">
        <f t="array" ref="H457">_xlfn.IFS(G457&lt;=15,"Junior",G457&lt;=30,"Mid level",G457&gt;30,"Lead")</f>
        <v>Junior</v>
      </c>
    </row>
    <row r="458" spans="1:8" x14ac:dyDescent="0.3">
      <c r="A458" s="8">
        <v>3420</v>
      </c>
      <c r="B458" t="str" cm="1">
        <f t="array" ref="B458">_xlfn.IFS(A458&lt;=8000,"low",A458&lt;15000,"medium",A458&gt;=15000,"high")</f>
        <v>low</v>
      </c>
      <c r="G458" s="1">
        <v>5</v>
      </c>
      <c r="H458" t="str" cm="1">
        <f t="array" ref="H458">_xlfn.IFS(G458&lt;=15,"Junior",G458&lt;=30,"Mid level",G458&gt;30,"Lead")</f>
        <v>Junior</v>
      </c>
    </row>
    <row r="459" spans="1:8" x14ac:dyDescent="0.3">
      <c r="A459" s="7">
        <v>3420</v>
      </c>
      <c r="B459" t="str" cm="1">
        <f t="array" ref="B459">_xlfn.IFS(A459&lt;=8000,"low",A459&lt;15000,"medium",A459&gt;=15000,"high")</f>
        <v>low</v>
      </c>
      <c r="G459" s="2">
        <v>7</v>
      </c>
      <c r="H459" t="str" cm="1">
        <f t="array" ref="H459">_xlfn.IFS(G459&lt;=15,"Junior",G459&lt;=30,"Mid level",G459&gt;30,"Lead")</f>
        <v>Junior</v>
      </c>
    </row>
    <row r="460" spans="1:8" x14ac:dyDescent="0.3">
      <c r="A460" s="8">
        <v>3423</v>
      </c>
      <c r="B460" t="str" cm="1">
        <f t="array" ref="B460">_xlfn.IFS(A460&lt;=8000,"low",A460&lt;15000,"medium",A460&gt;=15000,"high")</f>
        <v>low</v>
      </c>
      <c r="G460" s="1">
        <v>4</v>
      </c>
      <c r="H460" t="str" cm="1">
        <f t="array" ref="H460">_xlfn.IFS(G460&lt;=15,"Junior",G460&lt;=30,"Mid level",G460&gt;30,"Lead")</f>
        <v>Junior</v>
      </c>
    </row>
    <row r="461" spans="1:8" x14ac:dyDescent="0.3">
      <c r="A461" s="7">
        <v>3424</v>
      </c>
      <c r="B461" t="str" cm="1">
        <f t="array" ref="B461">_xlfn.IFS(A461&lt;=8000,"low",A461&lt;15000,"medium",A461&gt;=15000,"high")</f>
        <v>low</v>
      </c>
      <c r="G461" s="2">
        <v>5</v>
      </c>
      <c r="H461" t="str" cm="1">
        <f t="array" ref="H461">_xlfn.IFS(G461&lt;=15,"Junior",G461&lt;=30,"Mid level",G461&gt;30,"Lead")</f>
        <v>Junior</v>
      </c>
    </row>
    <row r="462" spans="1:8" x14ac:dyDescent="0.3">
      <c r="A462" s="8">
        <v>3433</v>
      </c>
      <c r="B462" t="str" cm="1">
        <f t="array" ref="B462">_xlfn.IFS(A462&lt;=8000,"low",A462&lt;15000,"medium",A462&gt;=15000,"high")</f>
        <v>low</v>
      </c>
      <c r="G462" s="1">
        <v>2</v>
      </c>
      <c r="H462" t="str" cm="1">
        <f t="array" ref="H462">_xlfn.IFS(G462&lt;=15,"Junior",G462&lt;=30,"Mid level",G462&gt;30,"Lead")</f>
        <v>Junior</v>
      </c>
    </row>
    <row r="463" spans="1:8" x14ac:dyDescent="0.3">
      <c r="A463" s="7">
        <v>3441</v>
      </c>
      <c r="B463" t="str" cm="1">
        <f t="array" ref="B463">_xlfn.IFS(A463&lt;=8000,"low",A463&lt;15000,"medium",A463&gt;=15000,"high")</f>
        <v>low</v>
      </c>
      <c r="G463" s="2">
        <v>6</v>
      </c>
      <c r="H463" t="str" cm="1">
        <f t="array" ref="H463">_xlfn.IFS(G463&lt;=15,"Junior",G463&lt;=30,"Mid level",G463&gt;30,"Lead")</f>
        <v>Junior</v>
      </c>
    </row>
    <row r="464" spans="1:8" x14ac:dyDescent="0.3">
      <c r="A464" s="8">
        <v>3445</v>
      </c>
      <c r="B464" t="str" cm="1">
        <f t="array" ref="B464">_xlfn.IFS(A464&lt;=8000,"low",A464&lt;15000,"medium",A464&gt;=15000,"high")</f>
        <v>low</v>
      </c>
      <c r="G464" s="1">
        <v>3</v>
      </c>
      <c r="H464" t="str" cm="1">
        <f t="array" ref="H464">_xlfn.IFS(G464&lt;=15,"Junior",G464&lt;=30,"Mid level",G464&gt;30,"Lead")</f>
        <v>Junior</v>
      </c>
    </row>
    <row r="465" spans="1:8" x14ac:dyDescent="0.3">
      <c r="A465" s="7">
        <v>3447</v>
      </c>
      <c r="B465" t="str" cm="1">
        <f t="array" ref="B465">_xlfn.IFS(A465&lt;=8000,"low",A465&lt;15000,"medium",A465&gt;=15000,"high")</f>
        <v>low</v>
      </c>
      <c r="G465" s="2">
        <v>1</v>
      </c>
      <c r="H465" t="str" cm="1">
        <f t="array" ref="H465">_xlfn.IFS(G465&lt;=15,"Junior",G465&lt;=30,"Mid level",G465&gt;30,"Lead")</f>
        <v>Junior</v>
      </c>
    </row>
    <row r="466" spans="1:8" x14ac:dyDescent="0.3">
      <c r="A466" s="8">
        <v>3448</v>
      </c>
      <c r="B466" t="str" cm="1">
        <f t="array" ref="B466">_xlfn.IFS(A466&lt;=8000,"low",A466&lt;15000,"medium",A466&gt;=15000,"high")</f>
        <v>low</v>
      </c>
      <c r="G466" s="1">
        <v>6</v>
      </c>
      <c r="H466" t="str" cm="1">
        <f t="array" ref="H466">_xlfn.IFS(G466&lt;=15,"Junior",G466&lt;=30,"Mid level",G466&gt;30,"Lead")</f>
        <v>Junior</v>
      </c>
    </row>
    <row r="467" spans="1:8" x14ac:dyDescent="0.3">
      <c r="A467" s="7">
        <v>3452</v>
      </c>
      <c r="B467" t="str" cm="1">
        <f t="array" ref="B467">_xlfn.IFS(A467&lt;=8000,"low",A467&lt;15000,"medium",A467&gt;=15000,"high")</f>
        <v>low</v>
      </c>
      <c r="G467" s="2">
        <v>5</v>
      </c>
      <c r="H467" t="str" cm="1">
        <f t="array" ref="H467">_xlfn.IFS(G467&lt;=15,"Junior",G467&lt;=30,"Mid level",G467&gt;30,"Lead")</f>
        <v>Junior</v>
      </c>
    </row>
    <row r="468" spans="1:8" x14ac:dyDescent="0.3">
      <c r="A468" s="8">
        <v>3452</v>
      </c>
      <c r="B468" t="str" cm="1">
        <f t="array" ref="B468">_xlfn.IFS(A468&lt;=8000,"low",A468&lt;15000,"medium",A468&gt;=15000,"high")</f>
        <v>low</v>
      </c>
      <c r="G468" s="1">
        <v>3</v>
      </c>
      <c r="H468" t="str" cm="1">
        <f t="array" ref="H468">_xlfn.IFS(G468&lt;=15,"Junior",G468&lt;=30,"Mid level",G468&gt;30,"Lead")</f>
        <v>Junior</v>
      </c>
    </row>
    <row r="469" spans="1:8" x14ac:dyDescent="0.3">
      <c r="A469" s="7">
        <v>3452</v>
      </c>
      <c r="B469" t="str" cm="1">
        <f t="array" ref="B469">_xlfn.IFS(A469&lt;=8000,"low",A469&lt;15000,"medium",A469&gt;=15000,"high")</f>
        <v>low</v>
      </c>
      <c r="G469" s="2">
        <v>3</v>
      </c>
      <c r="H469" t="str" cm="1">
        <f t="array" ref="H469">_xlfn.IFS(G469&lt;=15,"Junior",G469&lt;=30,"Mid level",G469&gt;30,"Lead")</f>
        <v>Junior</v>
      </c>
    </row>
    <row r="470" spans="1:8" x14ac:dyDescent="0.3">
      <c r="A470" s="8">
        <v>3464</v>
      </c>
      <c r="B470" t="str" cm="1">
        <f t="array" ref="B470">_xlfn.IFS(A470&lt;=8000,"low",A470&lt;15000,"medium",A470&gt;=15000,"high")</f>
        <v>low</v>
      </c>
      <c r="G470" s="1">
        <v>2</v>
      </c>
      <c r="H470" t="str" cm="1">
        <f t="array" ref="H470">_xlfn.IFS(G470&lt;=15,"Junior",G470&lt;=30,"Mid level",G470&gt;30,"Lead")</f>
        <v>Junior</v>
      </c>
    </row>
    <row r="471" spans="1:8" x14ac:dyDescent="0.3">
      <c r="A471" s="7">
        <v>3468</v>
      </c>
      <c r="B471" t="str" cm="1">
        <f t="array" ref="B471">_xlfn.IFS(A471&lt;=8000,"low",A471&lt;15000,"medium",A471&gt;=15000,"high")</f>
        <v>low</v>
      </c>
      <c r="G471" s="2">
        <v>5</v>
      </c>
      <c r="H471" t="str" cm="1">
        <f t="array" ref="H471">_xlfn.IFS(G471&lt;=15,"Junior",G471&lt;=30,"Mid level",G471&gt;30,"Lead")</f>
        <v>Junior</v>
      </c>
    </row>
    <row r="472" spans="1:8" x14ac:dyDescent="0.3">
      <c r="A472" s="8">
        <v>3477</v>
      </c>
      <c r="B472" t="str" cm="1">
        <f t="array" ref="B472">_xlfn.IFS(A472&lt;=8000,"low",A472&lt;15000,"medium",A472&gt;=15000,"high")</f>
        <v>low</v>
      </c>
      <c r="G472" s="1">
        <v>5</v>
      </c>
      <c r="H472" t="str" cm="1">
        <f t="array" ref="H472">_xlfn.IFS(G472&lt;=15,"Junior",G472&lt;=30,"Mid level",G472&gt;30,"Lead")</f>
        <v>Junior</v>
      </c>
    </row>
    <row r="473" spans="1:8" x14ac:dyDescent="0.3">
      <c r="A473" s="7">
        <v>3479</v>
      </c>
      <c r="B473" t="str" cm="1">
        <f t="array" ref="B473">_xlfn.IFS(A473&lt;=8000,"low",A473&lt;15000,"medium",A473&gt;=15000,"high")</f>
        <v>low</v>
      </c>
      <c r="G473" s="2">
        <v>9</v>
      </c>
      <c r="H473" t="str" cm="1">
        <f t="array" ref="H473">_xlfn.IFS(G473&lt;=15,"Junior",G473&lt;=30,"Mid level",G473&gt;30,"Lead")</f>
        <v>Junior</v>
      </c>
    </row>
    <row r="474" spans="1:8" x14ac:dyDescent="0.3">
      <c r="A474" s="8">
        <v>3482</v>
      </c>
      <c r="B474" t="str" cm="1">
        <f t="array" ref="B474">_xlfn.IFS(A474&lt;=8000,"low",A474&lt;15000,"medium",A474&gt;=15000,"high")</f>
        <v>low</v>
      </c>
      <c r="G474" s="1">
        <v>0</v>
      </c>
      <c r="H474" t="str" cm="1">
        <f t="array" ref="H474">_xlfn.IFS(G474&lt;=15,"Junior",G474&lt;=30,"Mid level",G474&gt;30,"Lead")</f>
        <v>Junior</v>
      </c>
    </row>
    <row r="475" spans="1:8" x14ac:dyDescent="0.3">
      <c r="A475" s="7">
        <v>3485</v>
      </c>
      <c r="B475" t="str" cm="1">
        <f t="array" ref="B475">_xlfn.IFS(A475&lt;=8000,"low",A475&lt;15000,"medium",A475&gt;=15000,"high")</f>
        <v>low</v>
      </c>
      <c r="G475" s="2">
        <v>10</v>
      </c>
      <c r="H475" t="str" cm="1">
        <f t="array" ref="H475">_xlfn.IFS(G475&lt;=15,"Junior",G475&lt;=30,"Mid level",G475&gt;30,"Lead")</f>
        <v>Junior</v>
      </c>
    </row>
    <row r="476" spans="1:8" x14ac:dyDescent="0.3">
      <c r="A476" s="8">
        <v>3491</v>
      </c>
      <c r="B476" t="str" cm="1">
        <f t="array" ref="B476">_xlfn.IFS(A476&lt;=8000,"low",A476&lt;15000,"medium",A476&gt;=15000,"high")</f>
        <v>low</v>
      </c>
      <c r="G476" s="1">
        <v>6</v>
      </c>
      <c r="H476" t="str" cm="1">
        <f t="array" ref="H476">_xlfn.IFS(G476&lt;=15,"Junior",G476&lt;=30,"Mid level",G476&gt;30,"Lead")</f>
        <v>Junior</v>
      </c>
    </row>
    <row r="477" spans="1:8" x14ac:dyDescent="0.3">
      <c r="A477" s="7">
        <v>3500</v>
      </c>
      <c r="B477" t="str" cm="1">
        <f t="array" ref="B477">_xlfn.IFS(A477&lt;=8000,"low",A477&lt;15000,"medium",A477&gt;=15000,"high")</f>
        <v>low</v>
      </c>
      <c r="G477" s="2">
        <v>2</v>
      </c>
      <c r="H477" t="str" cm="1">
        <f t="array" ref="H477">_xlfn.IFS(G477&lt;=15,"Junior",G477&lt;=30,"Mid level",G477&gt;30,"Lead")</f>
        <v>Junior</v>
      </c>
    </row>
    <row r="478" spans="1:8" x14ac:dyDescent="0.3">
      <c r="A478" s="8">
        <v>3505</v>
      </c>
      <c r="B478" t="str" cm="1">
        <f t="array" ref="B478">_xlfn.IFS(A478&lt;=8000,"low",A478&lt;15000,"medium",A478&gt;=15000,"high")</f>
        <v>low</v>
      </c>
      <c r="G478" s="1">
        <v>3</v>
      </c>
      <c r="H478" t="str" cm="1">
        <f t="array" ref="H478">_xlfn.IFS(G478&lt;=15,"Junior",G478&lt;=30,"Mid level",G478&gt;30,"Lead")</f>
        <v>Junior</v>
      </c>
    </row>
    <row r="479" spans="1:8" x14ac:dyDescent="0.3">
      <c r="A479" s="7">
        <v>3506</v>
      </c>
      <c r="B479" t="str" cm="1">
        <f t="array" ref="B479">_xlfn.IFS(A479&lt;=8000,"low",A479&lt;15000,"medium",A479&gt;=15000,"high")</f>
        <v>low</v>
      </c>
      <c r="G479" s="2">
        <v>3</v>
      </c>
      <c r="H479" t="str" cm="1">
        <f t="array" ref="H479">_xlfn.IFS(G479&lt;=15,"Junior",G479&lt;=30,"Mid level",G479&gt;30,"Lead")</f>
        <v>Junior</v>
      </c>
    </row>
    <row r="480" spans="1:8" x14ac:dyDescent="0.3">
      <c r="A480" s="8">
        <v>3517</v>
      </c>
      <c r="B480" t="str" cm="1">
        <f t="array" ref="B480">_xlfn.IFS(A480&lt;=8000,"low",A480&lt;15000,"medium",A480&gt;=15000,"high")</f>
        <v>low</v>
      </c>
      <c r="G480" s="1">
        <v>4</v>
      </c>
      <c r="H480" t="str" cm="1">
        <f t="array" ref="H480">_xlfn.IFS(G480&lt;=15,"Junior",G480&lt;=30,"Mid level",G480&gt;30,"Lead")</f>
        <v>Junior</v>
      </c>
    </row>
    <row r="481" spans="1:8" x14ac:dyDescent="0.3">
      <c r="A481" s="7">
        <v>3537</v>
      </c>
      <c r="B481" t="str" cm="1">
        <f t="array" ref="B481">_xlfn.IFS(A481&lt;=8000,"low",A481&lt;15000,"medium",A481&gt;=15000,"high")</f>
        <v>low</v>
      </c>
      <c r="G481" s="2">
        <v>9</v>
      </c>
      <c r="H481" t="str" cm="1">
        <f t="array" ref="H481">_xlfn.IFS(G481&lt;=15,"Junior",G481&lt;=30,"Mid level",G481&gt;30,"Lead")</f>
        <v>Junior</v>
      </c>
    </row>
    <row r="482" spans="1:8" x14ac:dyDescent="0.3">
      <c r="A482" s="8">
        <v>3539</v>
      </c>
      <c r="B482" t="str" cm="1">
        <f t="array" ref="B482">_xlfn.IFS(A482&lt;=8000,"low",A482&lt;15000,"medium",A482&gt;=15000,"high")</f>
        <v>low</v>
      </c>
      <c r="G482" s="1">
        <v>9</v>
      </c>
      <c r="H482" t="str" cm="1">
        <f t="array" ref="H482">_xlfn.IFS(G482&lt;=15,"Junior",G482&lt;=30,"Mid level",G482&gt;30,"Lead")</f>
        <v>Junior</v>
      </c>
    </row>
    <row r="483" spans="1:8" x14ac:dyDescent="0.3">
      <c r="A483" s="7">
        <v>3540</v>
      </c>
      <c r="B483" t="str" cm="1">
        <f t="array" ref="B483">_xlfn.IFS(A483&lt;=8000,"low",A483&lt;15000,"medium",A483&gt;=15000,"high")</f>
        <v>low</v>
      </c>
      <c r="G483" s="2">
        <v>4</v>
      </c>
      <c r="H483" t="str" cm="1">
        <f t="array" ref="H483">_xlfn.IFS(G483&lt;=15,"Junior",G483&lt;=30,"Mid level",G483&gt;30,"Lead")</f>
        <v>Junior</v>
      </c>
    </row>
    <row r="484" spans="1:8" x14ac:dyDescent="0.3">
      <c r="A484" s="8">
        <v>3544</v>
      </c>
      <c r="B484" t="str" cm="1">
        <f t="array" ref="B484">_xlfn.IFS(A484&lt;=8000,"low",A484&lt;15000,"medium",A484&gt;=15000,"high")</f>
        <v>low</v>
      </c>
      <c r="G484" s="1">
        <v>8</v>
      </c>
      <c r="H484" t="str" cm="1">
        <f t="array" ref="H484">_xlfn.IFS(G484&lt;=15,"Junior",G484&lt;=30,"Mid level",G484&gt;30,"Lead")</f>
        <v>Junior</v>
      </c>
    </row>
    <row r="485" spans="1:8" x14ac:dyDescent="0.3">
      <c r="A485" s="7">
        <v>3564</v>
      </c>
      <c r="B485" t="str" cm="1">
        <f t="array" ref="B485">_xlfn.IFS(A485&lt;=8000,"low",A485&lt;15000,"medium",A485&gt;=15000,"high")</f>
        <v>low</v>
      </c>
      <c r="G485" s="2">
        <v>7</v>
      </c>
      <c r="H485" t="str" cm="1">
        <f t="array" ref="H485">_xlfn.IFS(G485&lt;=15,"Junior",G485&lt;=30,"Mid level",G485&gt;30,"Lead")</f>
        <v>Junior</v>
      </c>
    </row>
    <row r="486" spans="1:8" x14ac:dyDescent="0.3">
      <c r="A486" s="8">
        <v>3578</v>
      </c>
      <c r="B486" t="str" cm="1">
        <f t="array" ref="B486">_xlfn.IFS(A486&lt;=8000,"low",A486&lt;15000,"medium",A486&gt;=15000,"high")</f>
        <v>low</v>
      </c>
      <c r="G486" s="1">
        <v>11</v>
      </c>
      <c r="H486" t="str" cm="1">
        <f t="array" ref="H486">_xlfn.IFS(G486&lt;=15,"Junior",G486&lt;=30,"Mid level",G486&gt;30,"Lead")</f>
        <v>Junior</v>
      </c>
    </row>
    <row r="487" spans="1:8" x14ac:dyDescent="0.3">
      <c r="A487" s="7">
        <v>3579</v>
      </c>
      <c r="B487" t="str" cm="1">
        <f t="array" ref="B487">_xlfn.IFS(A487&lt;=8000,"low",A487&lt;15000,"medium",A487&gt;=15000,"high")</f>
        <v>low</v>
      </c>
      <c r="G487" s="2">
        <v>4</v>
      </c>
      <c r="H487" t="str" cm="1">
        <f t="array" ref="H487">_xlfn.IFS(G487&lt;=15,"Junior",G487&lt;=30,"Mid level",G487&gt;30,"Lead")</f>
        <v>Junior</v>
      </c>
    </row>
    <row r="488" spans="1:8" x14ac:dyDescent="0.3">
      <c r="A488" s="8">
        <v>3580</v>
      </c>
      <c r="B488" t="str" cm="1">
        <f t="array" ref="B488">_xlfn.IFS(A488&lt;=8000,"low",A488&lt;15000,"medium",A488&gt;=15000,"high")</f>
        <v>low</v>
      </c>
      <c r="G488" s="1">
        <v>3</v>
      </c>
      <c r="H488" t="str" cm="1">
        <f t="array" ref="H488">_xlfn.IFS(G488&lt;=15,"Junior",G488&lt;=30,"Mid level",G488&gt;30,"Lead")</f>
        <v>Junior</v>
      </c>
    </row>
    <row r="489" spans="1:8" x14ac:dyDescent="0.3">
      <c r="A489" s="7">
        <v>3591</v>
      </c>
      <c r="B489" t="str" cm="1">
        <f t="array" ref="B489">_xlfn.IFS(A489&lt;=8000,"low",A489&lt;15000,"medium",A489&gt;=15000,"high")</f>
        <v>low</v>
      </c>
      <c r="G489" s="2">
        <v>4</v>
      </c>
      <c r="H489" t="str" cm="1">
        <f t="array" ref="H489">_xlfn.IFS(G489&lt;=15,"Junior",G489&lt;=30,"Mid level",G489&gt;30,"Lead")</f>
        <v>Junior</v>
      </c>
    </row>
    <row r="490" spans="1:8" x14ac:dyDescent="0.3">
      <c r="A490" s="8">
        <v>3597</v>
      </c>
      <c r="B490" t="str" cm="1">
        <f t="array" ref="B490">_xlfn.IFS(A490&lt;=8000,"low",A490&lt;15000,"medium",A490&gt;=15000,"high")</f>
        <v>low</v>
      </c>
      <c r="G490" s="1">
        <v>5</v>
      </c>
      <c r="H490" t="str" cm="1">
        <f t="array" ref="H490">_xlfn.IFS(G490&lt;=15,"Junior",G490&lt;=30,"Mid level",G490&gt;30,"Lead")</f>
        <v>Junior</v>
      </c>
    </row>
    <row r="491" spans="1:8" x14ac:dyDescent="0.3">
      <c r="A491" s="7">
        <v>3600</v>
      </c>
      <c r="B491" t="str" cm="1">
        <f t="array" ref="B491">_xlfn.IFS(A491&lt;=8000,"low",A491&lt;15000,"medium",A491&gt;=15000,"high")</f>
        <v>low</v>
      </c>
      <c r="G491" s="2">
        <v>1</v>
      </c>
      <c r="H491" t="str" cm="1">
        <f t="array" ref="H491">_xlfn.IFS(G491&lt;=15,"Junior",G491&lt;=30,"Mid level",G491&gt;30,"Lead")</f>
        <v>Junior</v>
      </c>
    </row>
    <row r="492" spans="1:8" x14ac:dyDescent="0.3">
      <c r="A492" s="8">
        <v>3617</v>
      </c>
      <c r="B492" t="str" cm="1">
        <f t="array" ref="B492">_xlfn.IFS(A492&lt;=8000,"low",A492&lt;15000,"medium",A492&gt;=15000,"high")</f>
        <v>low</v>
      </c>
      <c r="G492" s="1">
        <v>6</v>
      </c>
      <c r="H492" t="str" cm="1">
        <f t="array" ref="H492">_xlfn.IFS(G492&lt;=15,"Junior",G492&lt;=30,"Mid level",G492&gt;30,"Lead")</f>
        <v>Junior</v>
      </c>
    </row>
    <row r="493" spans="1:8" x14ac:dyDescent="0.3">
      <c r="A493" s="7">
        <v>3622</v>
      </c>
      <c r="B493" t="str" cm="1">
        <f t="array" ref="B493">_xlfn.IFS(A493&lt;=8000,"low",A493&lt;15000,"medium",A493&gt;=15000,"high")</f>
        <v>low</v>
      </c>
      <c r="G493" s="2">
        <v>3</v>
      </c>
      <c r="H493" t="str" cm="1">
        <f t="array" ref="H493">_xlfn.IFS(G493&lt;=15,"Junior",G493&lt;=30,"Mid level",G493&gt;30,"Lead")</f>
        <v>Junior</v>
      </c>
    </row>
    <row r="494" spans="1:8" x14ac:dyDescent="0.3">
      <c r="A494" s="8">
        <v>3629</v>
      </c>
      <c r="B494" t="str" cm="1">
        <f t="array" ref="B494">_xlfn.IFS(A494&lt;=8000,"low",A494&lt;15000,"medium",A494&gt;=15000,"high")</f>
        <v>low</v>
      </c>
      <c r="G494" s="1">
        <v>9</v>
      </c>
      <c r="H494" t="str" cm="1">
        <f t="array" ref="H494">_xlfn.IFS(G494&lt;=15,"Junior",G494&lt;=30,"Mid level",G494&gt;30,"Lead")</f>
        <v>Junior</v>
      </c>
    </row>
    <row r="495" spans="1:8" x14ac:dyDescent="0.3">
      <c r="A495" s="7">
        <v>3633</v>
      </c>
      <c r="B495" t="str" cm="1">
        <f t="array" ref="B495">_xlfn.IFS(A495&lt;=8000,"low",A495&lt;15000,"medium",A495&gt;=15000,"high")</f>
        <v>low</v>
      </c>
      <c r="G495" s="2">
        <v>1</v>
      </c>
      <c r="H495" t="str" cm="1">
        <f t="array" ref="H495">_xlfn.IFS(G495&lt;=15,"Junior",G495&lt;=30,"Mid level",G495&gt;30,"Lead")</f>
        <v>Junior</v>
      </c>
    </row>
    <row r="496" spans="1:8" x14ac:dyDescent="0.3">
      <c r="A496" s="8">
        <v>3646</v>
      </c>
      <c r="B496" t="str" cm="1">
        <f t="array" ref="B496">_xlfn.IFS(A496&lt;=8000,"low",A496&lt;15000,"medium",A496&gt;=15000,"high")</f>
        <v>low</v>
      </c>
      <c r="G496" s="1">
        <v>8</v>
      </c>
      <c r="H496" t="str" cm="1">
        <f t="array" ref="H496">_xlfn.IFS(G496&lt;=15,"Junior",G496&lt;=30,"Mid level",G496&gt;30,"Lead")</f>
        <v>Junior</v>
      </c>
    </row>
    <row r="497" spans="1:8" x14ac:dyDescent="0.3">
      <c r="A497" s="7">
        <v>3660</v>
      </c>
      <c r="B497" t="str" cm="1">
        <f t="array" ref="B497">_xlfn.IFS(A497&lt;=8000,"low",A497&lt;15000,"medium",A497&gt;=15000,"high")</f>
        <v>low</v>
      </c>
      <c r="G497" s="2">
        <v>3</v>
      </c>
      <c r="H497" t="str" cm="1">
        <f t="array" ref="H497">_xlfn.IFS(G497&lt;=15,"Junior",G497&lt;=30,"Mid level",G497&gt;30,"Lead")</f>
        <v>Junior</v>
      </c>
    </row>
    <row r="498" spans="1:8" x14ac:dyDescent="0.3">
      <c r="A498" s="8">
        <v>3669</v>
      </c>
      <c r="B498" t="str" cm="1">
        <f t="array" ref="B498">_xlfn.IFS(A498&lt;=8000,"low",A498&lt;15000,"medium",A498&gt;=15000,"high")</f>
        <v>low</v>
      </c>
      <c r="G498" s="1">
        <v>12</v>
      </c>
      <c r="H498" t="str" cm="1">
        <f t="array" ref="H498">_xlfn.IFS(G498&lt;=15,"Junior",G498&lt;=30,"Mid level",G498&gt;30,"Lead")</f>
        <v>Junior</v>
      </c>
    </row>
    <row r="499" spans="1:8" x14ac:dyDescent="0.3">
      <c r="A499" s="7">
        <v>3673</v>
      </c>
      <c r="B499" t="str" cm="1">
        <f t="array" ref="B499">_xlfn.IFS(A499&lt;=8000,"low",A499&lt;15000,"medium",A499&gt;=15000,"high")</f>
        <v>low</v>
      </c>
      <c r="G499" s="2">
        <v>3</v>
      </c>
      <c r="H499" t="str" cm="1">
        <f t="array" ref="H499">_xlfn.IFS(G499&lt;=15,"Junior",G499&lt;=30,"Mid level",G499&gt;30,"Lead")</f>
        <v>Junior</v>
      </c>
    </row>
    <row r="500" spans="1:8" x14ac:dyDescent="0.3">
      <c r="A500" s="8">
        <v>3681</v>
      </c>
      <c r="B500" t="str" cm="1">
        <f t="array" ref="B500">_xlfn.IFS(A500&lt;=8000,"low",A500&lt;15000,"medium",A500&gt;=15000,"high")</f>
        <v>low</v>
      </c>
      <c r="G500" s="1">
        <v>1</v>
      </c>
      <c r="H500" t="str" cm="1">
        <f t="array" ref="H500">_xlfn.IFS(G500&lt;=15,"Junior",G500&lt;=30,"Mid level",G500&gt;30,"Lead")</f>
        <v>Junior</v>
      </c>
    </row>
    <row r="501" spans="1:8" x14ac:dyDescent="0.3">
      <c r="A501" s="7">
        <v>3688</v>
      </c>
      <c r="B501" t="str" cm="1">
        <f t="array" ref="B501">_xlfn.IFS(A501&lt;=8000,"low",A501&lt;15000,"medium",A501&gt;=15000,"high")</f>
        <v>low</v>
      </c>
      <c r="G501" s="2">
        <v>3</v>
      </c>
      <c r="H501" t="str" cm="1">
        <f t="array" ref="H501">_xlfn.IFS(G501&lt;=15,"Junior",G501&lt;=30,"Mid level",G501&gt;30,"Lead")</f>
        <v>Junior</v>
      </c>
    </row>
    <row r="502" spans="1:8" x14ac:dyDescent="0.3">
      <c r="A502" s="8">
        <v>3690</v>
      </c>
      <c r="B502" t="str" cm="1">
        <f t="array" ref="B502">_xlfn.IFS(A502&lt;=8000,"low",A502&lt;15000,"medium",A502&gt;=15000,"high")</f>
        <v>low</v>
      </c>
      <c r="G502" s="1">
        <v>7</v>
      </c>
      <c r="H502" t="str" cm="1">
        <f t="array" ref="H502">_xlfn.IFS(G502&lt;=15,"Junior",G502&lt;=30,"Mid level",G502&gt;30,"Lead")</f>
        <v>Junior</v>
      </c>
    </row>
    <row r="503" spans="1:8" x14ac:dyDescent="0.3">
      <c r="A503" s="7">
        <v>3691</v>
      </c>
      <c r="B503" t="str" cm="1">
        <f t="array" ref="B503">_xlfn.IFS(A503&lt;=8000,"low",A503&lt;15000,"medium",A503&gt;=15000,"high")</f>
        <v>low</v>
      </c>
      <c r="G503" s="2">
        <v>11</v>
      </c>
      <c r="H503" t="str" cm="1">
        <f t="array" ref="H503">_xlfn.IFS(G503&lt;=15,"Junior",G503&lt;=30,"Mid level",G503&gt;30,"Lead")</f>
        <v>Junior</v>
      </c>
    </row>
    <row r="504" spans="1:8" x14ac:dyDescent="0.3">
      <c r="A504" s="8">
        <v>3692</v>
      </c>
      <c r="B504" t="str" cm="1">
        <f t="array" ref="B504">_xlfn.IFS(A504&lt;=8000,"low",A504&lt;15000,"medium",A504&gt;=15000,"high")</f>
        <v>low</v>
      </c>
      <c r="G504" s="1">
        <v>10</v>
      </c>
      <c r="H504" t="str" cm="1">
        <f t="array" ref="H504">_xlfn.IFS(G504&lt;=15,"Junior",G504&lt;=30,"Mid level",G504&gt;30,"Lead")</f>
        <v>Junior</v>
      </c>
    </row>
    <row r="505" spans="1:8" x14ac:dyDescent="0.3">
      <c r="A505" s="7">
        <v>3697</v>
      </c>
      <c r="B505" t="str" cm="1">
        <f t="array" ref="B505">_xlfn.IFS(A505&lt;=8000,"low",A505&lt;15000,"medium",A505&gt;=15000,"high")</f>
        <v>low</v>
      </c>
      <c r="G505" s="2">
        <v>5</v>
      </c>
      <c r="H505" t="str" cm="1">
        <f t="array" ref="H505">_xlfn.IFS(G505&lt;=15,"Junior",G505&lt;=30,"Mid level",G505&gt;30,"Lead")</f>
        <v>Junior</v>
      </c>
    </row>
    <row r="506" spans="1:8" x14ac:dyDescent="0.3">
      <c r="A506" s="8">
        <v>3702</v>
      </c>
      <c r="B506" t="str" cm="1">
        <f t="array" ref="B506">_xlfn.IFS(A506&lt;=8000,"low",A506&lt;15000,"medium",A506&gt;=15000,"high")</f>
        <v>low</v>
      </c>
      <c r="G506" s="1">
        <v>5</v>
      </c>
      <c r="H506" t="str" cm="1">
        <f t="array" ref="H506">_xlfn.IFS(G506&lt;=15,"Junior",G506&lt;=30,"Mid level",G506&gt;30,"Lead")</f>
        <v>Junior</v>
      </c>
    </row>
    <row r="507" spans="1:8" x14ac:dyDescent="0.3">
      <c r="A507" s="7">
        <v>3708</v>
      </c>
      <c r="B507" t="str" cm="1">
        <f t="array" ref="B507">_xlfn.IFS(A507&lt;=8000,"low",A507&lt;15000,"medium",A507&gt;=15000,"high")</f>
        <v>low</v>
      </c>
      <c r="G507" s="2">
        <v>2</v>
      </c>
      <c r="H507" t="str" cm="1">
        <f t="array" ref="H507">_xlfn.IFS(G507&lt;=15,"Junior",G507&lt;=30,"Mid level",G507&gt;30,"Lead")</f>
        <v>Junior</v>
      </c>
    </row>
    <row r="508" spans="1:8" x14ac:dyDescent="0.3">
      <c r="A508" s="8">
        <v>3722</v>
      </c>
      <c r="B508" t="str" cm="1">
        <f t="array" ref="B508">_xlfn.IFS(A508&lt;=8000,"low",A508&lt;15000,"medium",A508&gt;=15000,"high")</f>
        <v>low</v>
      </c>
      <c r="G508" s="1">
        <v>3</v>
      </c>
      <c r="H508" t="str" cm="1">
        <f t="array" ref="H508">_xlfn.IFS(G508&lt;=15,"Junior",G508&lt;=30,"Mid level",G508&gt;30,"Lead")</f>
        <v>Junior</v>
      </c>
    </row>
    <row r="509" spans="1:8" x14ac:dyDescent="0.3">
      <c r="A509" s="7">
        <v>3730</v>
      </c>
      <c r="B509" t="str" cm="1">
        <f t="array" ref="B509">_xlfn.IFS(A509&lt;=8000,"low",A509&lt;15000,"medium",A509&gt;=15000,"high")</f>
        <v>low</v>
      </c>
      <c r="G509" s="2">
        <v>3</v>
      </c>
      <c r="H509" t="str" cm="1">
        <f t="array" ref="H509">_xlfn.IFS(G509&lt;=15,"Junior",G509&lt;=30,"Mid level",G509&gt;30,"Lead")</f>
        <v>Junior</v>
      </c>
    </row>
    <row r="510" spans="1:8" x14ac:dyDescent="0.3">
      <c r="A510" s="8">
        <v>3737</v>
      </c>
      <c r="B510" t="str" cm="1">
        <f t="array" ref="B510">_xlfn.IFS(A510&lt;=8000,"low",A510&lt;15000,"medium",A510&gt;=15000,"high")</f>
        <v>low</v>
      </c>
      <c r="G510" s="1">
        <v>4</v>
      </c>
      <c r="H510" t="str" cm="1">
        <f t="array" ref="H510">_xlfn.IFS(G510&lt;=15,"Junior",G510&lt;=30,"Mid level",G510&gt;30,"Lead")</f>
        <v>Junior</v>
      </c>
    </row>
    <row r="511" spans="1:8" x14ac:dyDescent="0.3">
      <c r="A511" s="7">
        <v>3743</v>
      </c>
      <c r="B511" t="str" cm="1">
        <f t="array" ref="B511">_xlfn.IFS(A511&lt;=8000,"low",A511&lt;15000,"medium",A511&gt;=15000,"high")</f>
        <v>low</v>
      </c>
      <c r="G511" s="2">
        <v>12</v>
      </c>
      <c r="H511" t="str" cm="1">
        <f t="array" ref="H511">_xlfn.IFS(G511&lt;=15,"Junior",G511&lt;=30,"Mid level",G511&gt;30,"Lead")</f>
        <v>Junior</v>
      </c>
    </row>
    <row r="512" spans="1:8" x14ac:dyDescent="0.3">
      <c r="A512" s="8">
        <v>3748</v>
      </c>
      <c r="B512" t="str" cm="1">
        <f t="array" ref="B512">_xlfn.IFS(A512&lt;=8000,"low",A512&lt;15000,"medium",A512&gt;=15000,"high")</f>
        <v>low</v>
      </c>
      <c r="G512" s="1">
        <v>8</v>
      </c>
      <c r="H512" t="str" cm="1">
        <f t="array" ref="H512">_xlfn.IFS(G512&lt;=15,"Junior",G512&lt;=30,"Mid level",G512&gt;30,"Lead")</f>
        <v>Junior</v>
      </c>
    </row>
    <row r="513" spans="1:8" x14ac:dyDescent="0.3">
      <c r="A513" s="7">
        <v>3755</v>
      </c>
      <c r="B513" t="str" cm="1">
        <f t="array" ref="B513">_xlfn.IFS(A513&lt;=8000,"low",A513&lt;15000,"medium",A513&gt;=15000,"high")</f>
        <v>low</v>
      </c>
      <c r="G513" s="2">
        <v>3</v>
      </c>
      <c r="H513" t="str" cm="1">
        <f t="array" ref="H513">_xlfn.IFS(G513&lt;=15,"Junior",G513&lt;=30,"Mid level",G513&gt;30,"Lead")</f>
        <v>Junior</v>
      </c>
    </row>
    <row r="514" spans="1:8" x14ac:dyDescent="0.3">
      <c r="A514" s="8">
        <v>3760</v>
      </c>
      <c r="B514" t="str" cm="1">
        <f t="array" ref="B514">_xlfn.IFS(A514&lt;=8000,"low",A514&lt;15000,"medium",A514&gt;=15000,"high")</f>
        <v>low</v>
      </c>
      <c r="G514" s="1">
        <v>6</v>
      </c>
      <c r="H514" t="str" cm="1">
        <f t="array" ref="H514">_xlfn.IFS(G514&lt;=15,"Junior",G514&lt;=30,"Mid level",G514&gt;30,"Lead")</f>
        <v>Junior</v>
      </c>
    </row>
    <row r="515" spans="1:8" x14ac:dyDescent="0.3">
      <c r="A515" s="7">
        <v>3760</v>
      </c>
      <c r="B515" t="str" cm="1">
        <f t="array" ref="B515">_xlfn.IFS(A515&lt;=8000,"low",A515&lt;15000,"medium",A515&gt;=15000,"high")</f>
        <v>low</v>
      </c>
      <c r="G515" s="2">
        <v>5</v>
      </c>
      <c r="H515" t="str" cm="1">
        <f t="array" ref="H515">_xlfn.IFS(G515&lt;=15,"Junior",G515&lt;=30,"Mid level",G515&gt;30,"Lead")</f>
        <v>Junior</v>
      </c>
    </row>
    <row r="516" spans="1:8" x14ac:dyDescent="0.3">
      <c r="A516" s="8">
        <v>3761</v>
      </c>
      <c r="B516" t="str" cm="1">
        <f t="array" ref="B516">_xlfn.IFS(A516&lt;=8000,"low",A516&lt;15000,"medium",A516&gt;=15000,"high")</f>
        <v>low</v>
      </c>
      <c r="G516" s="1">
        <v>1</v>
      </c>
      <c r="H516" t="str" cm="1">
        <f t="array" ref="H516">_xlfn.IFS(G516&lt;=15,"Junior",G516&lt;=30,"Mid level",G516&gt;30,"Lead")</f>
        <v>Junior</v>
      </c>
    </row>
    <row r="517" spans="1:8" x14ac:dyDescent="0.3">
      <c r="A517" s="7">
        <v>3780</v>
      </c>
      <c r="B517" t="str" cm="1">
        <f t="array" ref="B517">_xlfn.IFS(A517&lt;=8000,"low",A517&lt;15000,"medium",A517&gt;=15000,"high")</f>
        <v>low</v>
      </c>
      <c r="G517" s="2">
        <v>5</v>
      </c>
      <c r="H517" t="str" cm="1">
        <f t="array" ref="H517">_xlfn.IFS(G517&lt;=15,"Junior",G517&lt;=30,"Mid level",G517&gt;30,"Lead")</f>
        <v>Junior</v>
      </c>
    </row>
    <row r="518" spans="1:8" x14ac:dyDescent="0.3">
      <c r="A518" s="8">
        <v>3785</v>
      </c>
      <c r="B518" t="str" cm="1">
        <f t="array" ref="B518">_xlfn.IFS(A518&lt;=8000,"low",A518&lt;15000,"medium",A518&gt;=15000,"high")</f>
        <v>low</v>
      </c>
      <c r="G518" s="1">
        <v>11</v>
      </c>
      <c r="H518" t="str" cm="1">
        <f t="array" ref="H518">_xlfn.IFS(G518&lt;=15,"Junior",G518&lt;=30,"Mid level",G518&gt;30,"Lead")</f>
        <v>Junior</v>
      </c>
    </row>
    <row r="519" spans="1:8" x14ac:dyDescent="0.3">
      <c r="A519" s="7">
        <v>3812</v>
      </c>
      <c r="B519" t="str" cm="1">
        <f t="array" ref="B519">_xlfn.IFS(A519&lt;=8000,"low",A519&lt;15000,"medium",A519&gt;=15000,"high")</f>
        <v>low</v>
      </c>
      <c r="G519" s="2">
        <v>5</v>
      </c>
      <c r="H519" t="str" cm="1">
        <f t="array" ref="H519">_xlfn.IFS(G519&lt;=15,"Junior",G519&lt;=30,"Mid level",G519&gt;30,"Lead")</f>
        <v>Junior</v>
      </c>
    </row>
    <row r="520" spans="1:8" x14ac:dyDescent="0.3">
      <c r="A520" s="8">
        <v>3815</v>
      </c>
      <c r="B520" t="str" cm="1">
        <f t="array" ref="B520">_xlfn.IFS(A520&lt;=8000,"low",A520&lt;15000,"medium",A520&gt;=15000,"high")</f>
        <v>low</v>
      </c>
      <c r="G520" s="1">
        <v>5</v>
      </c>
      <c r="H520" t="str" cm="1">
        <f t="array" ref="H520">_xlfn.IFS(G520&lt;=15,"Junior",G520&lt;=30,"Mid level",G520&gt;30,"Lead")</f>
        <v>Junior</v>
      </c>
    </row>
    <row r="521" spans="1:8" x14ac:dyDescent="0.3">
      <c r="A521" s="7">
        <v>3816</v>
      </c>
      <c r="B521" t="str" cm="1">
        <f t="array" ref="B521">_xlfn.IFS(A521&lt;=8000,"low",A521&lt;15000,"medium",A521&gt;=15000,"high")</f>
        <v>low</v>
      </c>
      <c r="G521" s="2">
        <v>2</v>
      </c>
      <c r="H521" t="str" cm="1">
        <f t="array" ref="H521">_xlfn.IFS(G521&lt;=15,"Junior",G521&lt;=30,"Mid level",G521&gt;30,"Lead")</f>
        <v>Junior</v>
      </c>
    </row>
    <row r="522" spans="1:8" x14ac:dyDescent="0.3">
      <c r="A522" s="8">
        <v>3833</v>
      </c>
      <c r="B522" t="str" cm="1">
        <f t="array" ref="B522">_xlfn.IFS(A522&lt;=8000,"low",A522&lt;15000,"medium",A522&gt;=15000,"high")</f>
        <v>low</v>
      </c>
      <c r="G522" s="1">
        <v>5</v>
      </c>
      <c r="H522" t="str" cm="1">
        <f t="array" ref="H522">_xlfn.IFS(G522&lt;=15,"Junior",G522&lt;=30,"Mid level",G522&gt;30,"Lead")</f>
        <v>Junior</v>
      </c>
    </row>
    <row r="523" spans="1:8" x14ac:dyDescent="0.3">
      <c r="A523" s="7">
        <v>3838</v>
      </c>
      <c r="B523" t="str" cm="1">
        <f t="array" ref="B523">_xlfn.IFS(A523&lt;=8000,"low",A523&lt;15000,"medium",A523&gt;=15000,"high")</f>
        <v>low</v>
      </c>
      <c r="G523" s="2">
        <v>2</v>
      </c>
      <c r="H523" t="str" cm="1">
        <f t="array" ref="H523">_xlfn.IFS(G523&lt;=15,"Junior",G523&lt;=30,"Mid level",G523&gt;30,"Lead")</f>
        <v>Junior</v>
      </c>
    </row>
    <row r="524" spans="1:8" x14ac:dyDescent="0.3">
      <c r="A524" s="8">
        <v>3867</v>
      </c>
      <c r="B524" t="str" cm="1">
        <f t="array" ref="B524">_xlfn.IFS(A524&lt;=8000,"low",A524&lt;15000,"medium",A524&gt;=15000,"high")</f>
        <v>low</v>
      </c>
      <c r="G524" s="1">
        <v>2</v>
      </c>
      <c r="H524" t="str" cm="1">
        <f t="array" ref="H524">_xlfn.IFS(G524&lt;=15,"Junior",G524&lt;=30,"Mid level",G524&gt;30,"Lead")</f>
        <v>Junior</v>
      </c>
    </row>
    <row r="525" spans="1:8" x14ac:dyDescent="0.3">
      <c r="A525" s="7">
        <v>3875</v>
      </c>
      <c r="B525" t="str" cm="1">
        <f t="array" ref="B525">_xlfn.IFS(A525&lt;=8000,"low",A525&lt;15000,"medium",A525&gt;=15000,"high")</f>
        <v>low</v>
      </c>
      <c r="G525" s="2">
        <v>10</v>
      </c>
      <c r="H525" t="str" cm="1">
        <f t="array" ref="H525">_xlfn.IFS(G525&lt;=15,"Junior",G525&lt;=30,"Mid level",G525&gt;30,"Lead")</f>
        <v>Junior</v>
      </c>
    </row>
    <row r="526" spans="1:8" x14ac:dyDescent="0.3">
      <c r="A526" s="8">
        <v>3886</v>
      </c>
      <c r="B526" t="str" cm="1">
        <f t="array" ref="B526">_xlfn.IFS(A526&lt;=8000,"low",A526&lt;15000,"medium",A526&gt;=15000,"high")</f>
        <v>low</v>
      </c>
      <c r="G526" s="1">
        <v>2</v>
      </c>
      <c r="H526" t="str" cm="1">
        <f t="array" ref="H526">_xlfn.IFS(G526&lt;=15,"Junior",G526&lt;=30,"Mid level",G526&gt;30,"Lead")</f>
        <v>Junior</v>
      </c>
    </row>
    <row r="527" spans="1:8" x14ac:dyDescent="0.3">
      <c r="A527" s="7">
        <v>3894</v>
      </c>
      <c r="B527" t="str" cm="1">
        <f t="array" ref="B527">_xlfn.IFS(A527&lt;=8000,"low",A527&lt;15000,"medium",A527&gt;=15000,"high")</f>
        <v>low</v>
      </c>
      <c r="G527" s="2">
        <v>2</v>
      </c>
      <c r="H527" t="str" cm="1">
        <f t="array" ref="H527">_xlfn.IFS(G527&lt;=15,"Junior",G527&lt;=30,"Mid level",G527&gt;30,"Lead")</f>
        <v>Junior</v>
      </c>
    </row>
    <row r="528" spans="1:8" x14ac:dyDescent="0.3">
      <c r="A528" s="8">
        <v>3902</v>
      </c>
      <c r="B528" t="str" cm="1">
        <f t="array" ref="B528">_xlfn.IFS(A528&lt;=8000,"low",A528&lt;15000,"medium",A528&gt;=15000,"high")</f>
        <v>low</v>
      </c>
      <c r="G528" s="1">
        <v>5</v>
      </c>
      <c r="H528" t="str" cm="1">
        <f t="array" ref="H528">_xlfn.IFS(G528&lt;=15,"Junior",G528&lt;=30,"Mid level",G528&gt;30,"Lead")</f>
        <v>Junior</v>
      </c>
    </row>
    <row r="529" spans="1:8" x14ac:dyDescent="0.3">
      <c r="A529" s="7">
        <v>3904</v>
      </c>
      <c r="B529" t="str" cm="1">
        <f t="array" ref="B529">_xlfn.IFS(A529&lt;=8000,"low",A529&lt;15000,"medium",A529&gt;=15000,"high")</f>
        <v>low</v>
      </c>
      <c r="G529" s="2">
        <v>4</v>
      </c>
      <c r="H529" t="str" cm="1">
        <f t="array" ref="H529">_xlfn.IFS(G529&lt;=15,"Junior",G529&lt;=30,"Mid level",G529&gt;30,"Lead")</f>
        <v>Junior</v>
      </c>
    </row>
    <row r="530" spans="1:8" x14ac:dyDescent="0.3">
      <c r="A530" s="8">
        <v>3904</v>
      </c>
      <c r="B530" t="str" cm="1">
        <f t="array" ref="B530">_xlfn.IFS(A530&lt;=8000,"low",A530&lt;15000,"medium",A530&gt;=15000,"high")</f>
        <v>low</v>
      </c>
      <c r="G530" s="1">
        <v>6</v>
      </c>
      <c r="H530" t="str" cm="1">
        <f t="array" ref="H530">_xlfn.IFS(G530&lt;=15,"Junior",G530&lt;=30,"Mid level",G530&gt;30,"Lead")</f>
        <v>Junior</v>
      </c>
    </row>
    <row r="531" spans="1:8" x14ac:dyDescent="0.3">
      <c r="A531" s="7">
        <v>3907</v>
      </c>
      <c r="B531" t="str" cm="1">
        <f t="array" ref="B531">_xlfn.IFS(A531&lt;=8000,"low",A531&lt;15000,"medium",A531&gt;=15000,"high")</f>
        <v>low</v>
      </c>
      <c r="G531" s="2">
        <v>3</v>
      </c>
      <c r="H531" t="str" cm="1">
        <f t="array" ref="H531">_xlfn.IFS(G531&lt;=15,"Junior",G531&lt;=30,"Mid level",G531&gt;30,"Lead")</f>
        <v>Junior</v>
      </c>
    </row>
    <row r="532" spans="1:8" x14ac:dyDescent="0.3">
      <c r="A532" s="8">
        <v>3917</v>
      </c>
      <c r="B532" t="str" cm="1">
        <f t="array" ref="B532">_xlfn.IFS(A532&lt;=8000,"low",A532&lt;15000,"medium",A532&gt;=15000,"high")</f>
        <v>low</v>
      </c>
      <c r="G532" s="1">
        <v>10</v>
      </c>
      <c r="H532" t="str" cm="1">
        <f t="array" ref="H532">_xlfn.IFS(G532&lt;=15,"Junior",G532&lt;=30,"Mid level",G532&gt;30,"Lead")</f>
        <v>Junior</v>
      </c>
    </row>
    <row r="533" spans="1:8" x14ac:dyDescent="0.3">
      <c r="A533" s="7">
        <v>3919</v>
      </c>
      <c r="B533" t="str" cm="1">
        <f t="array" ref="B533">_xlfn.IFS(A533&lt;=8000,"low",A533&lt;15000,"medium",A533&gt;=15000,"high")</f>
        <v>low</v>
      </c>
      <c r="G533" s="2">
        <v>3</v>
      </c>
      <c r="H533" t="str" cm="1">
        <f t="array" ref="H533">_xlfn.IFS(G533&lt;=15,"Junior",G533&lt;=30,"Mid level",G533&gt;30,"Lead")</f>
        <v>Junior</v>
      </c>
    </row>
    <row r="534" spans="1:8" x14ac:dyDescent="0.3">
      <c r="A534" s="8">
        <v>3920</v>
      </c>
      <c r="B534" t="str" cm="1">
        <f t="array" ref="B534">_xlfn.IFS(A534&lt;=8000,"low",A534&lt;15000,"medium",A534&gt;=15000,"high")</f>
        <v>low</v>
      </c>
      <c r="G534" s="1">
        <v>4</v>
      </c>
      <c r="H534" t="str" cm="1">
        <f t="array" ref="H534">_xlfn.IFS(G534&lt;=15,"Junior",G534&lt;=30,"Mid level",G534&gt;30,"Lead")</f>
        <v>Junior</v>
      </c>
    </row>
    <row r="535" spans="1:8" x14ac:dyDescent="0.3">
      <c r="A535" s="7">
        <v>3929</v>
      </c>
      <c r="B535" t="str" cm="1">
        <f t="array" ref="B535">_xlfn.IFS(A535&lt;=8000,"low",A535&lt;15000,"medium",A535&gt;=15000,"high")</f>
        <v>low</v>
      </c>
      <c r="G535" s="2">
        <v>4</v>
      </c>
      <c r="H535" t="str" cm="1">
        <f t="array" ref="H535">_xlfn.IFS(G535&lt;=15,"Junior",G535&lt;=30,"Mid level",G535&gt;30,"Lead")</f>
        <v>Junior</v>
      </c>
    </row>
    <row r="536" spans="1:8" x14ac:dyDescent="0.3">
      <c r="A536" s="8">
        <v>3931</v>
      </c>
      <c r="B536" t="str" cm="1">
        <f t="array" ref="B536">_xlfn.IFS(A536&lt;=8000,"low",A536&lt;15000,"medium",A536&gt;=15000,"high")</f>
        <v>low</v>
      </c>
      <c r="G536" s="1">
        <v>8</v>
      </c>
      <c r="H536" t="str" cm="1">
        <f t="array" ref="H536">_xlfn.IFS(G536&lt;=15,"Junior",G536&lt;=30,"Mid level",G536&gt;30,"Lead")</f>
        <v>Junior</v>
      </c>
    </row>
    <row r="537" spans="1:8" x14ac:dyDescent="0.3">
      <c r="A537" s="7">
        <v>3936</v>
      </c>
      <c r="B537" t="str" cm="1">
        <f t="array" ref="B537">_xlfn.IFS(A537&lt;=8000,"low",A537&lt;15000,"medium",A537&gt;=15000,"high")</f>
        <v>low</v>
      </c>
      <c r="G537" s="2">
        <v>3</v>
      </c>
      <c r="H537" t="str" cm="1">
        <f t="array" ref="H537">_xlfn.IFS(G537&lt;=15,"Junior",G537&lt;=30,"Mid level",G537&gt;30,"Lead")</f>
        <v>Junior</v>
      </c>
    </row>
    <row r="538" spans="1:8" x14ac:dyDescent="0.3">
      <c r="A538" s="8">
        <v>3944</v>
      </c>
      <c r="B538" t="str" cm="1">
        <f t="array" ref="B538">_xlfn.IFS(A538&lt;=8000,"low",A538&lt;15000,"medium",A538&gt;=15000,"high")</f>
        <v>low</v>
      </c>
      <c r="G538" s="1">
        <v>5</v>
      </c>
      <c r="H538" t="str" cm="1">
        <f t="array" ref="H538">_xlfn.IFS(G538&lt;=15,"Junior",G538&lt;=30,"Mid level",G538&gt;30,"Lead")</f>
        <v>Junior</v>
      </c>
    </row>
    <row r="539" spans="1:8" x14ac:dyDescent="0.3">
      <c r="A539" s="7">
        <v>3955</v>
      </c>
      <c r="B539" t="str" cm="1">
        <f t="array" ref="B539">_xlfn.IFS(A539&lt;=8000,"low",A539&lt;15000,"medium",A539&gt;=15000,"high")</f>
        <v>low</v>
      </c>
      <c r="G539" s="2">
        <v>0</v>
      </c>
      <c r="H539" t="str" cm="1">
        <f t="array" ref="H539">_xlfn.IFS(G539&lt;=15,"Junior",G539&lt;=30,"Mid level",G539&gt;30,"Lead")</f>
        <v>Junior</v>
      </c>
    </row>
    <row r="540" spans="1:8" x14ac:dyDescent="0.3">
      <c r="A540" s="8">
        <v>3968</v>
      </c>
      <c r="B540" t="str" cm="1">
        <f t="array" ref="B540">_xlfn.IFS(A540&lt;=8000,"low",A540&lt;15000,"medium",A540&gt;=15000,"high")</f>
        <v>low</v>
      </c>
      <c r="G540" s="1">
        <v>8</v>
      </c>
      <c r="H540" t="str" cm="1">
        <f t="array" ref="H540">_xlfn.IFS(G540&lt;=15,"Junior",G540&lt;=30,"Mid level",G540&gt;30,"Lead")</f>
        <v>Junior</v>
      </c>
    </row>
    <row r="541" spans="1:8" x14ac:dyDescent="0.3">
      <c r="A541" s="7">
        <v>3975</v>
      </c>
      <c r="B541" t="str" cm="1">
        <f t="array" ref="B541">_xlfn.IFS(A541&lt;=8000,"low",A541&lt;15000,"medium",A541&gt;=15000,"high")</f>
        <v>low</v>
      </c>
      <c r="G541" s="2">
        <v>2</v>
      </c>
      <c r="H541" t="str" cm="1">
        <f t="array" ref="H541">_xlfn.IFS(G541&lt;=15,"Junior",G541&lt;=30,"Mid level",G541&gt;30,"Lead")</f>
        <v>Junior</v>
      </c>
    </row>
    <row r="542" spans="1:8" x14ac:dyDescent="0.3">
      <c r="A542" s="8">
        <v>3977</v>
      </c>
      <c r="B542" t="str" cm="1">
        <f t="array" ref="B542">_xlfn.IFS(A542&lt;=8000,"low",A542&lt;15000,"medium",A542&gt;=15000,"high")</f>
        <v>low</v>
      </c>
      <c r="G542" s="1">
        <v>2</v>
      </c>
      <c r="H542" t="str" cm="1">
        <f t="array" ref="H542">_xlfn.IFS(G542&lt;=15,"Junior",G542&lt;=30,"Mid level",G542&gt;30,"Lead")</f>
        <v>Junior</v>
      </c>
    </row>
    <row r="543" spans="1:8" x14ac:dyDescent="0.3">
      <c r="A543" s="7">
        <v>3978</v>
      </c>
      <c r="B543" t="str" cm="1">
        <f t="array" ref="B543">_xlfn.IFS(A543&lt;=8000,"low",A543&lt;15000,"medium",A543&gt;=15000,"high")</f>
        <v>low</v>
      </c>
      <c r="G543" s="2">
        <v>3</v>
      </c>
      <c r="H543" t="str" cm="1">
        <f t="array" ref="H543">_xlfn.IFS(G543&lt;=15,"Junior",G543&lt;=30,"Mid level",G543&gt;30,"Lead")</f>
        <v>Junior</v>
      </c>
    </row>
    <row r="544" spans="1:8" x14ac:dyDescent="0.3">
      <c r="A544" s="8">
        <v>3983</v>
      </c>
      <c r="B544" t="str" cm="1">
        <f t="array" ref="B544">_xlfn.IFS(A544&lt;=8000,"low",A544&lt;15000,"medium",A544&gt;=15000,"high")</f>
        <v>low</v>
      </c>
      <c r="G544" s="1">
        <v>15</v>
      </c>
      <c r="H544" t="str" cm="1">
        <f t="array" ref="H544">_xlfn.IFS(G544&lt;=15,"Junior",G544&lt;=30,"Mid level",G544&gt;30,"Lead")</f>
        <v>Junior</v>
      </c>
    </row>
    <row r="545" spans="1:8" x14ac:dyDescent="0.3">
      <c r="A545" s="7">
        <v>3986</v>
      </c>
      <c r="B545" t="str" cm="1">
        <f t="array" ref="B545">_xlfn.IFS(A545&lt;=8000,"low",A545&lt;15000,"medium",A545&gt;=15000,"high")</f>
        <v>low</v>
      </c>
      <c r="G545" s="2">
        <v>5</v>
      </c>
      <c r="H545" t="str" cm="1">
        <f t="array" ref="H545">_xlfn.IFS(G545&lt;=15,"Junior",G545&lt;=30,"Mid level",G545&gt;30,"Lead")</f>
        <v>Junior</v>
      </c>
    </row>
    <row r="546" spans="1:8" x14ac:dyDescent="0.3">
      <c r="A546" s="8">
        <v>3989</v>
      </c>
      <c r="B546" t="str" cm="1">
        <f t="array" ref="B546">_xlfn.IFS(A546&lt;=8000,"low",A546&lt;15000,"medium",A546&gt;=15000,"high")</f>
        <v>low</v>
      </c>
      <c r="G546" s="1">
        <v>6</v>
      </c>
      <c r="H546" t="str" cm="1">
        <f t="array" ref="H546">_xlfn.IFS(G546&lt;=15,"Junior",G546&lt;=30,"Mid level",G546&gt;30,"Lead")</f>
        <v>Junior</v>
      </c>
    </row>
    <row r="547" spans="1:8" x14ac:dyDescent="0.3">
      <c r="A547" s="7">
        <v>4000</v>
      </c>
      <c r="B547" t="str" cm="1">
        <f t="array" ref="B547">_xlfn.IFS(A547&lt;=8000,"low",A547&lt;15000,"medium",A547&gt;=15000,"high")</f>
        <v>low</v>
      </c>
      <c r="G547" s="2">
        <v>15</v>
      </c>
      <c r="H547" t="str" cm="1">
        <f t="array" ref="H547">_xlfn.IFS(G547&lt;=15,"Junior",G547&lt;=30,"Mid level",G547&gt;30,"Lead")</f>
        <v>Junior</v>
      </c>
    </row>
    <row r="548" spans="1:8" x14ac:dyDescent="0.3">
      <c r="A548" s="8">
        <v>4001</v>
      </c>
      <c r="B548" t="str" cm="1">
        <f t="array" ref="B548">_xlfn.IFS(A548&lt;=8000,"low",A548&lt;15000,"medium",A548&gt;=15000,"high")</f>
        <v>low</v>
      </c>
      <c r="G548" s="1">
        <v>4</v>
      </c>
      <c r="H548" t="str" cm="1">
        <f t="array" ref="H548">_xlfn.IFS(G548&lt;=15,"Junior",G548&lt;=30,"Mid level",G548&gt;30,"Lead")</f>
        <v>Junior</v>
      </c>
    </row>
    <row r="549" spans="1:8" x14ac:dyDescent="0.3">
      <c r="A549" s="7">
        <v>4011</v>
      </c>
      <c r="B549" t="str" cm="1">
        <f t="array" ref="B549">_xlfn.IFS(A549&lt;=8000,"low",A549&lt;15000,"medium",A549&gt;=15000,"high")</f>
        <v>low</v>
      </c>
      <c r="G549" s="2">
        <v>12</v>
      </c>
      <c r="H549" t="str" cm="1">
        <f t="array" ref="H549">_xlfn.IFS(G549&lt;=15,"Junior",G549&lt;=30,"Mid level",G549&gt;30,"Lead")</f>
        <v>Junior</v>
      </c>
    </row>
    <row r="550" spans="1:8" x14ac:dyDescent="0.3">
      <c r="A550" s="8">
        <v>4011</v>
      </c>
      <c r="B550" t="str" cm="1">
        <f t="array" ref="B550">_xlfn.IFS(A550&lt;=8000,"low",A550&lt;15000,"medium",A550&gt;=15000,"high")</f>
        <v>low</v>
      </c>
      <c r="G550" s="1">
        <v>2</v>
      </c>
      <c r="H550" t="str" cm="1">
        <f t="array" ref="H550">_xlfn.IFS(G550&lt;=15,"Junior",G550&lt;=30,"Mid level",G550&gt;30,"Lead")</f>
        <v>Junior</v>
      </c>
    </row>
    <row r="551" spans="1:8" x14ac:dyDescent="0.3">
      <c r="A551" s="7">
        <v>4014</v>
      </c>
      <c r="B551" t="str" cm="1">
        <f t="array" ref="B551">_xlfn.IFS(A551&lt;=8000,"low",A551&lt;15000,"medium",A551&gt;=15000,"high")</f>
        <v>low</v>
      </c>
      <c r="G551" s="2">
        <v>10</v>
      </c>
      <c r="H551" t="str" cm="1">
        <f t="array" ref="H551">_xlfn.IFS(G551&lt;=15,"Junior",G551&lt;=30,"Mid level",G551&gt;30,"Lead")</f>
        <v>Junior</v>
      </c>
    </row>
    <row r="552" spans="1:8" x14ac:dyDescent="0.3">
      <c r="A552" s="8">
        <v>4014</v>
      </c>
      <c r="B552" t="str" cm="1">
        <f t="array" ref="B552">_xlfn.IFS(A552&lt;=8000,"low",A552&lt;15000,"medium",A552&gt;=15000,"high")</f>
        <v>low</v>
      </c>
      <c r="G552" s="1">
        <v>8</v>
      </c>
      <c r="H552" t="str" cm="1">
        <f t="array" ref="H552">_xlfn.IFS(G552&lt;=15,"Junior",G552&lt;=30,"Mid level",G552&gt;30,"Lead")</f>
        <v>Junior</v>
      </c>
    </row>
    <row r="553" spans="1:8" x14ac:dyDescent="0.3">
      <c r="A553" s="7">
        <v>4025</v>
      </c>
      <c r="B553" t="str" cm="1">
        <f t="array" ref="B553">_xlfn.IFS(A553&lt;=8000,"low",A553&lt;15000,"medium",A553&gt;=15000,"high")</f>
        <v>low</v>
      </c>
      <c r="G553" s="2">
        <v>4</v>
      </c>
      <c r="H553" t="str" cm="1">
        <f t="array" ref="H553">_xlfn.IFS(G553&lt;=15,"Junior",G553&lt;=30,"Mid level",G553&gt;30,"Lead")</f>
        <v>Junior</v>
      </c>
    </row>
    <row r="554" spans="1:8" x14ac:dyDescent="0.3">
      <c r="A554" s="8">
        <v>4025</v>
      </c>
      <c r="B554" t="str" cm="1">
        <f t="array" ref="B554">_xlfn.IFS(A554&lt;=8000,"low",A554&lt;15000,"medium",A554&gt;=15000,"high")</f>
        <v>low</v>
      </c>
      <c r="G554" s="1">
        <v>7</v>
      </c>
      <c r="H554" t="str" cm="1">
        <f t="array" ref="H554">_xlfn.IFS(G554&lt;=15,"Junior",G554&lt;=30,"Mid level",G554&gt;30,"Lead")</f>
        <v>Junior</v>
      </c>
    </row>
    <row r="555" spans="1:8" x14ac:dyDescent="0.3">
      <c r="A555" s="7">
        <v>4028</v>
      </c>
      <c r="B555" t="str" cm="1">
        <f t="array" ref="B555">_xlfn.IFS(A555&lt;=8000,"low",A555&lt;15000,"medium",A555&gt;=15000,"high")</f>
        <v>low</v>
      </c>
      <c r="G555" s="2">
        <v>2</v>
      </c>
      <c r="H555" t="str" cm="1">
        <f t="array" ref="H555">_xlfn.IFS(G555&lt;=15,"Junior",G555&lt;=30,"Mid level",G555&gt;30,"Lead")</f>
        <v>Junior</v>
      </c>
    </row>
    <row r="556" spans="1:8" x14ac:dyDescent="0.3">
      <c r="A556" s="8">
        <v>4031</v>
      </c>
      <c r="B556" t="str" cm="1">
        <f t="array" ref="B556">_xlfn.IFS(A556&lt;=8000,"low",A556&lt;15000,"medium",A556&gt;=15000,"high")</f>
        <v>low</v>
      </c>
      <c r="G556" s="1">
        <v>3</v>
      </c>
      <c r="H556" t="str" cm="1">
        <f t="array" ref="H556">_xlfn.IFS(G556&lt;=15,"Junior",G556&lt;=30,"Mid level",G556&gt;30,"Lead")</f>
        <v>Junior</v>
      </c>
    </row>
    <row r="557" spans="1:8" x14ac:dyDescent="0.3">
      <c r="A557" s="7">
        <v>4033</v>
      </c>
      <c r="B557" t="str" cm="1">
        <f t="array" ref="B557">_xlfn.IFS(A557&lt;=8000,"low",A557&lt;15000,"medium",A557&gt;=15000,"high")</f>
        <v>low</v>
      </c>
      <c r="G557" s="2">
        <v>3</v>
      </c>
      <c r="H557" t="str" cm="1">
        <f t="array" ref="H557">_xlfn.IFS(G557&lt;=15,"Junior",G557&lt;=30,"Mid level",G557&gt;30,"Lead")</f>
        <v>Junior</v>
      </c>
    </row>
    <row r="558" spans="1:8" x14ac:dyDescent="0.3">
      <c r="A558" s="8">
        <v>4035</v>
      </c>
      <c r="B558" t="str" cm="1">
        <f t="array" ref="B558">_xlfn.IFS(A558&lt;=8000,"low",A558&lt;15000,"medium",A558&gt;=15000,"high")</f>
        <v>low</v>
      </c>
      <c r="G558" s="1">
        <v>9</v>
      </c>
      <c r="H558" t="str" cm="1">
        <f t="array" ref="H558">_xlfn.IFS(G558&lt;=15,"Junior",G558&lt;=30,"Mid level",G558&gt;30,"Lead")</f>
        <v>Junior</v>
      </c>
    </row>
    <row r="559" spans="1:8" x14ac:dyDescent="0.3">
      <c r="A559" s="7">
        <v>4037</v>
      </c>
      <c r="B559" t="str" cm="1">
        <f t="array" ref="B559">_xlfn.IFS(A559&lt;=8000,"low",A559&lt;15000,"medium",A559&gt;=15000,"high")</f>
        <v>low</v>
      </c>
      <c r="G559" s="2">
        <v>9</v>
      </c>
      <c r="H559" t="str" cm="1">
        <f t="array" ref="H559">_xlfn.IFS(G559&lt;=15,"Junior",G559&lt;=30,"Mid level",G559&gt;30,"Lead")</f>
        <v>Junior</v>
      </c>
    </row>
    <row r="560" spans="1:8" x14ac:dyDescent="0.3">
      <c r="A560" s="8">
        <v>4051</v>
      </c>
      <c r="B560" t="str" cm="1">
        <f t="array" ref="B560">_xlfn.IFS(A560&lt;=8000,"low",A560&lt;15000,"medium",A560&gt;=15000,"high")</f>
        <v>low</v>
      </c>
      <c r="G560" s="1">
        <v>7</v>
      </c>
      <c r="H560" t="str" cm="1">
        <f t="array" ref="H560">_xlfn.IFS(G560&lt;=15,"Junior",G560&lt;=30,"Mid level",G560&gt;30,"Lead")</f>
        <v>Junior</v>
      </c>
    </row>
    <row r="561" spans="1:8" x14ac:dyDescent="0.3">
      <c r="A561" s="7">
        <v>4066</v>
      </c>
      <c r="B561" t="str" cm="1">
        <f t="array" ref="B561">_xlfn.IFS(A561&lt;=8000,"low",A561&lt;15000,"medium",A561&gt;=15000,"high")</f>
        <v>low</v>
      </c>
      <c r="G561" s="2">
        <v>2</v>
      </c>
      <c r="H561" t="str" cm="1">
        <f t="array" ref="H561">_xlfn.IFS(G561&lt;=15,"Junior",G561&lt;=30,"Mid level",G561&gt;30,"Lead")</f>
        <v>Junior</v>
      </c>
    </row>
    <row r="562" spans="1:8" x14ac:dyDescent="0.3">
      <c r="A562" s="8">
        <v>4069</v>
      </c>
      <c r="B562" t="str" cm="1">
        <f t="array" ref="B562">_xlfn.IFS(A562&lt;=8000,"low",A562&lt;15000,"medium",A562&gt;=15000,"high")</f>
        <v>low</v>
      </c>
      <c r="G562" s="1">
        <v>10</v>
      </c>
      <c r="H562" t="str" cm="1">
        <f t="array" ref="H562">_xlfn.IFS(G562&lt;=15,"Junior",G562&lt;=30,"Mid level",G562&gt;30,"Lead")</f>
        <v>Junior</v>
      </c>
    </row>
    <row r="563" spans="1:8" x14ac:dyDescent="0.3">
      <c r="A563" s="7">
        <v>4071</v>
      </c>
      <c r="B563" t="str" cm="1">
        <f t="array" ref="B563">_xlfn.IFS(A563&lt;=8000,"low",A563&lt;15000,"medium",A563&gt;=15000,"high")</f>
        <v>low</v>
      </c>
      <c r="G563" s="2">
        <v>3</v>
      </c>
      <c r="H563" t="str" cm="1">
        <f t="array" ref="H563">_xlfn.IFS(G563&lt;=15,"Junior",G563&lt;=30,"Mid level",G563&gt;30,"Lead")</f>
        <v>Junior</v>
      </c>
    </row>
    <row r="564" spans="1:8" x14ac:dyDescent="0.3">
      <c r="A564" s="8">
        <v>4078</v>
      </c>
      <c r="B564" t="str" cm="1">
        <f t="array" ref="B564">_xlfn.IFS(A564&lt;=8000,"low",A564&lt;15000,"medium",A564&gt;=15000,"high")</f>
        <v>low</v>
      </c>
      <c r="G564" s="1">
        <v>20</v>
      </c>
      <c r="H564" t="str" cm="1">
        <f t="array" ref="H564">_xlfn.IFS(G564&lt;=15,"Junior",G564&lt;=30,"Mid level",G564&gt;30,"Lead")</f>
        <v>Mid level</v>
      </c>
    </row>
    <row r="565" spans="1:8" x14ac:dyDescent="0.3">
      <c r="A565" s="7">
        <v>4081</v>
      </c>
      <c r="B565" t="str" cm="1">
        <f t="array" ref="B565">_xlfn.IFS(A565&lt;=8000,"low",A565&lt;15000,"medium",A565&gt;=15000,"high")</f>
        <v>low</v>
      </c>
      <c r="G565" s="2">
        <v>7</v>
      </c>
      <c r="H565" t="str" cm="1">
        <f t="array" ref="H565">_xlfn.IFS(G565&lt;=15,"Junior",G565&lt;=30,"Mid level",G565&gt;30,"Lead")</f>
        <v>Junior</v>
      </c>
    </row>
    <row r="566" spans="1:8" x14ac:dyDescent="0.3">
      <c r="A566" s="8">
        <v>4084</v>
      </c>
      <c r="B566" t="str" cm="1">
        <f t="array" ref="B566">_xlfn.IFS(A566&lt;=8000,"low",A566&lt;15000,"medium",A566&gt;=15000,"high")</f>
        <v>low</v>
      </c>
      <c r="G566" s="1">
        <v>6</v>
      </c>
      <c r="H566" t="str" cm="1">
        <f t="array" ref="H566">_xlfn.IFS(G566&lt;=15,"Junior",G566&lt;=30,"Mid level",G566&gt;30,"Lead")</f>
        <v>Junior</v>
      </c>
    </row>
    <row r="567" spans="1:8" x14ac:dyDescent="0.3">
      <c r="A567" s="7">
        <v>4087</v>
      </c>
      <c r="B567" t="str" cm="1">
        <f t="array" ref="B567">_xlfn.IFS(A567&lt;=8000,"low",A567&lt;15000,"medium",A567&gt;=15000,"high")</f>
        <v>low</v>
      </c>
      <c r="G567" s="2">
        <v>10</v>
      </c>
      <c r="H567" t="str" cm="1">
        <f t="array" ref="H567">_xlfn.IFS(G567&lt;=15,"Junior",G567&lt;=30,"Mid level",G567&gt;30,"Lead")</f>
        <v>Junior</v>
      </c>
    </row>
    <row r="568" spans="1:8" x14ac:dyDescent="0.3">
      <c r="A568" s="8">
        <v>4089</v>
      </c>
      <c r="B568" t="str" cm="1">
        <f t="array" ref="B568">_xlfn.IFS(A568&lt;=8000,"low",A568&lt;15000,"medium",A568&gt;=15000,"high")</f>
        <v>low</v>
      </c>
      <c r="G568" s="1">
        <v>9</v>
      </c>
      <c r="H568" t="str" cm="1">
        <f t="array" ref="H568">_xlfn.IFS(G568&lt;=15,"Junior",G568&lt;=30,"Mid level",G568&gt;30,"Lead")</f>
        <v>Junior</v>
      </c>
    </row>
    <row r="569" spans="1:8" x14ac:dyDescent="0.3">
      <c r="A569" s="7">
        <v>4103</v>
      </c>
      <c r="B569" t="str" cm="1">
        <f t="array" ref="B569">_xlfn.IFS(A569&lt;=8000,"low",A569&lt;15000,"medium",A569&gt;=15000,"high")</f>
        <v>low</v>
      </c>
      <c r="G569" s="2">
        <v>7</v>
      </c>
      <c r="H569" t="str" cm="1">
        <f t="array" ref="H569">_xlfn.IFS(G569&lt;=15,"Junior",G569&lt;=30,"Mid level",G569&gt;30,"Lead")</f>
        <v>Junior</v>
      </c>
    </row>
    <row r="570" spans="1:8" x14ac:dyDescent="0.3">
      <c r="A570" s="8">
        <v>4105</v>
      </c>
      <c r="B570" t="str" cm="1">
        <f t="array" ref="B570">_xlfn.IFS(A570&lt;=8000,"low",A570&lt;15000,"medium",A570&gt;=15000,"high")</f>
        <v>low</v>
      </c>
      <c r="G570" s="1">
        <v>4</v>
      </c>
      <c r="H570" t="str" cm="1">
        <f t="array" ref="H570">_xlfn.IFS(G570&lt;=15,"Junior",G570&lt;=30,"Mid level",G570&gt;30,"Lead")</f>
        <v>Junior</v>
      </c>
    </row>
    <row r="571" spans="1:8" x14ac:dyDescent="0.3">
      <c r="A571" s="7">
        <v>4107</v>
      </c>
      <c r="B571" t="str" cm="1">
        <f t="array" ref="B571">_xlfn.IFS(A571&lt;=8000,"low",A571&lt;15000,"medium",A571&gt;=15000,"high")</f>
        <v>low</v>
      </c>
      <c r="G571" s="2">
        <v>7</v>
      </c>
      <c r="H571" t="str" cm="1">
        <f t="array" ref="H571">_xlfn.IFS(G571&lt;=15,"Junior",G571&lt;=30,"Mid level",G571&gt;30,"Lead")</f>
        <v>Junior</v>
      </c>
    </row>
    <row r="572" spans="1:8" x14ac:dyDescent="0.3">
      <c r="A572" s="8">
        <v>4108</v>
      </c>
      <c r="B572" t="str" cm="1">
        <f t="array" ref="B572">_xlfn.IFS(A572&lt;=8000,"low",A572&lt;15000,"medium",A572&gt;=15000,"high")</f>
        <v>low</v>
      </c>
      <c r="G572" s="1">
        <v>4</v>
      </c>
      <c r="H572" t="str" cm="1">
        <f t="array" ref="H572">_xlfn.IFS(G572&lt;=15,"Junior",G572&lt;=30,"Mid level",G572&gt;30,"Lead")</f>
        <v>Junior</v>
      </c>
    </row>
    <row r="573" spans="1:8" x14ac:dyDescent="0.3">
      <c r="A573" s="7">
        <v>4115</v>
      </c>
      <c r="B573" t="str" cm="1">
        <f t="array" ref="B573">_xlfn.IFS(A573&lt;=8000,"low",A573&lt;15000,"medium",A573&gt;=15000,"high")</f>
        <v>low</v>
      </c>
      <c r="G573" s="2">
        <v>2</v>
      </c>
      <c r="H573" t="str" cm="1">
        <f t="array" ref="H573">_xlfn.IFS(G573&lt;=15,"Junior",G573&lt;=30,"Mid level",G573&gt;30,"Lead")</f>
        <v>Junior</v>
      </c>
    </row>
    <row r="574" spans="1:8" x14ac:dyDescent="0.3">
      <c r="A574" s="8">
        <v>4127</v>
      </c>
      <c r="B574" t="str" cm="1">
        <f t="array" ref="B574">_xlfn.IFS(A574&lt;=8000,"low",A574&lt;15000,"medium",A574&gt;=15000,"high")</f>
        <v>low</v>
      </c>
      <c r="G574" s="1">
        <v>4</v>
      </c>
      <c r="H574" t="str" cm="1">
        <f t="array" ref="H574">_xlfn.IFS(G574&lt;=15,"Junior",G574&lt;=30,"Mid level",G574&gt;30,"Lead")</f>
        <v>Junior</v>
      </c>
    </row>
    <row r="575" spans="1:8" x14ac:dyDescent="0.3">
      <c r="A575" s="7">
        <v>4148</v>
      </c>
      <c r="B575" t="str" cm="1">
        <f t="array" ref="B575">_xlfn.IFS(A575&lt;=8000,"low",A575&lt;15000,"medium",A575&gt;=15000,"high")</f>
        <v>low</v>
      </c>
      <c r="G575" s="2">
        <v>14</v>
      </c>
      <c r="H575" t="str" cm="1">
        <f t="array" ref="H575">_xlfn.IFS(G575&lt;=15,"Junior",G575&lt;=30,"Mid level",G575&gt;30,"Lead")</f>
        <v>Junior</v>
      </c>
    </row>
    <row r="576" spans="1:8" x14ac:dyDescent="0.3">
      <c r="A576" s="8">
        <v>4148</v>
      </c>
      <c r="B576" t="str" cm="1">
        <f t="array" ref="B576">_xlfn.IFS(A576&lt;=8000,"low",A576&lt;15000,"medium",A576&gt;=15000,"high")</f>
        <v>low</v>
      </c>
      <c r="G576" s="1">
        <v>11</v>
      </c>
      <c r="H576" t="str" cm="1">
        <f t="array" ref="H576">_xlfn.IFS(G576&lt;=15,"Junior",G576&lt;=30,"Mid level",G576&gt;30,"Lead")</f>
        <v>Junior</v>
      </c>
    </row>
    <row r="577" spans="1:8" x14ac:dyDescent="0.3">
      <c r="A577" s="7">
        <v>4152</v>
      </c>
      <c r="B577" t="str" cm="1">
        <f t="array" ref="B577">_xlfn.IFS(A577&lt;=8000,"low",A577&lt;15000,"medium",A577&gt;=15000,"high")</f>
        <v>low</v>
      </c>
      <c r="G577" s="2">
        <v>2</v>
      </c>
      <c r="H577" t="str" cm="1">
        <f t="array" ref="H577">_xlfn.IFS(G577&lt;=15,"Junior",G577&lt;=30,"Mid level",G577&gt;30,"Lead")</f>
        <v>Junior</v>
      </c>
    </row>
    <row r="578" spans="1:8" x14ac:dyDescent="0.3">
      <c r="A578" s="8">
        <v>4157</v>
      </c>
      <c r="B578" t="str" cm="1">
        <f t="array" ref="B578">_xlfn.IFS(A578&lt;=8000,"low",A578&lt;15000,"medium",A578&gt;=15000,"high")</f>
        <v>low</v>
      </c>
      <c r="G578" s="1">
        <v>5</v>
      </c>
      <c r="H578" t="str" cm="1">
        <f t="array" ref="H578">_xlfn.IFS(G578&lt;=15,"Junior",G578&lt;=30,"Mid level",G578&gt;30,"Lead")</f>
        <v>Junior</v>
      </c>
    </row>
    <row r="579" spans="1:8" x14ac:dyDescent="0.3">
      <c r="A579" s="7">
        <v>4162</v>
      </c>
      <c r="B579" t="str" cm="1">
        <f t="array" ref="B579">_xlfn.IFS(A579&lt;=8000,"low",A579&lt;15000,"medium",A579&gt;=15000,"high")</f>
        <v>low</v>
      </c>
      <c r="G579" s="2">
        <v>9</v>
      </c>
      <c r="H579" t="str" cm="1">
        <f t="array" ref="H579">_xlfn.IFS(G579&lt;=15,"Junior",G579&lt;=30,"Mid level",G579&gt;30,"Lead")</f>
        <v>Junior</v>
      </c>
    </row>
    <row r="580" spans="1:8" x14ac:dyDescent="0.3">
      <c r="A580" s="8">
        <v>4163</v>
      </c>
      <c r="B580" t="str" cm="1">
        <f t="array" ref="B580">_xlfn.IFS(A580&lt;=8000,"low",A580&lt;15000,"medium",A580&gt;=15000,"high")</f>
        <v>low</v>
      </c>
      <c r="G580" s="1">
        <v>3</v>
      </c>
      <c r="H580" t="str" cm="1">
        <f t="array" ref="H580">_xlfn.IFS(G580&lt;=15,"Junior",G580&lt;=30,"Mid level",G580&gt;30,"Lead")</f>
        <v>Junior</v>
      </c>
    </row>
    <row r="581" spans="1:8" x14ac:dyDescent="0.3">
      <c r="A581" s="7">
        <v>4171</v>
      </c>
      <c r="B581" t="str" cm="1">
        <f t="array" ref="B581">_xlfn.IFS(A581&lt;=8000,"low",A581&lt;15000,"medium",A581&gt;=15000,"high")</f>
        <v>low</v>
      </c>
      <c r="G581" s="2">
        <v>10</v>
      </c>
      <c r="H581" t="str" cm="1">
        <f t="array" ref="H581">_xlfn.IFS(G581&lt;=15,"Junior",G581&lt;=30,"Mid level",G581&gt;30,"Lead")</f>
        <v>Junior</v>
      </c>
    </row>
    <row r="582" spans="1:8" x14ac:dyDescent="0.3">
      <c r="A582" s="8">
        <v>4187</v>
      </c>
      <c r="B582" t="str" cm="1">
        <f t="array" ref="B582">_xlfn.IFS(A582&lt;=8000,"low",A582&lt;15000,"medium",A582&gt;=15000,"high")</f>
        <v>low</v>
      </c>
      <c r="G582" s="1">
        <v>5</v>
      </c>
      <c r="H582" t="str" cm="1">
        <f t="array" ref="H582">_xlfn.IFS(G582&lt;=15,"Junior",G582&lt;=30,"Mid level",G582&gt;30,"Lead")</f>
        <v>Junior</v>
      </c>
    </row>
    <row r="583" spans="1:8" x14ac:dyDescent="0.3">
      <c r="A583" s="7">
        <v>4189</v>
      </c>
      <c r="B583" t="str" cm="1">
        <f t="array" ref="B583">_xlfn.IFS(A583&lt;=8000,"low",A583&lt;15000,"medium",A583&gt;=15000,"high")</f>
        <v>low</v>
      </c>
      <c r="G583" s="2">
        <v>9</v>
      </c>
      <c r="H583" t="str" cm="1">
        <f t="array" ref="H583">_xlfn.IFS(G583&lt;=15,"Junior",G583&lt;=30,"Mid level",G583&gt;30,"Lead")</f>
        <v>Junior</v>
      </c>
    </row>
    <row r="584" spans="1:8" x14ac:dyDescent="0.3">
      <c r="A584" s="8">
        <v>4193</v>
      </c>
      <c r="B584" t="str" cm="1">
        <f t="array" ref="B584">_xlfn.IFS(A584&lt;=8000,"low",A584&lt;15000,"medium",A584&gt;=15000,"high")</f>
        <v>low</v>
      </c>
      <c r="G584" s="1">
        <v>5</v>
      </c>
      <c r="H584" t="str" cm="1">
        <f t="array" ref="H584">_xlfn.IFS(G584&lt;=15,"Junior",G584&lt;=30,"Mid level",G584&gt;30,"Lead")</f>
        <v>Junior</v>
      </c>
    </row>
    <row r="585" spans="1:8" x14ac:dyDescent="0.3">
      <c r="A585" s="7">
        <v>4194</v>
      </c>
      <c r="B585" t="str" cm="1">
        <f t="array" ref="B585">_xlfn.IFS(A585&lt;=8000,"low",A585&lt;15000,"medium",A585&gt;=15000,"high")</f>
        <v>low</v>
      </c>
      <c r="G585" s="2">
        <v>1</v>
      </c>
      <c r="H585" t="str" cm="1">
        <f t="array" ref="H585">_xlfn.IFS(G585&lt;=15,"Junior",G585&lt;=30,"Mid level",G585&gt;30,"Lead")</f>
        <v>Junior</v>
      </c>
    </row>
    <row r="586" spans="1:8" x14ac:dyDescent="0.3">
      <c r="A586" s="8">
        <v>4197</v>
      </c>
      <c r="B586" t="str" cm="1">
        <f t="array" ref="B586">_xlfn.IFS(A586&lt;=8000,"low",A586&lt;15000,"medium",A586&gt;=15000,"high")</f>
        <v>low</v>
      </c>
      <c r="G586" s="1">
        <v>10</v>
      </c>
      <c r="H586" t="str" cm="1">
        <f t="array" ref="H586">_xlfn.IFS(G586&lt;=15,"Junior",G586&lt;=30,"Mid level",G586&gt;30,"Lead")</f>
        <v>Junior</v>
      </c>
    </row>
    <row r="587" spans="1:8" x14ac:dyDescent="0.3">
      <c r="A587" s="7">
        <v>4197</v>
      </c>
      <c r="B587" t="str" cm="1">
        <f t="array" ref="B587">_xlfn.IFS(A587&lt;=8000,"low",A587&lt;15000,"medium",A587&gt;=15000,"high")</f>
        <v>low</v>
      </c>
      <c r="G587" s="2">
        <v>3</v>
      </c>
      <c r="H587" t="str" cm="1">
        <f t="array" ref="H587">_xlfn.IFS(G587&lt;=15,"Junior",G587&lt;=30,"Mid level",G587&gt;30,"Lead")</f>
        <v>Junior</v>
      </c>
    </row>
    <row r="588" spans="1:8" x14ac:dyDescent="0.3">
      <c r="A588" s="8">
        <v>4198</v>
      </c>
      <c r="B588" t="str" cm="1">
        <f t="array" ref="B588">_xlfn.IFS(A588&lt;=8000,"low",A588&lt;15000,"medium",A588&gt;=15000,"high")</f>
        <v>low</v>
      </c>
      <c r="G588" s="1">
        <v>5</v>
      </c>
      <c r="H588" t="str" cm="1">
        <f t="array" ref="H588">_xlfn.IFS(G588&lt;=15,"Junior",G588&lt;=30,"Mid level",G588&gt;30,"Lead")</f>
        <v>Junior</v>
      </c>
    </row>
    <row r="589" spans="1:8" x14ac:dyDescent="0.3">
      <c r="A589" s="7">
        <v>4200</v>
      </c>
      <c r="B589" t="str" cm="1">
        <f t="array" ref="B589">_xlfn.IFS(A589&lt;=8000,"low",A589&lt;15000,"medium",A589&gt;=15000,"high")</f>
        <v>low</v>
      </c>
      <c r="G589" s="2">
        <v>10</v>
      </c>
      <c r="H589" t="str" cm="1">
        <f t="array" ref="H589">_xlfn.IFS(G589&lt;=15,"Junior",G589&lt;=30,"Mid level",G589&gt;30,"Lead")</f>
        <v>Junior</v>
      </c>
    </row>
    <row r="590" spans="1:8" x14ac:dyDescent="0.3">
      <c r="A590" s="8">
        <v>4213</v>
      </c>
      <c r="B590" t="str" cm="1">
        <f t="array" ref="B590">_xlfn.IFS(A590&lt;=8000,"low",A590&lt;15000,"medium",A590&gt;=15000,"high")</f>
        <v>low</v>
      </c>
      <c r="G590" s="1">
        <v>5</v>
      </c>
      <c r="H590" t="str" cm="1">
        <f t="array" ref="H590">_xlfn.IFS(G590&lt;=15,"Junior",G590&lt;=30,"Mid level",G590&gt;30,"Lead")</f>
        <v>Junior</v>
      </c>
    </row>
    <row r="591" spans="1:8" x14ac:dyDescent="0.3">
      <c r="A591" s="7">
        <v>4221</v>
      </c>
      <c r="B591" t="str" cm="1">
        <f t="array" ref="B591">_xlfn.IFS(A591&lt;=8000,"low",A591&lt;15000,"medium",A591&gt;=15000,"high")</f>
        <v>low</v>
      </c>
      <c r="G591" s="2">
        <v>3</v>
      </c>
      <c r="H591" t="str" cm="1">
        <f t="array" ref="H591">_xlfn.IFS(G591&lt;=15,"Junior",G591&lt;=30,"Mid level",G591&gt;30,"Lead")</f>
        <v>Junior</v>
      </c>
    </row>
    <row r="592" spans="1:8" x14ac:dyDescent="0.3">
      <c r="A592" s="8">
        <v>4227</v>
      </c>
      <c r="B592" t="str" cm="1">
        <f t="array" ref="B592">_xlfn.IFS(A592&lt;=8000,"low",A592&lt;15000,"medium",A592&gt;=15000,"high")</f>
        <v>low</v>
      </c>
      <c r="G592" s="1">
        <v>5</v>
      </c>
      <c r="H592" t="str" cm="1">
        <f t="array" ref="H592">_xlfn.IFS(G592&lt;=15,"Junior",G592&lt;=30,"Mid level",G592&gt;30,"Lead")</f>
        <v>Junior</v>
      </c>
    </row>
    <row r="593" spans="1:8" x14ac:dyDescent="0.3">
      <c r="A593" s="7">
        <v>4230</v>
      </c>
      <c r="B593" t="str" cm="1">
        <f t="array" ref="B593">_xlfn.IFS(A593&lt;=8000,"low",A593&lt;15000,"medium",A593&gt;=15000,"high")</f>
        <v>low</v>
      </c>
      <c r="G593" s="2">
        <v>3</v>
      </c>
      <c r="H593" t="str" cm="1">
        <f t="array" ref="H593">_xlfn.IFS(G593&lt;=15,"Junior",G593&lt;=30,"Mid level",G593&gt;30,"Lead")</f>
        <v>Junior</v>
      </c>
    </row>
    <row r="594" spans="1:8" x14ac:dyDescent="0.3">
      <c r="A594" s="8">
        <v>4233</v>
      </c>
      <c r="B594" t="str" cm="1">
        <f t="array" ref="B594">_xlfn.IFS(A594&lt;=8000,"low",A594&lt;15000,"medium",A594&gt;=15000,"high")</f>
        <v>low</v>
      </c>
      <c r="G594" s="1">
        <v>2</v>
      </c>
      <c r="H594" t="str" cm="1">
        <f t="array" ref="H594">_xlfn.IFS(G594&lt;=15,"Junior",G594&lt;=30,"Mid level",G594&gt;30,"Lead")</f>
        <v>Junior</v>
      </c>
    </row>
    <row r="595" spans="1:8" x14ac:dyDescent="0.3">
      <c r="A595" s="7">
        <v>4240</v>
      </c>
      <c r="B595" t="str" cm="1">
        <f t="array" ref="B595">_xlfn.IFS(A595&lt;=8000,"low",A595&lt;15000,"medium",A595&gt;=15000,"high")</f>
        <v>low</v>
      </c>
      <c r="G595" s="2">
        <v>8</v>
      </c>
      <c r="H595" t="str" cm="1">
        <f t="array" ref="H595">_xlfn.IFS(G595&lt;=15,"Junior",G595&lt;=30,"Mid level",G595&gt;30,"Lead")</f>
        <v>Junior</v>
      </c>
    </row>
    <row r="596" spans="1:8" x14ac:dyDescent="0.3">
      <c r="A596" s="8">
        <v>4244</v>
      </c>
      <c r="B596" t="str" cm="1">
        <f t="array" ref="B596">_xlfn.IFS(A596&lt;=8000,"low",A596&lt;15000,"medium",A596&gt;=15000,"high")</f>
        <v>low</v>
      </c>
      <c r="G596" s="1">
        <v>9</v>
      </c>
      <c r="H596" t="str" cm="1">
        <f t="array" ref="H596">_xlfn.IFS(G596&lt;=15,"Junior",G596&lt;=30,"Mid level",G596&gt;30,"Lead")</f>
        <v>Junior</v>
      </c>
    </row>
    <row r="597" spans="1:8" x14ac:dyDescent="0.3">
      <c r="A597" s="7">
        <v>4249</v>
      </c>
      <c r="B597" t="str" cm="1">
        <f t="array" ref="B597">_xlfn.IFS(A597&lt;=8000,"low",A597&lt;15000,"medium",A597&gt;=15000,"high")</f>
        <v>low</v>
      </c>
      <c r="G597" s="2">
        <v>5</v>
      </c>
      <c r="H597" t="str" cm="1">
        <f t="array" ref="H597">_xlfn.IFS(G597&lt;=15,"Junior",G597&lt;=30,"Mid level",G597&gt;30,"Lead")</f>
        <v>Junior</v>
      </c>
    </row>
    <row r="598" spans="1:8" x14ac:dyDescent="0.3">
      <c r="A598" s="8">
        <v>4256</v>
      </c>
      <c r="B598" t="str" cm="1">
        <f t="array" ref="B598">_xlfn.IFS(A598&lt;=8000,"low",A598&lt;15000,"medium",A598&gt;=15000,"high")</f>
        <v>low</v>
      </c>
      <c r="G598" s="1">
        <v>2</v>
      </c>
      <c r="H598" t="str" cm="1">
        <f t="array" ref="H598">_xlfn.IFS(G598&lt;=15,"Junior",G598&lt;=30,"Mid level",G598&gt;30,"Lead")</f>
        <v>Junior</v>
      </c>
    </row>
    <row r="599" spans="1:8" x14ac:dyDescent="0.3">
      <c r="A599" s="7">
        <v>4257</v>
      </c>
      <c r="B599" t="str" cm="1">
        <f t="array" ref="B599">_xlfn.IFS(A599&lt;=8000,"low",A599&lt;15000,"medium",A599&gt;=15000,"high")</f>
        <v>low</v>
      </c>
      <c r="G599" s="2">
        <v>4</v>
      </c>
      <c r="H599" t="str" cm="1">
        <f t="array" ref="H599">_xlfn.IFS(G599&lt;=15,"Junior",G599&lt;=30,"Mid level",G599&gt;30,"Lead")</f>
        <v>Junior</v>
      </c>
    </row>
    <row r="600" spans="1:8" x14ac:dyDescent="0.3">
      <c r="A600" s="8">
        <v>4258</v>
      </c>
      <c r="B600" t="str" cm="1">
        <f t="array" ref="B600">_xlfn.IFS(A600&lt;=8000,"low",A600&lt;15000,"medium",A600&gt;=15000,"high")</f>
        <v>low</v>
      </c>
      <c r="G600" s="1">
        <v>5</v>
      </c>
      <c r="H600" t="str" cm="1">
        <f t="array" ref="H600">_xlfn.IFS(G600&lt;=15,"Junior",G600&lt;=30,"Mid level",G600&gt;30,"Lead")</f>
        <v>Junior</v>
      </c>
    </row>
    <row r="601" spans="1:8" x14ac:dyDescent="0.3">
      <c r="A601" s="7">
        <v>4260</v>
      </c>
      <c r="B601" t="str" cm="1">
        <f t="array" ref="B601">_xlfn.IFS(A601&lt;=8000,"low",A601&lt;15000,"medium",A601&gt;=15000,"high")</f>
        <v>low</v>
      </c>
      <c r="G601" s="2">
        <v>3</v>
      </c>
      <c r="H601" t="str" cm="1">
        <f t="array" ref="H601">_xlfn.IFS(G601&lt;=15,"Junior",G601&lt;=30,"Mid level",G601&gt;30,"Lead")</f>
        <v>Junior</v>
      </c>
    </row>
    <row r="602" spans="1:8" x14ac:dyDescent="0.3">
      <c r="A602" s="8">
        <v>4262</v>
      </c>
      <c r="B602" t="str" cm="1">
        <f t="array" ref="B602">_xlfn.IFS(A602&lt;=8000,"low",A602&lt;15000,"medium",A602&gt;=15000,"high")</f>
        <v>low</v>
      </c>
      <c r="G602" s="1">
        <v>1</v>
      </c>
      <c r="H602" t="str" cm="1">
        <f t="array" ref="H602">_xlfn.IFS(G602&lt;=15,"Junior",G602&lt;=30,"Mid level",G602&gt;30,"Lead")</f>
        <v>Junior</v>
      </c>
    </row>
    <row r="603" spans="1:8" x14ac:dyDescent="0.3">
      <c r="A603" s="7">
        <v>4272</v>
      </c>
      <c r="B603" t="str" cm="1">
        <f t="array" ref="B603">_xlfn.IFS(A603&lt;=8000,"low",A603&lt;15000,"medium",A603&gt;=15000,"high")</f>
        <v>low</v>
      </c>
      <c r="G603" s="2">
        <v>4</v>
      </c>
      <c r="H603" t="str" cm="1">
        <f t="array" ref="H603">_xlfn.IFS(G603&lt;=15,"Junior",G603&lt;=30,"Mid level",G603&gt;30,"Lead")</f>
        <v>Junior</v>
      </c>
    </row>
    <row r="604" spans="1:8" x14ac:dyDescent="0.3">
      <c r="A604" s="8">
        <v>4284</v>
      </c>
      <c r="B604" t="str" cm="1">
        <f t="array" ref="B604">_xlfn.IFS(A604&lt;=8000,"low",A604&lt;15000,"medium",A604&gt;=15000,"high")</f>
        <v>low</v>
      </c>
      <c r="G604" s="1">
        <v>5</v>
      </c>
      <c r="H604" t="str" cm="1">
        <f t="array" ref="H604">_xlfn.IFS(G604&lt;=15,"Junior",G604&lt;=30,"Mid level",G604&gt;30,"Lead")</f>
        <v>Junior</v>
      </c>
    </row>
    <row r="605" spans="1:8" x14ac:dyDescent="0.3">
      <c r="A605" s="7">
        <v>4284</v>
      </c>
      <c r="B605" t="str" cm="1">
        <f t="array" ref="B605">_xlfn.IFS(A605&lt;=8000,"low",A605&lt;15000,"medium",A605&gt;=15000,"high")</f>
        <v>low</v>
      </c>
      <c r="G605" s="2">
        <v>10</v>
      </c>
      <c r="H605" t="str" cm="1">
        <f t="array" ref="H605">_xlfn.IFS(G605&lt;=15,"Junior",G605&lt;=30,"Mid level",G605&gt;30,"Lead")</f>
        <v>Junior</v>
      </c>
    </row>
    <row r="606" spans="1:8" x14ac:dyDescent="0.3">
      <c r="A606" s="8">
        <v>4285</v>
      </c>
      <c r="B606" t="str" cm="1">
        <f t="array" ref="B606">_xlfn.IFS(A606&lt;=8000,"low",A606&lt;15000,"medium",A606&gt;=15000,"high")</f>
        <v>low</v>
      </c>
      <c r="G606" s="1">
        <v>1</v>
      </c>
      <c r="H606" t="str" cm="1">
        <f t="array" ref="H606">_xlfn.IFS(G606&lt;=15,"Junior",G606&lt;=30,"Mid level",G606&gt;30,"Lead")</f>
        <v>Junior</v>
      </c>
    </row>
    <row r="607" spans="1:8" x14ac:dyDescent="0.3">
      <c r="A607" s="7">
        <v>4286</v>
      </c>
      <c r="B607" t="str" cm="1">
        <f t="array" ref="B607">_xlfn.IFS(A607&lt;=8000,"low",A607&lt;15000,"medium",A607&gt;=15000,"high")</f>
        <v>low</v>
      </c>
      <c r="G607" s="2">
        <v>7</v>
      </c>
      <c r="H607" t="str" cm="1">
        <f t="array" ref="H607">_xlfn.IFS(G607&lt;=15,"Junior",G607&lt;=30,"Mid level",G607&gt;30,"Lead")</f>
        <v>Junior</v>
      </c>
    </row>
    <row r="608" spans="1:8" x14ac:dyDescent="0.3">
      <c r="A608" s="8">
        <v>4294</v>
      </c>
      <c r="B608" t="str" cm="1">
        <f t="array" ref="B608">_xlfn.IFS(A608&lt;=8000,"low",A608&lt;15000,"medium",A608&gt;=15000,"high")</f>
        <v>low</v>
      </c>
      <c r="G608" s="1">
        <v>2</v>
      </c>
      <c r="H608" t="str" cm="1">
        <f t="array" ref="H608">_xlfn.IFS(G608&lt;=15,"Junior",G608&lt;=30,"Mid level",G608&gt;30,"Lead")</f>
        <v>Junior</v>
      </c>
    </row>
    <row r="609" spans="1:8" x14ac:dyDescent="0.3">
      <c r="A609" s="7">
        <v>4298</v>
      </c>
      <c r="B609" t="str" cm="1">
        <f t="array" ref="B609">_xlfn.IFS(A609&lt;=8000,"low",A609&lt;15000,"medium",A609&gt;=15000,"high")</f>
        <v>low</v>
      </c>
      <c r="G609" s="2">
        <v>3</v>
      </c>
      <c r="H609" t="str" cm="1">
        <f t="array" ref="H609">_xlfn.IFS(G609&lt;=15,"Junior",G609&lt;=30,"Mid level",G609&gt;30,"Lead")</f>
        <v>Junior</v>
      </c>
    </row>
    <row r="610" spans="1:8" x14ac:dyDescent="0.3">
      <c r="A610" s="8">
        <v>4302</v>
      </c>
      <c r="B610" t="str" cm="1">
        <f t="array" ref="B610">_xlfn.IFS(A610&lt;=8000,"low",A610&lt;15000,"medium",A610&gt;=15000,"high")</f>
        <v>low</v>
      </c>
      <c r="G610" s="1">
        <v>13</v>
      </c>
      <c r="H610" t="str" cm="1">
        <f t="array" ref="H610">_xlfn.IFS(G610&lt;=15,"Junior",G610&lt;=30,"Mid level",G610&gt;30,"Lead")</f>
        <v>Junior</v>
      </c>
    </row>
    <row r="611" spans="1:8" x14ac:dyDescent="0.3">
      <c r="A611" s="7">
        <v>4306</v>
      </c>
      <c r="B611" t="str" cm="1">
        <f t="array" ref="B611">_xlfn.IFS(A611&lt;=8000,"low",A611&lt;15000,"medium",A611&gt;=15000,"high")</f>
        <v>low</v>
      </c>
      <c r="G611" s="2">
        <v>0</v>
      </c>
      <c r="H611" t="str" cm="1">
        <f t="array" ref="H611">_xlfn.IFS(G611&lt;=15,"Junior",G611&lt;=30,"Mid level",G611&gt;30,"Lead")</f>
        <v>Junior</v>
      </c>
    </row>
    <row r="612" spans="1:8" x14ac:dyDescent="0.3">
      <c r="A612" s="8">
        <v>4306</v>
      </c>
      <c r="B612" t="str" cm="1">
        <f t="array" ref="B612">_xlfn.IFS(A612&lt;=8000,"low",A612&lt;15000,"medium",A612&gt;=15000,"high")</f>
        <v>low</v>
      </c>
      <c r="G612" s="1">
        <v>15</v>
      </c>
      <c r="H612" t="str" cm="1">
        <f t="array" ref="H612">_xlfn.IFS(G612&lt;=15,"Junior",G612&lt;=30,"Mid level",G612&gt;30,"Lead")</f>
        <v>Junior</v>
      </c>
    </row>
    <row r="613" spans="1:8" x14ac:dyDescent="0.3">
      <c r="A613" s="7">
        <v>4312</v>
      </c>
      <c r="B613" t="str" cm="1">
        <f t="array" ref="B613">_xlfn.IFS(A613&lt;=8000,"low",A613&lt;15000,"medium",A613&gt;=15000,"high")</f>
        <v>low</v>
      </c>
      <c r="G613" s="2">
        <v>3</v>
      </c>
      <c r="H613" t="str" cm="1">
        <f t="array" ref="H613">_xlfn.IFS(G613&lt;=15,"Junior",G613&lt;=30,"Mid level",G613&gt;30,"Lead")</f>
        <v>Junior</v>
      </c>
    </row>
    <row r="614" spans="1:8" x14ac:dyDescent="0.3">
      <c r="A614" s="8">
        <v>4317</v>
      </c>
      <c r="B614" t="str" cm="1">
        <f t="array" ref="B614">_xlfn.IFS(A614&lt;=8000,"low",A614&lt;15000,"medium",A614&gt;=15000,"high")</f>
        <v>low</v>
      </c>
      <c r="G614" s="1">
        <v>10</v>
      </c>
      <c r="H614" t="str" cm="1">
        <f t="array" ref="H614">_xlfn.IFS(G614&lt;=15,"Junior",G614&lt;=30,"Mid level",G614&gt;30,"Lead")</f>
        <v>Junior</v>
      </c>
    </row>
    <row r="615" spans="1:8" x14ac:dyDescent="0.3">
      <c r="A615" s="7">
        <v>4319</v>
      </c>
      <c r="B615" t="str" cm="1">
        <f t="array" ref="B615">_xlfn.IFS(A615&lt;=8000,"low",A615&lt;15000,"medium",A615&gt;=15000,"high")</f>
        <v>low</v>
      </c>
      <c r="G615" s="2">
        <v>5</v>
      </c>
      <c r="H615" t="str" cm="1">
        <f t="array" ref="H615">_xlfn.IFS(G615&lt;=15,"Junior",G615&lt;=30,"Mid level",G615&gt;30,"Lead")</f>
        <v>Junior</v>
      </c>
    </row>
    <row r="616" spans="1:8" x14ac:dyDescent="0.3">
      <c r="A616" s="8">
        <v>4320</v>
      </c>
      <c r="B616" t="str" cm="1">
        <f t="array" ref="B616">_xlfn.IFS(A616&lt;=8000,"low",A616&lt;15000,"medium",A616&gt;=15000,"high")</f>
        <v>low</v>
      </c>
      <c r="G616" s="1">
        <v>5</v>
      </c>
      <c r="H616" t="str" cm="1">
        <f t="array" ref="H616">_xlfn.IFS(G616&lt;=15,"Junior",G616&lt;=30,"Mid level",G616&gt;30,"Lead")</f>
        <v>Junior</v>
      </c>
    </row>
    <row r="617" spans="1:8" x14ac:dyDescent="0.3">
      <c r="A617" s="7">
        <v>4323</v>
      </c>
      <c r="B617" t="str" cm="1">
        <f t="array" ref="B617">_xlfn.IFS(A617&lt;=8000,"low",A617&lt;15000,"medium",A617&gt;=15000,"high")</f>
        <v>low</v>
      </c>
      <c r="G617" s="2">
        <v>5</v>
      </c>
      <c r="H617" t="str" cm="1">
        <f t="array" ref="H617">_xlfn.IFS(G617&lt;=15,"Junior",G617&lt;=30,"Mid level",G617&gt;30,"Lead")</f>
        <v>Junior</v>
      </c>
    </row>
    <row r="618" spans="1:8" x14ac:dyDescent="0.3">
      <c r="A618" s="8">
        <v>4325</v>
      </c>
      <c r="B618" t="str" cm="1">
        <f t="array" ref="B618">_xlfn.IFS(A618&lt;=8000,"low",A618&lt;15000,"medium",A618&gt;=15000,"high")</f>
        <v>low</v>
      </c>
      <c r="G618" s="1">
        <v>0</v>
      </c>
      <c r="H618" t="str" cm="1">
        <f t="array" ref="H618">_xlfn.IFS(G618&lt;=15,"Junior",G618&lt;=30,"Mid level",G618&gt;30,"Lead")</f>
        <v>Junior</v>
      </c>
    </row>
    <row r="619" spans="1:8" x14ac:dyDescent="0.3">
      <c r="A619" s="7">
        <v>4327</v>
      </c>
      <c r="B619" t="str" cm="1">
        <f t="array" ref="B619">_xlfn.IFS(A619&lt;=8000,"low",A619&lt;15000,"medium",A619&gt;=15000,"high")</f>
        <v>low</v>
      </c>
      <c r="G619" s="2">
        <v>20</v>
      </c>
      <c r="H619" t="str" cm="1">
        <f t="array" ref="H619">_xlfn.IFS(G619&lt;=15,"Junior",G619&lt;=30,"Mid level",G619&gt;30,"Lead")</f>
        <v>Mid level</v>
      </c>
    </row>
    <row r="620" spans="1:8" x14ac:dyDescent="0.3">
      <c r="A620" s="8">
        <v>4332</v>
      </c>
      <c r="B620" t="str" cm="1">
        <f t="array" ref="B620">_xlfn.IFS(A620&lt;=8000,"low",A620&lt;15000,"medium",A620&gt;=15000,"high")</f>
        <v>low</v>
      </c>
      <c r="G620" s="1">
        <v>8</v>
      </c>
      <c r="H620" t="str" cm="1">
        <f t="array" ref="H620">_xlfn.IFS(G620&lt;=15,"Junior",G620&lt;=30,"Mid level",G620&gt;30,"Lead")</f>
        <v>Junior</v>
      </c>
    </row>
    <row r="621" spans="1:8" x14ac:dyDescent="0.3">
      <c r="A621" s="7">
        <v>4335</v>
      </c>
      <c r="B621" t="str" cm="1">
        <f t="array" ref="B621">_xlfn.IFS(A621&lt;=8000,"low",A621&lt;15000,"medium",A621&gt;=15000,"high")</f>
        <v>low</v>
      </c>
      <c r="G621" s="2">
        <v>4</v>
      </c>
      <c r="H621" t="str" cm="1">
        <f t="array" ref="H621">_xlfn.IFS(G621&lt;=15,"Junior",G621&lt;=30,"Mid level",G621&gt;30,"Lead")</f>
        <v>Junior</v>
      </c>
    </row>
    <row r="622" spans="1:8" x14ac:dyDescent="0.3">
      <c r="A622" s="8">
        <v>4342</v>
      </c>
      <c r="B622" t="str" cm="1">
        <f t="array" ref="B622">_xlfn.IFS(A622&lt;=8000,"low",A622&lt;15000,"medium",A622&gt;=15000,"high")</f>
        <v>low</v>
      </c>
      <c r="G622" s="1">
        <v>5</v>
      </c>
      <c r="H622" t="str" cm="1">
        <f t="array" ref="H622">_xlfn.IFS(G622&lt;=15,"Junior",G622&lt;=30,"Mid level",G622&gt;30,"Lead")</f>
        <v>Junior</v>
      </c>
    </row>
    <row r="623" spans="1:8" x14ac:dyDescent="0.3">
      <c r="A623" s="7">
        <v>4345</v>
      </c>
      <c r="B623" t="str" cm="1">
        <f t="array" ref="B623">_xlfn.IFS(A623&lt;=8000,"low",A623&lt;15000,"medium",A623&gt;=15000,"high")</f>
        <v>low</v>
      </c>
      <c r="G623" s="2">
        <v>2</v>
      </c>
      <c r="H623" t="str" cm="1">
        <f t="array" ref="H623">_xlfn.IFS(G623&lt;=15,"Junior",G623&lt;=30,"Mid level",G623&gt;30,"Lead")</f>
        <v>Junior</v>
      </c>
    </row>
    <row r="624" spans="1:8" x14ac:dyDescent="0.3">
      <c r="A624" s="8">
        <v>4364</v>
      </c>
      <c r="B624" t="str" cm="1">
        <f t="array" ref="B624">_xlfn.IFS(A624&lt;=8000,"low",A624&lt;15000,"medium",A624&gt;=15000,"high")</f>
        <v>low</v>
      </c>
      <c r="G624" s="1">
        <v>4</v>
      </c>
      <c r="H624" t="str" cm="1">
        <f t="array" ref="H624">_xlfn.IFS(G624&lt;=15,"Junior",G624&lt;=30,"Mid level",G624&gt;30,"Lead")</f>
        <v>Junior</v>
      </c>
    </row>
    <row r="625" spans="1:8" x14ac:dyDescent="0.3">
      <c r="A625" s="7">
        <v>4373</v>
      </c>
      <c r="B625" t="str" cm="1">
        <f t="array" ref="B625">_xlfn.IFS(A625&lt;=8000,"low",A625&lt;15000,"medium",A625&gt;=15000,"high")</f>
        <v>low</v>
      </c>
      <c r="G625" s="2">
        <v>3</v>
      </c>
      <c r="H625" t="str" cm="1">
        <f t="array" ref="H625">_xlfn.IFS(G625&lt;=15,"Junior",G625&lt;=30,"Mid level",G625&gt;30,"Lead")</f>
        <v>Junior</v>
      </c>
    </row>
    <row r="626" spans="1:8" x14ac:dyDescent="0.3">
      <c r="A626" s="8">
        <v>4374</v>
      </c>
      <c r="B626" t="str" cm="1">
        <f t="array" ref="B626">_xlfn.IFS(A626&lt;=8000,"low",A626&lt;15000,"medium",A626&gt;=15000,"high")</f>
        <v>low</v>
      </c>
      <c r="G626" s="1">
        <v>4</v>
      </c>
      <c r="H626" t="str" cm="1">
        <f t="array" ref="H626">_xlfn.IFS(G626&lt;=15,"Junior",G626&lt;=30,"Mid level",G626&gt;30,"Lead")</f>
        <v>Junior</v>
      </c>
    </row>
    <row r="627" spans="1:8" x14ac:dyDescent="0.3">
      <c r="A627" s="7">
        <v>4377</v>
      </c>
      <c r="B627" t="str" cm="1">
        <f t="array" ref="B627">_xlfn.IFS(A627&lt;=8000,"low",A627&lt;15000,"medium",A627&gt;=15000,"high")</f>
        <v>low</v>
      </c>
      <c r="G627" s="2">
        <v>6</v>
      </c>
      <c r="H627" t="str" cm="1">
        <f t="array" ref="H627">_xlfn.IFS(G627&lt;=15,"Junior",G627&lt;=30,"Mid level",G627&gt;30,"Lead")</f>
        <v>Junior</v>
      </c>
    </row>
    <row r="628" spans="1:8" x14ac:dyDescent="0.3">
      <c r="A628" s="8">
        <v>4381</v>
      </c>
      <c r="B628" t="str" cm="1">
        <f t="array" ref="B628">_xlfn.IFS(A628&lt;=8000,"low",A628&lt;15000,"medium",A628&gt;=15000,"high")</f>
        <v>low</v>
      </c>
      <c r="G628" s="1">
        <v>2</v>
      </c>
      <c r="H628" t="str" cm="1">
        <f t="array" ref="H628">_xlfn.IFS(G628&lt;=15,"Junior",G628&lt;=30,"Mid level",G628&gt;30,"Lead")</f>
        <v>Junior</v>
      </c>
    </row>
    <row r="629" spans="1:8" x14ac:dyDescent="0.3">
      <c r="A629" s="7">
        <v>4382</v>
      </c>
      <c r="B629" t="str" cm="1">
        <f t="array" ref="B629">_xlfn.IFS(A629&lt;=8000,"low",A629&lt;15000,"medium",A629&gt;=15000,"high")</f>
        <v>low</v>
      </c>
      <c r="G629" s="2">
        <v>10</v>
      </c>
      <c r="H629" t="str" cm="1">
        <f t="array" ref="H629">_xlfn.IFS(G629&lt;=15,"Junior",G629&lt;=30,"Mid level",G629&gt;30,"Lead")</f>
        <v>Junior</v>
      </c>
    </row>
    <row r="630" spans="1:8" x14ac:dyDescent="0.3">
      <c r="A630" s="8">
        <v>4385</v>
      </c>
      <c r="B630" t="str" cm="1">
        <f t="array" ref="B630">_xlfn.IFS(A630&lt;=8000,"low",A630&lt;15000,"medium",A630&gt;=15000,"high")</f>
        <v>low</v>
      </c>
      <c r="G630" s="1">
        <v>5</v>
      </c>
      <c r="H630" t="str" cm="1">
        <f t="array" ref="H630">_xlfn.IFS(G630&lt;=15,"Junior",G630&lt;=30,"Mid level",G630&gt;30,"Lead")</f>
        <v>Junior</v>
      </c>
    </row>
    <row r="631" spans="1:8" x14ac:dyDescent="0.3">
      <c r="A631" s="7">
        <v>4393</v>
      </c>
      <c r="B631" t="str" cm="1">
        <f t="array" ref="B631">_xlfn.IFS(A631&lt;=8000,"low",A631&lt;15000,"medium",A631&gt;=15000,"high")</f>
        <v>low</v>
      </c>
      <c r="G631" s="2">
        <v>3</v>
      </c>
      <c r="H631" t="str" cm="1">
        <f t="array" ref="H631">_xlfn.IFS(G631&lt;=15,"Junior",G631&lt;=30,"Mid level",G631&gt;30,"Lead")</f>
        <v>Junior</v>
      </c>
    </row>
    <row r="632" spans="1:8" x14ac:dyDescent="0.3">
      <c r="A632" s="8">
        <v>4400</v>
      </c>
      <c r="B632" t="str" cm="1">
        <f t="array" ref="B632">_xlfn.IFS(A632&lt;=8000,"low",A632&lt;15000,"medium",A632&gt;=15000,"high")</f>
        <v>low</v>
      </c>
      <c r="G632" s="1">
        <v>5</v>
      </c>
      <c r="H632" t="str" cm="1">
        <f t="array" ref="H632">_xlfn.IFS(G632&lt;=15,"Junior",G632&lt;=30,"Mid level",G632&gt;30,"Lead")</f>
        <v>Junior</v>
      </c>
    </row>
    <row r="633" spans="1:8" x14ac:dyDescent="0.3">
      <c r="A633" s="7">
        <v>4401</v>
      </c>
      <c r="B633" t="str" cm="1">
        <f t="array" ref="B633">_xlfn.IFS(A633&lt;=8000,"low",A633&lt;15000,"medium",A633&gt;=15000,"high")</f>
        <v>low</v>
      </c>
      <c r="G633" s="2">
        <v>5</v>
      </c>
      <c r="H633" t="str" cm="1">
        <f t="array" ref="H633">_xlfn.IFS(G633&lt;=15,"Junior",G633&lt;=30,"Mid level",G633&gt;30,"Lead")</f>
        <v>Junior</v>
      </c>
    </row>
    <row r="634" spans="1:8" x14ac:dyDescent="0.3">
      <c r="A634" s="8">
        <v>4403</v>
      </c>
      <c r="B634" t="str" cm="1">
        <f t="array" ref="B634">_xlfn.IFS(A634&lt;=8000,"low",A634&lt;15000,"medium",A634&gt;=15000,"high")</f>
        <v>low</v>
      </c>
      <c r="G634" s="1">
        <v>4</v>
      </c>
      <c r="H634" t="str" cm="1">
        <f t="array" ref="H634">_xlfn.IFS(G634&lt;=15,"Junior",G634&lt;=30,"Mid level",G634&gt;30,"Lead")</f>
        <v>Junior</v>
      </c>
    </row>
    <row r="635" spans="1:8" x14ac:dyDescent="0.3">
      <c r="A635" s="7">
        <v>4404</v>
      </c>
      <c r="B635" t="str" cm="1">
        <f t="array" ref="B635">_xlfn.IFS(A635&lt;=8000,"low",A635&lt;15000,"medium",A635&gt;=15000,"high")</f>
        <v>low</v>
      </c>
      <c r="G635" s="2">
        <v>8</v>
      </c>
      <c r="H635" t="str" cm="1">
        <f t="array" ref="H635">_xlfn.IFS(G635&lt;=15,"Junior",G635&lt;=30,"Mid level",G635&gt;30,"Lead")</f>
        <v>Junior</v>
      </c>
    </row>
    <row r="636" spans="1:8" x14ac:dyDescent="0.3">
      <c r="A636" s="8">
        <v>4420</v>
      </c>
      <c r="B636" t="str" cm="1">
        <f t="array" ref="B636">_xlfn.IFS(A636&lt;=8000,"low",A636&lt;15000,"medium",A636&gt;=15000,"high")</f>
        <v>low</v>
      </c>
      <c r="G636" s="1">
        <v>1</v>
      </c>
      <c r="H636" t="str" cm="1">
        <f t="array" ref="H636">_xlfn.IFS(G636&lt;=15,"Junior",G636&lt;=30,"Mid level",G636&gt;30,"Lead")</f>
        <v>Junior</v>
      </c>
    </row>
    <row r="637" spans="1:8" x14ac:dyDescent="0.3">
      <c r="A637" s="7">
        <v>4422</v>
      </c>
      <c r="B637" t="str" cm="1">
        <f t="array" ref="B637">_xlfn.IFS(A637&lt;=8000,"low",A637&lt;15000,"medium",A637&gt;=15000,"high")</f>
        <v>low</v>
      </c>
      <c r="G637" s="2">
        <v>11</v>
      </c>
      <c r="H637" t="str" cm="1">
        <f t="array" ref="H637">_xlfn.IFS(G637&lt;=15,"Junior",G637&lt;=30,"Mid level",G637&gt;30,"Lead")</f>
        <v>Junior</v>
      </c>
    </row>
    <row r="638" spans="1:8" x14ac:dyDescent="0.3">
      <c r="A638" s="8">
        <v>4424</v>
      </c>
      <c r="B638" t="str" cm="1">
        <f t="array" ref="B638">_xlfn.IFS(A638&lt;=8000,"low",A638&lt;15000,"medium",A638&gt;=15000,"high")</f>
        <v>low</v>
      </c>
      <c r="G638" s="1">
        <v>6</v>
      </c>
      <c r="H638" t="str" cm="1">
        <f t="array" ref="H638">_xlfn.IFS(G638&lt;=15,"Junior",G638&lt;=30,"Mid level",G638&gt;30,"Lead")</f>
        <v>Junior</v>
      </c>
    </row>
    <row r="639" spans="1:8" x14ac:dyDescent="0.3">
      <c r="A639" s="7">
        <v>4425</v>
      </c>
      <c r="B639" t="str" cm="1">
        <f t="array" ref="B639">_xlfn.IFS(A639&lt;=8000,"low",A639&lt;15000,"medium",A639&gt;=15000,"high")</f>
        <v>low</v>
      </c>
      <c r="G639" s="2">
        <v>9</v>
      </c>
      <c r="H639" t="str" cm="1">
        <f t="array" ref="H639">_xlfn.IFS(G639&lt;=15,"Junior",G639&lt;=30,"Mid level",G639&gt;30,"Lead")</f>
        <v>Junior</v>
      </c>
    </row>
    <row r="640" spans="1:8" x14ac:dyDescent="0.3">
      <c r="A640" s="8">
        <v>4434</v>
      </c>
      <c r="B640" t="str" cm="1">
        <f t="array" ref="B640">_xlfn.IFS(A640&lt;=8000,"low",A640&lt;15000,"medium",A640&gt;=15000,"high")</f>
        <v>low</v>
      </c>
      <c r="G640" s="1">
        <v>5</v>
      </c>
      <c r="H640" t="str" cm="1">
        <f t="array" ref="H640">_xlfn.IFS(G640&lt;=15,"Junior",G640&lt;=30,"Mid level",G640&gt;30,"Lead")</f>
        <v>Junior</v>
      </c>
    </row>
    <row r="641" spans="1:8" x14ac:dyDescent="0.3">
      <c r="A641" s="7">
        <v>4440</v>
      </c>
      <c r="B641" t="str" cm="1">
        <f t="array" ref="B641">_xlfn.IFS(A641&lt;=8000,"low",A641&lt;15000,"medium",A641&gt;=15000,"high")</f>
        <v>low</v>
      </c>
      <c r="G641" s="2">
        <v>15</v>
      </c>
      <c r="H641" t="str" cm="1">
        <f t="array" ref="H641">_xlfn.IFS(G641&lt;=15,"Junior",G641&lt;=30,"Mid level",G641&gt;30,"Lead")</f>
        <v>Junior</v>
      </c>
    </row>
    <row r="642" spans="1:8" x14ac:dyDescent="0.3">
      <c r="A642" s="8">
        <v>4440</v>
      </c>
      <c r="B642" t="str" cm="1">
        <f t="array" ref="B642">_xlfn.IFS(A642&lt;=8000,"low",A642&lt;15000,"medium",A642&gt;=15000,"high")</f>
        <v>low</v>
      </c>
      <c r="G642" s="1">
        <v>11</v>
      </c>
      <c r="H642" t="str" cm="1">
        <f t="array" ref="H642">_xlfn.IFS(G642&lt;=15,"Junior",G642&lt;=30,"Mid level",G642&gt;30,"Lead")</f>
        <v>Junior</v>
      </c>
    </row>
    <row r="643" spans="1:8" x14ac:dyDescent="0.3">
      <c r="A643" s="7">
        <v>4444</v>
      </c>
      <c r="B643" t="str" cm="1">
        <f t="array" ref="B643">_xlfn.IFS(A643&lt;=8000,"low",A643&lt;15000,"medium",A643&gt;=15000,"high")</f>
        <v>low</v>
      </c>
      <c r="G643" s="2">
        <v>9</v>
      </c>
      <c r="H643" t="str" cm="1">
        <f t="array" ref="H643">_xlfn.IFS(G643&lt;=15,"Junior",G643&lt;=30,"Mid level",G643&gt;30,"Lead")</f>
        <v>Junior</v>
      </c>
    </row>
    <row r="644" spans="1:8" x14ac:dyDescent="0.3">
      <c r="A644" s="8">
        <v>4447</v>
      </c>
      <c r="B644" t="str" cm="1">
        <f t="array" ref="B644">_xlfn.IFS(A644&lt;=8000,"low",A644&lt;15000,"medium",A644&gt;=15000,"high")</f>
        <v>low</v>
      </c>
      <c r="G644" s="1">
        <v>7</v>
      </c>
      <c r="H644" t="str" cm="1">
        <f t="array" ref="H644">_xlfn.IFS(G644&lt;=15,"Junior",G644&lt;=30,"Mid level",G644&gt;30,"Lead")</f>
        <v>Junior</v>
      </c>
    </row>
    <row r="645" spans="1:8" x14ac:dyDescent="0.3">
      <c r="A645" s="7">
        <v>4448</v>
      </c>
      <c r="B645" t="str" cm="1">
        <f t="array" ref="B645">_xlfn.IFS(A645&lt;=8000,"low",A645&lt;15000,"medium",A645&gt;=15000,"high")</f>
        <v>low</v>
      </c>
      <c r="G645" s="2">
        <v>13</v>
      </c>
      <c r="H645" t="str" cm="1">
        <f t="array" ref="H645">_xlfn.IFS(G645&lt;=15,"Junior",G645&lt;=30,"Mid level",G645&gt;30,"Lead")</f>
        <v>Junior</v>
      </c>
    </row>
    <row r="646" spans="1:8" x14ac:dyDescent="0.3">
      <c r="A646" s="8">
        <v>4449</v>
      </c>
      <c r="B646" t="str" cm="1">
        <f t="array" ref="B646">_xlfn.IFS(A646&lt;=8000,"low",A646&lt;15000,"medium",A646&gt;=15000,"high")</f>
        <v>low</v>
      </c>
      <c r="G646" s="1">
        <v>4</v>
      </c>
      <c r="H646" t="str" cm="1">
        <f t="array" ref="H646">_xlfn.IFS(G646&lt;=15,"Junior",G646&lt;=30,"Mid level",G646&gt;30,"Lead")</f>
        <v>Junior</v>
      </c>
    </row>
    <row r="647" spans="1:8" x14ac:dyDescent="0.3">
      <c r="A647" s="7">
        <v>4450</v>
      </c>
      <c r="B647" t="str" cm="1">
        <f t="array" ref="B647">_xlfn.IFS(A647&lt;=8000,"low",A647&lt;15000,"medium",A647&gt;=15000,"high")</f>
        <v>low</v>
      </c>
      <c r="G647" s="2">
        <v>3</v>
      </c>
      <c r="H647" t="str" cm="1">
        <f t="array" ref="H647">_xlfn.IFS(G647&lt;=15,"Junior",G647&lt;=30,"Mid level",G647&gt;30,"Lead")</f>
        <v>Junior</v>
      </c>
    </row>
    <row r="648" spans="1:8" x14ac:dyDescent="0.3">
      <c r="A648" s="8">
        <v>4465</v>
      </c>
      <c r="B648" t="str" cm="1">
        <f t="array" ref="B648">_xlfn.IFS(A648&lt;=8000,"low",A648&lt;15000,"medium",A648&gt;=15000,"high")</f>
        <v>low</v>
      </c>
      <c r="G648" s="1">
        <v>3</v>
      </c>
      <c r="H648" t="str" cm="1">
        <f t="array" ref="H648">_xlfn.IFS(G648&lt;=15,"Junior",G648&lt;=30,"Mid level",G648&gt;30,"Lead")</f>
        <v>Junior</v>
      </c>
    </row>
    <row r="649" spans="1:8" x14ac:dyDescent="0.3">
      <c r="A649" s="7">
        <v>4477</v>
      </c>
      <c r="B649" t="str" cm="1">
        <f t="array" ref="B649">_xlfn.IFS(A649&lt;=8000,"low",A649&lt;15000,"medium",A649&gt;=15000,"high")</f>
        <v>low</v>
      </c>
      <c r="G649" s="2">
        <v>5</v>
      </c>
      <c r="H649" t="str" cm="1">
        <f t="array" ref="H649">_xlfn.IFS(G649&lt;=15,"Junior",G649&lt;=30,"Mid level",G649&gt;30,"Lead")</f>
        <v>Junior</v>
      </c>
    </row>
    <row r="650" spans="1:8" x14ac:dyDescent="0.3">
      <c r="A650" s="8">
        <v>4478</v>
      </c>
      <c r="B650" t="str" cm="1">
        <f t="array" ref="B650">_xlfn.IFS(A650&lt;=8000,"low",A650&lt;15000,"medium",A650&gt;=15000,"high")</f>
        <v>low</v>
      </c>
      <c r="G650" s="1">
        <v>8</v>
      </c>
      <c r="H650" t="str" cm="1">
        <f t="array" ref="H650">_xlfn.IFS(G650&lt;=15,"Junior",G650&lt;=30,"Mid level",G650&gt;30,"Lead")</f>
        <v>Junior</v>
      </c>
    </row>
    <row r="651" spans="1:8" x14ac:dyDescent="0.3">
      <c r="A651" s="7">
        <v>4485</v>
      </c>
      <c r="B651" t="str" cm="1">
        <f t="array" ref="B651">_xlfn.IFS(A651&lt;=8000,"low",A651&lt;15000,"medium",A651&gt;=15000,"high")</f>
        <v>low</v>
      </c>
      <c r="G651" s="2">
        <v>5</v>
      </c>
      <c r="H651" t="str" cm="1">
        <f t="array" ref="H651">_xlfn.IFS(G651&lt;=15,"Junior",G651&lt;=30,"Mid level",G651&gt;30,"Lead")</f>
        <v>Junior</v>
      </c>
    </row>
    <row r="652" spans="1:8" x14ac:dyDescent="0.3">
      <c r="A652" s="8">
        <v>4487</v>
      </c>
      <c r="B652" t="str" cm="1">
        <f t="array" ref="B652">_xlfn.IFS(A652&lt;=8000,"low",A652&lt;15000,"medium",A652&gt;=15000,"high")</f>
        <v>low</v>
      </c>
      <c r="G652" s="1">
        <v>10</v>
      </c>
      <c r="H652" t="str" cm="1">
        <f t="array" ref="H652">_xlfn.IFS(G652&lt;=15,"Junior",G652&lt;=30,"Mid level",G652&gt;30,"Lead")</f>
        <v>Junior</v>
      </c>
    </row>
    <row r="653" spans="1:8" x14ac:dyDescent="0.3">
      <c r="A653" s="7">
        <v>4490</v>
      </c>
      <c r="B653" t="str" cm="1">
        <f t="array" ref="B653">_xlfn.IFS(A653&lt;=8000,"low",A653&lt;15000,"medium",A653&gt;=15000,"high")</f>
        <v>low</v>
      </c>
      <c r="G653" s="2">
        <v>13</v>
      </c>
      <c r="H653" t="str" cm="1">
        <f t="array" ref="H653">_xlfn.IFS(G653&lt;=15,"Junior",G653&lt;=30,"Mid level",G653&gt;30,"Lead")</f>
        <v>Junior</v>
      </c>
    </row>
    <row r="654" spans="1:8" x14ac:dyDescent="0.3">
      <c r="A654" s="8">
        <v>4502</v>
      </c>
      <c r="B654" t="str" cm="1">
        <f t="array" ref="B654">_xlfn.IFS(A654&lt;=8000,"low",A654&lt;15000,"medium",A654&gt;=15000,"high")</f>
        <v>low</v>
      </c>
      <c r="G654" s="1">
        <v>1</v>
      </c>
      <c r="H654" t="str" cm="1">
        <f t="array" ref="H654">_xlfn.IFS(G654&lt;=15,"Junior",G654&lt;=30,"Mid level",G654&gt;30,"Lead")</f>
        <v>Junior</v>
      </c>
    </row>
    <row r="655" spans="1:8" x14ac:dyDescent="0.3">
      <c r="A655" s="7">
        <v>4505</v>
      </c>
      <c r="B655" t="str" cm="1">
        <f t="array" ref="B655">_xlfn.IFS(A655&lt;=8000,"low",A655&lt;15000,"medium",A655&gt;=15000,"high")</f>
        <v>low</v>
      </c>
      <c r="G655" s="2">
        <v>5</v>
      </c>
      <c r="H655" t="str" cm="1">
        <f t="array" ref="H655">_xlfn.IFS(G655&lt;=15,"Junior",G655&lt;=30,"Mid level",G655&gt;30,"Lead")</f>
        <v>Junior</v>
      </c>
    </row>
    <row r="656" spans="1:8" x14ac:dyDescent="0.3">
      <c r="A656" s="8">
        <v>4507</v>
      </c>
      <c r="B656" t="str" cm="1">
        <f t="array" ref="B656">_xlfn.IFS(A656&lt;=8000,"low",A656&lt;15000,"medium",A656&gt;=15000,"high")</f>
        <v>low</v>
      </c>
      <c r="G656" s="1">
        <v>13</v>
      </c>
      <c r="H656" t="str" cm="1">
        <f t="array" ref="H656">_xlfn.IFS(G656&lt;=15,"Junior",G656&lt;=30,"Mid level",G656&gt;30,"Lead")</f>
        <v>Junior</v>
      </c>
    </row>
    <row r="657" spans="1:8" x14ac:dyDescent="0.3">
      <c r="A657" s="7">
        <v>4508</v>
      </c>
      <c r="B657" t="str" cm="1">
        <f t="array" ref="B657">_xlfn.IFS(A657&lt;=8000,"low",A657&lt;15000,"medium",A657&gt;=15000,"high")</f>
        <v>low</v>
      </c>
      <c r="G657" s="2">
        <v>5</v>
      </c>
      <c r="H657" t="str" cm="1">
        <f t="array" ref="H657">_xlfn.IFS(G657&lt;=15,"Junior",G657&lt;=30,"Mid level",G657&gt;30,"Lead")</f>
        <v>Junior</v>
      </c>
    </row>
    <row r="658" spans="1:8" x14ac:dyDescent="0.3">
      <c r="A658" s="8">
        <v>4522</v>
      </c>
      <c r="B658" t="str" cm="1">
        <f t="array" ref="B658">_xlfn.IFS(A658&lt;=8000,"low",A658&lt;15000,"medium",A658&gt;=15000,"high")</f>
        <v>low</v>
      </c>
      <c r="G658" s="1">
        <v>6</v>
      </c>
      <c r="H658" t="str" cm="1">
        <f t="array" ref="H658">_xlfn.IFS(G658&lt;=15,"Junior",G658&lt;=30,"Mid level",G658&gt;30,"Lead")</f>
        <v>Junior</v>
      </c>
    </row>
    <row r="659" spans="1:8" x14ac:dyDescent="0.3">
      <c r="A659" s="7">
        <v>4523</v>
      </c>
      <c r="B659" t="str" cm="1">
        <f t="array" ref="B659">_xlfn.IFS(A659&lt;=8000,"low",A659&lt;15000,"medium",A659&gt;=15000,"high")</f>
        <v>low</v>
      </c>
      <c r="G659" s="2">
        <v>8</v>
      </c>
      <c r="H659" t="str" cm="1">
        <f t="array" ref="H659">_xlfn.IFS(G659&lt;=15,"Junior",G659&lt;=30,"Mid level",G659&gt;30,"Lead")</f>
        <v>Junior</v>
      </c>
    </row>
    <row r="660" spans="1:8" x14ac:dyDescent="0.3">
      <c r="A660" s="8">
        <v>4534</v>
      </c>
      <c r="B660" t="str" cm="1">
        <f t="array" ref="B660">_xlfn.IFS(A660&lt;=8000,"low",A660&lt;15000,"medium",A660&gt;=15000,"high")</f>
        <v>low</v>
      </c>
      <c r="G660" s="1">
        <v>7</v>
      </c>
      <c r="H660" t="str" cm="1">
        <f t="array" ref="H660">_xlfn.IFS(G660&lt;=15,"Junior",G660&lt;=30,"Mid level",G660&gt;30,"Lead")</f>
        <v>Junior</v>
      </c>
    </row>
    <row r="661" spans="1:8" x14ac:dyDescent="0.3">
      <c r="A661" s="7">
        <v>4537</v>
      </c>
      <c r="B661" t="str" cm="1">
        <f t="array" ref="B661">_xlfn.IFS(A661&lt;=8000,"low",A661&lt;15000,"medium",A661&gt;=15000,"high")</f>
        <v>low</v>
      </c>
      <c r="G661" s="2">
        <v>3</v>
      </c>
      <c r="H661" t="str" cm="1">
        <f t="array" ref="H661">_xlfn.IFS(G661&lt;=15,"Junior",G661&lt;=30,"Mid level",G661&gt;30,"Lead")</f>
        <v>Junior</v>
      </c>
    </row>
    <row r="662" spans="1:8" x14ac:dyDescent="0.3">
      <c r="A662" s="8">
        <v>4538</v>
      </c>
      <c r="B662" t="str" cm="1">
        <f t="array" ref="B662">_xlfn.IFS(A662&lt;=8000,"low",A662&lt;15000,"medium",A662&gt;=15000,"high")</f>
        <v>low</v>
      </c>
      <c r="G662" s="1">
        <v>10</v>
      </c>
      <c r="H662" t="str" cm="1">
        <f t="array" ref="H662">_xlfn.IFS(G662&lt;=15,"Junior",G662&lt;=30,"Mid level",G662&gt;30,"Lead")</f>
        <v>Junior</v>
      </c>
    </row>
    <row r="663" spans="1:8" x14ac:dyDescent="0.3">
      <c r="A663" s="7">
        <v>4539</v>
      </c>
      <c r="B663" t="str" cm="1">
        <f t="array" ref="B663">_xlfn.IFS(A663&lt;=8000,"low",A663&lt;15000,"medium",A663&gt;=15000,"high")</f>
        <v>low</v>
      </c>
      <c r="G663" s="2">
        <v>20</v>
      </c>
      <c r="H663" t="str" cm="1">
        <f t="array" ref="H663">_xlfn.IFS(G663&lt;=15,"Junior",G663&lt;=30,"Mid level",G663&gt;30,"Lead")</f>
        <v>Mid level</v>
      </c>
    </row>
    <row r="664" spans="1:8" x14ac:dyDescent="0.3">
      <c r="A664" s="8">
        <v>4541</v>
      </c>
      <c r="B664" t="str" cm="1">
        <f t="array" ref="B664">_xlfn.IFS(A664&lt;=8000,"low",A664&lt;15000,"medium",A664&gt;=15000,"high")</f>
        <v>low</v>
      </c>
      <c r="G664" s="1">
        <v>20</v>
      </c>
      <c r="H664" t="str" cm="1">
        <f t="array" ref="H664">_xlfn.IFS(G664&lt;=15,"Junior",G664&lt;=30,"Mid level",G664&gt;30,"Lead")</f>
        <v>Mid level</v>
      </c>
    </row>
    <row r="665" spans="1:8" x14ac:dyDescent="0.3">
      <c r="A665" s="7">
        <v>4553</v>
      </c>
      <c r="B665" t="str" cm="1">
        <f t="array" ref="B665">_xlfn.IFS(A665&lt;=8000,"low",A665&lt;15000,"medium",A665&gt;=15000,"high")</f>
        <v>low</v>
      </c>
      <c r="G665" s="2">
        <v>10</v>
      </c>
      <c r="H665" t="str" cm="1">
        <f t="array" ref="H665">_xlfn.IFS(G665&lt;=15,"Junior",G665&lt;=30,"Mid level",G665&gt;30,"Lead")</f>
        <v>Junior</v>
      </c>
    </row>
    <row r="666" spans="1:8" x14ac:dyDescent="0.3">
      <c r="A666" s="8">
        <v>4554</v>
      </c>
      <c r="B666" t="str" cm="1">
        <f t="array" ref="B666">_xlfn.IFS(A666&lt;=8000,"low",A666&lt;15000,"medium",A666&gt;=15000,"high")</f>
        <v>low</v>
      </c>
      <c r="G666" s="1">
        <v>5</v>
      </c>
      <c r="H666" t="str" cm="1">
        <f t="array" ref="H666">_xlfn.IFS(G666&lt;=15,"Junior",G666&lt;=30,"Mid level",G666&gt;30,"Lead")</f>
        <v>Junior</v>
      </c>
    </row>
    <row r="667" spans="1:8" x14ac:dyDescent="0.3">
      <c r="A667" s="7">
        <v>4556</v>
      </c>
      <c r="B667" t="str" cm="1">
        <f t="array" ref="B667">_xlfn.IFS(A667&lt;=8000,"low",A667&lt;15000,"medium",A667&gt;=15000,"high")</f>
        <v>low</v>
      </c>
      <c r="G667" s="2">
        <v>10</v>
      </c>
      <c r="H667" t="str" cm="1">
        <f t="array" ref="H667">_xlfn.IFS(G667&lt;=15,"Junior",G667&lt;=30,"Mid level",G667&gt;30,"Lead")</f>
        <v>Junior</v>
      </c>
    </row>
    <row r="668" spans="1:8" x14ac:dyDescent="0.3">
      <c r="A668" s="8">
        <v>4558</v>
      </c>
      <c r="B668" t="str" cm="1">
        <f t="array" ref="B668">_xlfn.IFS(A668&lt;=8000,"low",A668&lt;15000,"medium",A668&gt;=15000,"high")</f>
        <v>low</v>
      </c>
      <c r="G668" s="1">
        <v>2</v>
      </c>
      <c r="H668" t="str" cm="1">
        <f t="array" ref="H668">_xlfn.IFS(G668&lt;=15,"Junior",G668&lt;=30,"Mid level",G668&gt;30,"Lead")</f>
        <v>Junior</v>
      </c>
    </row>
    <row r="669" spans="1:8" x14ac:dyDescent="0.3">
      <c r="A669" s="7">
        <v>4559</v>
      </c>
      <c r="B669" t="str" cm="1">
        <f t="array" ref="B669">_xlfn.IFS(A669&lt;=8000,"low",A669&lt;15000,"medium",A669&gt;=15000,"high")</f>
        <v>low</v>
      </c>
      <c r="G669" s="2">
        <v>9</v>
      </c>
      <c r="H669" t="str" cm="1">
        <f t="array" ref="H669">_xlfn.IFS(G669&lt;=15,"Junior",G669&lt;=30,"Mid level",G669&gt;30,"Lead")</f>
        <v>Junior</v>
      </c>
    </row>
    <row r="670" spans="1:8" x14ac:dyDescent="0.3">
      <c r="A670" s="8">
        <v>4568</v>
      </c>
      <c r="B670" t="str" cm="1">
        <f t="array" ref="B670">_xlfn.IFS(A670&lt;=8000,"low",A670&lt;15000,"medium",A670&gt;=15000,"high")</f>
        <v>low</v>
      </c>
      <c r="G670" s="1">
        <v>2</v>
      </c>
      <c r="H670" t="str" cm="1">
        <f t="array" ref="H670">_xlfn.IFS(G670&lt;=15,"Junior",G670&lt;=30,"Mid level",G670&gt;30,"Lead")</f>
        <v>Junior</v>
      </c>
    </row>
    <row r="671" spans="1:8" x14ac:dyDescent="0.3">
      <c r="A671" s="7">
        <v>4577</v>
      </c>
      <c r="B671" t="str" cm="1">
        <f t="array" ref="B671">_xlfn.IFS(A671&lt;=8000,"low",A671&lt;15000,"medium",A671&gt;=15000,"high")</f>
        <v>low</v>
      </c>
      <c r="G671" s="2">
        <v>11</v>
      </c>
      <c r="H671" t="str" cm="1">
        <f t="array" ref="H671">_xlfn.IFS(G671&lt;=15,"Junior",G671&lt;=30,"Mid level",G671&gt;30,"Lead")</f>
        <v>Junior</v>
      </c>
    </row>
    <row r="672" spans="1:8" x14ac:dyDescent="0.3">
      <c r="A672" s="8">
        <v>4581</v>
      </c>
      <c r="B672" t="str" cm="1">
        <f t="array" ref="B672">_xlfn.IFS(A672&lt;=8000,"low",A672&lt;15000,"medium",A672&gt;=15000,"high")</f>
        <v>low</v>
      </c>
      <c r="G672" s="1">
        <v>5</v>
      </c>
      <c r="H672" t="str" cm="1">
        <f t="array" ref="H672">_xlfn.IFS(G672&lt;=15,"Junior",G672&lt;=30,"Mid level",G672&gt;30,"Lead")</f>
        <v>Junior</v>
      </c>
    </row>
    <row r="673" spans="1:8" x14ac:dyDescent="0.3">
      <c r="A673" s="7">
        <v>4591</v>
      </c>
      <c r="B673" t="str" cm="1">
        <f t="array" ref="B673">_xlfn.IFS(A673&lt;=8000,"low",A673&lt;15000,"medium",A673&gt;=15000,"high")</f>
        <v>low</v>
      </c>
      <c r="G673" s="2">
        <v>15</v>
      </c>
      <c r="H673" t="str" cm="1">
        <f t="array" ref="H673">_xlfn.IFS(G673&lt;=15,"Junior",G673&lt;=30,"Mid level",G673&gt;30,"Lead")</f>
        <v>Junior</v>
      </c>
    </row>
    <row r="674" spans="1:8" x14ac:dyDescent="0.3">
      <c r="A674" s="8">
        <v>4599</v>
      </c>
      <c r="B674" t="str" cm="1">
        <f t="array" ref="B674">_xlfn.IFS(A674&lt;=8000,"low",A674&lt;15000,"medium",A674&gt;=15000,"high")</f>
        <v>low</v>
      </c>
      <c r="G674" s="1">
        <v>5</v>
      </c>
      <c r="H674" t="str" cm="1">
        <f t="array" ref="H674">_xlfn.IFS(G674&lt;=15,"Junior",G674&lt;=30,"Mid level",G674&gt;30,"Lead")</f>
        <v>Junior</v>
      </c>
    </row>
    <row r="675" spans="1:8" x14ac:dyDescent="0.3">
      <c r="A675" s="7">
        <v>4601</v>
      </c>
      <c r="B675" t="str" cm="1">
        <f t="array" ref="B675">_xlfn.IFS(A675&lt;=8000,"low",A675&lt;15000,"medium",A675&gt;=15000,"high")</f>
        <v>low</v>
      </c>
      <c r="G675" s="2">
        <v>4</v>
      </c>
      <c r="H675" t="str" cm="1">
        <f t="array" ref="H675">_xlfn.IFS(G675&lt;=15,"Junior",G675&lt;=30,"Mid level",G675&gt;30,"Lead")</f>
        <v>Junior</v>
      </c>
    </row>
    <row r="676" spans="1:8" x14ac:dyDescent="0.3">
      <c r="A676" s="8">
        <v>4614</v>
      </c>
      <c r="B676" t="str" cm="1">
        <f t="array" ref="B676">_xlfn.IFS(A676&lt;=8000,"low",A676&lt;15000,"medium",A676&gt;=15000,"high")</f>
        <v>low</v>
      </c>
      <c r="G676" s="1">
        <v>16</v>
      </c>
      <c r="H676" t="str" cm="1">
        <f t="array" ref="H676">_xlfn.IFS(G676&lt;=15,"Junior",G676&lt;=30,"Mid level",G676&gt;30,"Lead")</f>
        <v>Mid level</v>
      </c>
    </row>
    <row r="677" spans="1:8" x14ac:dyDescent="0.3">
      <c r="A677" s="7">
        <v>4615</v>
      </c>
      <c r="B677" t="str" cm="1">
        <f t="array" ref="B677">_xlfn.IFS(A677&lt;=8000,"low",A677&lt;15000,"medium",A677&gt;=15000,"high")</f>
        <v>low</v>
      </c>
      <c r="G677" s="2">
        <v>4</v>
      </c>
      <c r="H677" t="str" cm="1">
        <f t="array" ref="H677">_xlfn.IFS(G677&lt;=15,"Junior",G677&lt;=30,"Mid level",G677&gt;30,"Lead")</f>
        <v>Junior</v>
      </c>
    </row>
    <row r="678" spans="1:8" x14ac:dyDescent="0.3">
      <c r="A678" s="8">
        <v>4617</v>
      </c>
      <c r="B678" t="str" cm="1">
        <f t="array" ref="B678">_xlfn.IFS(A678&lt;=8000,"low",A678&lt;15000,"medium",A678&gt;=15000,"high")</f>
        <v>low</v>
      </c>
      <c r="G678" s="1">
        <v>3</v>
      </c>
      <c r="H678" t="str" cm="1">
        <f t="array" ref="H678">_xlfn.IFS(G678&lt;=15,"Junior",G678&lt;=30,"Mid level",G678&gt;30,"Lead")</f>
        <v>Junior</v>
      </c>
    </row>
    <row r="679" spans="1:8" x14ac:dyDescent="0.3">
      <c r="A679" s="7">
        <v>4621</v>
      </c>
      <c r="B679" t="str" cm="1">
        <f t="array" ref="B679">_xlfn.IFS(A679&lt;=8000,"low",A679&lt;15000,"medium",A679&gt;=15000,"high")</f>
        <v>low</v>
      </c>
      <c r="G679" s="2">
        <v>9</v>
      </c>
      <c r="H679" t="str" cm="1">
        <f t="array" ref="H679">_xlfn.IFS(G679&lt;=15,"Junior",G679&lt;=30,"Mid level",G679&gt;30,"Lead")</f>
        <v>Junior</v>
      </c>
    </row>
    <row r="680" spans="1:8" x14ac:dyDescent="0.3">
      <c r="A680" s="8">
        <v>4627</v>
      </c>
      <c r="B680" t="str" cm="1">
        <f t="array" ref="B680">_xlfn.IFS(A680&lt;=8000,"low",A680&lt;15000,"medium",A680&gt;=15000,"high")</f>
        <v>low</v>
      </c>
      <c r="G680" s="1">
        <v>15</v>
      </c>
      <c r="H680" t="str" cm="1">
        <f t="array" ref="H680">_xlfn.IFS(G680&lt;=15,"Junior",G680&lt;=30,"Mid level",G680&gt;30,"Lead")</f>
        <v>Junior</v>
      </c>
    </row>
    <row r="681" spans="1:8" x14ac:dyDescent="0.3">
      <c r="A681" s="7">
        <v>4639</v>
      </c>
      <c r="B681" t="str" cm="1">
        <f t="array" ref="B681">_xlfn.IFS(A681&lt;=8000,"low",A681&lt;15000,"medium",A681&gt;=15000,"high")</f>
        <v>low</v>
      </c>
      <c r="G681" s="2">
        <v>5</v>
      </c>
      <c r="H681" t="str" cm="1">
        <f t="array" ref="H681">_xlfn.IFS(G681&lt;=15,"Junior",G681&lt;=30,"Mid level",G681&gt;30,"Lead")</f>
        <v>Junior</v>
      </c>
    </row>
    <row r="682" spans="1:8" x14ac:dyDescent="0.3">
      <c r="A682" s="8">
        <v>4639</v>
      </c>
      <c r="B682" t="str" cm="1">
        <f t="array" ref="B682">_xlfn.IFS(A682&lt;=8000,"low",A682&lt;15000,"medium",A682&gt;=15000,"high")</f>
        <v>low</v>
      </c>
      <c r="G682" s="1">
        <v>6</v>
      </c>
      <c r="H682" t="str" cm="1">
        <f t="array" ref="H682">_xlfn.IFS(G682&lt;=15,"Junior",G682&lt;=30,"Mid level",G682&gt;30,"Lead")</f>
        <v>Junior</v>
      </c>
    </row>
    <row r="683" spans="1:8" x14ac:dyDescent="0.3">
      <c r="A683" s="7">
        <v>4647</v>
      </c>
      <c r="B683" t="str" cm="1">
        <f t="array" ref="B683">_xlfn.IFS(A683&lt;=8000,"low",A683&lt;15000,"medium",A683&gt;=15000,"high")</f>
        <v>low</v>
      </c>
      <c r="G683" s="2">
        <v>0</v>
      </c>
      <c r="H683" t="str" cm="1">
        <f t="array" ref="H683">_xlfn.IFS(G683&lt;=15,"Junior",G683&lt;=30,"Mid level",G683&gt;30,"Lead")</f>
        <v>Junior</v>
      </c>
    </row>
    <row r="684" spans="1:8" x14ac:dyDescent="0.3">
      <c r="A684" s="8">
        <v>4648</v>
      </c>
      <c r="B684" t="str" cm="1">
        <f t="array" ref="B684">_xlfn.IFS(A684&lt;=8000,"low",A684&lt;15000,"medium",A684&gt;=15000,"high")</f>
        <v>low</v>
      </c>
      <c r="G684" s="1">
        <v>4</v>
      </c>
      <c r="H684" t="str" cm="1">
        <f t="array" ref="H684">_xlfn.IFS(G684&lt;=15,"Junior",G684&lt;=30,"Mid level",G684&gt;30,"Lead")</f>
        <v>Junior</v>
      </c>
    </row>
    <row r="685" spans="1:8" x14ac:dyDescent="0.3">
      <c r="A685" s="7">
        <v>4649</v>
      </c>
      <c r="B685" t="str" cm="1">
        <f t="array" ref="B685">_xlfn.IFS(A685&lt;=8000,"low",A685&lt;15000,"medium",A685&gt;=15000,"high")</f>
        <v>low</v>
      </c>
      <c r="G685" s="2">
        <v>9</v>
      </c>
      <c r="H685" t="str" cm="1">
        <f t="array" ref="H685">_xlfn.IFS(G685&lt;=15,"Junior",G685&lt;=30,"Mid level",G685&gt;30,"Lead")</f>
        <v>Junior</v>
      </c>
    </row>
    <row r="686" spans="1:8" x14ac:dyDescent="0.3">
      <c r="A686" s="8">
        <v>4661</v>
      </c>
      <c r="B686" t="str" cm="1">
        <f t="array" ref="B686">_xlfn.IFS(A686&lt;=8000,"low",A686&lt;15000,"medium",A686&gt;=15000,"high")</f>
        <v>low</v>
      </c>
      <c r="G686" s="1">
        <v>3</v>
      </c>
      <c r="H686" t="str" cm="1">
        <f t="array" ref="H686">_xlfn.IFS(G686&lt;=15,"Junior",G686&lt;=30,"Mid level",G686&gt;30,"Lead")</f>
        <v>Junior</v>
      </c>
    </row>
    <row r="687" spans="1:8" x14ac:dyDescent="0.3">
      <c r="A687" s="7">
        <v>4663</v>
      </c>
      <c r="B687" t="str" cm="1">
        <f t="array" ref="B687">_xlfn.IFS(A687&lt;=8000,"low",A687&lt;15000,"medium",A687&gt;=15000,"high")</f>
        <v>low</v>
      </c>
      <c r="G687" s="2">
        <v>8</v>
      </c>
      <c r="H687" t="str" cm="1">
        <f t="array" ref="H687">_xlfn.IFS(G687&lt;=15,"Junior",G687&lt;=30,"Mid level",G687&gt;30,"Lead")</f>
        <v>Junior</v>
      </c>
    </row>
    <row r="688" spans="1:8" x14ac:dyDescent="0.3">
      <c r="A688" s="8">
        <v>4668</v>
      </c>
      <c r="B688" t="str" cm="1">
        <f t="array" ref="B688">_xlfn.IFS(A688&lt;=8000,"low",A688&lt;15000,"medium",A688&gt;=15000,"high")</f>
        <v>low</v>
      </c>
      <c r="G688" s="1">
        <v>6</v>
      </c>
      <c r="H688" t="str" cm="1">
        <f t="array" ref="H688">_xlfn.IFS(G688&lt;=15,"Junior",G688&lt;=30,"Mid level",G688&gt;30,"Lead")</f>
        <v>Junior</v>
      </c>
    </row>
    <row r="689" spans="1:8" x14ac:dyDescent="0.3">
      <c r="A689" s="7">
        <v>4678</v>
      </c>
      <c r="B689" t="str" cm="1">
        <f t="array" ref="B689">_xlfn.IFS(A689&lt;=8000,"low",A689&lt;15000,"medium",A689&gt;=15000,"high")</f>
        <v>low</v>
      </c>
      <c r="G689" s="2">
        <v>1</v>
      </c>
      <c r="H689" t="str" cm="1">
        <f t="array" ref="H689">_xlfn.IFS(G689&lt;=15,"Junior",G689&lt;=30,"Mid level",G689&gt;30,"Lead")</f>
        <v>Junior</v>
      </c>
    </row>
    <row r="690" spans="1:8" x14ac:dyDescent="0.3">
      <c r="A690" s="8">
        <v>4680</v>
      </c>
      <c r="B690" t="str" cm="1">
        <f t="array" ref="B690">_xlfn.IFS(A690&lt;=8000,"low",A690&lt;15000,"medium",A690&gt;=15000,"high")</f>
        <v>low</v>
      </c>
      <c r="G690" s="1">
        <v>7</v>
      </c>
      <c r="H690" t="str" cm="1">
        <f t="array" ref="H690">_xlfn.IFS(G690&lt;=15,"Junior",G690&lt;=30,"Mid level",G690&gt;30,"Lead")</f>
        <v>Junior</v>
      </c>
    </row>
    <row r="691" spans="1:8" x14ac:dyDescent="0.3">
      <c r="A691" s="7">
        <v>4682</v>
      </c>
      <c r="B691" t="str" cm="1">
        <f t="array" ref="B691">_xlfn.IFS(A691&lt;=8000,"low",A691&lt;15000,"medium",A691&gt;=15000,"high")</f>
        <v>low</v>
      </c>
      <c r="G691" s="2">
        <v>5</v>
      </c>
      <c r="H691" t="str" cm="1">
        <f t="array" ref="H691">_xlfn.IFS(G691&lt;=15,"Junior",G691&lt;=30,"Mid level",G691&gt;30,"Lead")</f>
        <v>Junior</v>
      </c>
    </row>
    <row r="692" spans="1:8" x14ac:dyDescent="0.3">
      <c r="A692" s="8">
        <v>4684</v>
      </c>
      <c r="B692" t="str" cm="1">
        <f t="array" ref="B692">_xlfn.IFS(A692&lt;=8000,"low",A692&lt;15000,"medium",A692&gt;=15000,"high")</f>
        <v>low</v>
      </c>
      <c r="G692" s="1">
        <v>8</v>
      </c>
      <c r="H692" t="str" cm="1">
        <f t="array" ref="H692">_xlfn.IFS(G692&lt;=15,"Junior",G692&lt;=30,"Mid level",G692&gt;30,"Lead")</f>
        <v>Junior</v>
      </c>
    </row>
    <row r="693" spans="1:8" x14ac:dyDescent="0.3">
      <c r="A693" s="7">
        <v>4695</v>
      </c>
      <c r="B693" t="str" cm="1">
        <f t="array" ref="B693">_xlfn.IFS(A693&lt;=8000,"low",A693&lt;15000,"medium",A693&gt;=15000,"high")</f>
        <v>low</v>
      </c>
      <c r="G693" s="2">
        <v>4</v>
      </c>
      <c r="H693" t="str" cm="1">
        <f t="array" ref="H693">_xlfn.IFS(G693&lt;=15,"Junior",G693&lt;=30,"Mid level",G693&gt;30,"Lead")</f>
        <v>Junior</v>
      </c>
    </row>
    <row r="694" spans="1:8" x14ac:dyDescent="0.3">
      <c r="A694" s="8">
        <v>4707</v>
      </c>
      <c r="B694" t="str" cm="1">
        <f t="array" ref="B694">_xlfn.IFS(A694&lt;=8000,"low",A694&lt;15000,"medium",A694&gt;=15000,"high")</f>
        <v>low</v>
      </c>
      <c r="G694" s="1">
        <v>11</v>
      </c>
      <c r="H694" t="str" cm="1">
        <f t="array" ref="H694">_xlfn.IFS(G694&lt;=15,"Junior",G694&lt;=30,"Mid level",G694&gt;30,"Lead")</f>
        <v>Junior</v>
      </c>
    </row>
    <row r="695" spans="1:8" x14ac:dyDescent="0.3">
      <c r="A695" s="7">
        <v>4717</v>
      </c>
      <c r="B695" t="str" cm="1">
        <f t="array" ref="B695">_xlfn.IFS(A695&lt;=8000,"low",A695&lt;15000,"medium",A695&gt;=15000,"high")</f>
        <v>low</v>
      </c>
      <c r="G695" s="2">
        <v>18</v>
      </c>
      <c r="H695" t="str" cm="1">
        <f t="array" ref="H695">_xlfn.IFS(G695&lt;=15,"Junior",G695&lt;=30,"Mid level",G695&gt;30,"Lead")</f>
        <v>Mid level</v>
      </c>
    </row>
    <row r="696" spans="1:8" x14ac:dyDescent="0.3">
      <c r="A696" s="8">
        <v>4721</v>
      </c>
      <c r="B696" t="str" cm="1">
        <f t="array" ref="B696">_xlfn.IFS(A696&lt;=8000,"low",A696&lt;15000,"medium",A696&gt;=15000,"high")</f>
        <v>low</v>
      </c>
      <c r="G696" s="1">
        <v>10</v>
      </c>
      <c r="H696" t="str" cm="1">
        <f t="array" ref="H696">_xlfn.IFS(G696&lt;=15,"Junior",G696&lt;=30,"Mid level",G696&gt;30,"Lead")</f>
        <v>Junior</v>
      </c>
    </row>
    <row r="697" spans="1:8" x14ac:dyDescent="0.3">
      <c r="A697" s="7">
        <v>4723</v>
      </c>
      <c r="B697" t="str" cm="1">
        <f t="array" ref="B697">_xlfn.IFS(A697&lt;=8000,"low",A697&lt;15000,"medium",A697&gt;=15000,"high")</f>
        <v>low</v>
      </c>
      <c r="G697" s="2">
        <v>5</v>
      </c>
      <c r="H697" t="str" cm="1">
        <f t="array" ref="H697">_xlfn.IFS(G697&lt;=15,"Junior",G697&lt;=30,"Mid level",G697&gt;30,"Lead")</f>
        <v>Junior</v>
      </c>
    </row>
    <row r="698" spans="1:8" x14ac:dyDescent="0.3">
      <c r="A698" s="8">
        <v>4724</v>
      </c>
      <c r="B698" t="str" cm="1">
        <f t="array" ref="B698">_xlfn.IFS(A698&lt;=8000,"low",A698&lt;15000,"medium",A698&gt;=15000,"high")</f>
        <v>low</v>
      </c>
      <c r="G698" s="1">
        <v>9</v>
      </c>
      <c r="H698" t="str" cm="1">
        <f t="array" ref="H698">_xlfn.IFS(G698&lt;=15,"Junior",G698&lt;=30,"Mid level",G698&gt;30,"Lead")</f>
        <v>Junior</v>
      </c>
    </row>
    <row r="699" spans="1:8" x14ac:dyDescent="0.3">
      <c r="A699" s="7">
        <v>4724</v>
      </c>
      <c r="B699" t="str" cm="1">
        <f t="array" ref="B699">_xlfn.IFS(A699&lt;=8000,"low",A699&lt;15000,"medium",A699&gt;=15000,"high")</f>
        <v>low</v>
      </c>
      <c r="G699" s="2">
        <v>0</v>
      </c>
      <c r="H699" t="str" cm="1">
        <f t="array" ref="H699">_xlfn.IFS(G699&lt;=15,"Junior",G699&lt;=30,"Mid level",G699&gt;30,"Lead")</f>
        <v>Junior</v>
      </c>
    </row>
    <row r="700" spans="1:8" x14ac:dyDescent="0.3">
      <c r="A700" s="8">
        <v>4728</v>
      </c>
      <c r="B700" t="str" cm="1">
        <f t="array" ref="B700">_xlfn.IFS(A700&lt;=8000,"low",A700&lt;15000,"medium",A700&gt;=15000,"high")</f>
        <v>low</v>
      </c>
      <c r="G700" s="1">
        <v>13</v>
      </c>
      <c r="H700" t="str" cm="1">
        <f t="array" ref="H700">_xlfn.IFS(G700&lt;=15,"Junior",G700&lt;=30,"Mid level",G700&gt;30,"Lead")</f>
        <v>Junior</v>
      </c>
    </row>
    <row r="701" spans="1:8" x14ac:dyDescent="0.3">
      <c r="A701" s="7">
        <v>4735</v>
      </c>
      <c r="B701" t="str" cm="1">
        <f t="array" ref="B701">_xlfn.IFS(A701&lt;=8000,"low",A701&lt;15000,"medium",A701&gt;=15000,"high")</f>
        <v>low</v>
      </c>
      <c r="G701" s="2">
        <v>2</v>
      </c>
      <c r="H701" t="str" cm="1">
        <f t="array" ref="H701">_xlfn.IFS(G701&lt;=15,"Junior",G701&lt;=30,"Mid level",G701&gt;30,"Lead")</f>
        <v>Junior</v>
      </c>
    </row>
    <row r="702" spans="1:8" x14ac:dyDescent="0.3">
      <c r="A702" s="8">
        <v>4736</v>
      </c>
      <c r="B702" t="str" cm="1">
        <f t="array" ref="B702">_xlfn.IFS(A702&lt;=8000,"low",A702&lt;15000,"medium",A702&gt;=15000,"high")</f>
        <v>low</v>
      </c>
      <c r="G702" s="1">
        <v>3</v>
      </c>
      <c r="H702" t="str" cm="1">
        <f t="array" ref="H702">_xlfn.IFS(G702&lt;=15,"Junior",G702&lt;=30,"Mid level",G702&gt;30,"Lead")</f>
        <v>Junior</v>
      </c>
    </row>
    <row r="703" spans="1:8" x14ac:dyDescent="0.3">
      <c r="A703" s="7">
        <v>4739</v>
      </c>
      <c r="B703" t="str" cm="1">
        <f t="array" ref="B703">_xlfn.IFS(A703&lt;=8000,"low",A703&lt;15000,"medium",A703&gt;=15000,"high")</f>
        <v>low</v>
      </c>
      <c r="G703" s="2">
        <v>5</v>
      </c>
      <c r="H703" t="str" cm="1">
        <f t="array" ref="H703">_xlfn.IFS(G703&lt;=15,"Junior",G703&lt;=30,"Mid level",G703&gt;30,"Lead")</f>
        <v>Junior</v>
      </c>
    </row>
    <row r="704" spans="1:8" x14ac:dyDescent="0.3">
      <c r="A704" s="8">
        <v>4741</v>
      </c>
      <c r="B704" t="str" cm="1">
        <f t="array" ref="B704">_xlfn.IFS(A704&lt;=8000,"low",A704&lt;15000,"medium",A704&gt;=15000,"high")</f>
        <v>low</v>
      </c>
      <c r="G704" s="1">
        <v>13</v>
      </c>
      <c r="H704" t="str" cm="1">
        <f t="array" ref="H704">_xlfn.IFS(G704&lt;=15,"Junior",G704&lt;=30,"Mid level",G704&gt;30,"Lead")</f>
        <v>Junior</v>
      </c>
    </row>
    <row r="705" spans="1:8" x14ac:dyDescent="0.3">
      <c r="A705" s="7">
        <v>4759</v>
      </c>
      <c r="B705" t="str" cm="1">
        <f t="array" ref="B705">_xlfn.IFS(A705&lt;=8000,"low",A705&lt;15000,"medium",A705&gt;=15000,"high")</f>
        <v>low</v>
      </c>
      <c r="G705" s="2">
        <v>1</v>
      </c>
      <c r="H705" t="str" cm="1">
        <f t="array" ref="H705">_xlfn.IFS(G705&lt;=15,"Junior",G705&lt;=30,"Mid level",G705&gt;30,"Lead")</f>
        <v>Junior</v>
      </c>
    </row>
    <row r="706" spans="1:8" x14ac:dyDescent="0.3">
      <c r="A706" s="8">
        <v>4765</v>
      </c>
      <c r="B706" t="str" cm="1">
        <f t="array" ref="B706">_xlfn.IFS(A706&lt;=8000,"low",A706&lt;15000,"medium",A706&gt;=15000,"high")</f>
        <v>low</v>
      </c>
      <c r="G706" s="1">
        <v>1</v>
      </c>
      <c r="H706" t="str" cm="1">
        <f t="array" ref="H706">_xlfn.IFS(G706&lt;=15,"Junior",G706&lt;=30,"Mid level",G706&gt;30,"Lead")</f>
        <v>Junior</v>
      </c>
    </row>
    <row r="707" spans="1:8" x14ac:dyDescent="0.3">
      <c r="A707" s="7">
        <v>4766</v>
      </c>
      <c r="B707" t="str" cm="1">
        <f t="array" ref="B707">_xlfn.IFS(A707&lt;=8000,"low",A707&lt;15000,"medium",A707&gt;=15000,"high")</f>
        <v>low</v>
      </c>
      <c r="G707" s="2">
        <v>1</v>
      </c>
      <c r="H707" t="str" cm="1">
        <f t="array" ref="H707">_xlfn.IFS(G707&lt;=15,"Junior",G707&lt;=30,"Mid level",G707&gt;30,"Lead")</f>
        <v>Junior</v>
      </c>
    </row>
    <row r="708" spans="1:8" x14ac:dyDescent="0.3">
      <c r="A708" s="8">
        <v>4768</v>
      </c>
      <c r="B708" t="str" cm="1">
        <f t="array" ref="B708">_xlfn.IFS(A708&lt;=8000,"low",A708&lt;15000,"medium",A708&gt;=15000,"high")</f>
        <v>low</v>
      </c>
      <c r="G708" s="1">
        <v>5</v>
      </c>
      <c r="H708" t="str" cm="1">
        <f t="array" ref="H708">_xlfn.IFS(G708&lt;=15,"Junior",G708&lt;=30,"Mid level",G708&gt;30,"Lead")</f>
        <v>Junior</v>
      </c>
    </row>
    <row r="709" spans="1:8" x14ac:dyDescent="0.3">
      <c r="A709" s="7">
        <v>4771</v>
      </c>
      <c r="B709" t="str" cm="1">
        <f t="array" ref="B709">_xlfn.IFS(A709&lt;=8000,"low",A709&lt;15000,"medium",A709&gt;=15000,"high")</f>
        <v>low</v>
      </c>
      <c r="G709" s="2">
        <v>7</v>
      </c>
      <c r="H709" t="str" cm="1">
        <f t="array" ref="H709">_xlfn.IFS(G709&lt;=15,"Junior",G709&lt;=30,"Mid level",G709&gt;30,"Lead")</f>
        <v>Junior</v>
      </c>
    </row>
    <row r="710" spans="1:8" x14ac:dyDescent="0.3">
      <c r="A710" s="8">
        <v>4774</v>
      </c>
      <c r="B710" t="str" cm="1">
        <f t="array" ref="B710">_xlfn.IFS(A710&lt;=8000,"low",A710&lt;15000,"medium",A710&gt;=15000,"high")</f>
        <v>low</v>
      </c>
      <c r="G710" s="1">
        <v>2</v>
      </c>
      <c r="H710" t="str" cm="1">
        <f t="array" ref="H710">_xlfn.IFS(G710&lt;=15,"Junior",G710&lt;=30,"Mid level",G710&gt;30,"Lead")</f>
        <v>Junior</v>
      </c>
    </row>
    <row r="711" spans="1:8" x14ac:dyDescent="0.3">
      <c r="A711" s="7">
        <v>4775</v>
      </c>
      <c r="B711" t="str" cm="1">
        <f t="array" ref="B711">_xlfn.IFS(A711&lt;=8000,"low",A711&lt;15000,"medium",A711&gt;=15000,"high")</f>
        <v>low</v>
      </c>
      <c r="G711" s="2">
        <v>1</v>
      </c>
      <c r="H711" t="str" cm="1">
        <f t="array" ref="H711">_xlfn.IFS(G711&lt;=15,"Junior",G711&lt;=30,"Mid level",G711&gt;30,"Lead")</f>
        <v>Junior</v>
      </c>
    </row>
    <row r="712" spans="1:8" x14ac:dyDescent="0.3">
      <c r="A712" s="8">
        <v>4777</v>
      </c>
      <c r="B712" t="str" cm="1">
        <f t="array" ref="B712">_xlfn.IFS(A712&lt;=8000,"low",A712&lt;15000,"medium",A712&gt;=15000,"high")</f>
        <v>low</v>
      </c>
      <c r="G712" s="1">
        <v>8</v>
      </c>
      <c r="H712" t="str" cm="1">
        <f t="array" ref="H712">_xlfn.IFS(G712&lt;=15,"Junior",G712&lt;=30,"Mid level",G712&gt;30,"Lead")</f>
        <v>Junior</v>
      </c>
    </row>
    <row r="713" spans="1:8" x14ac:dyDescent="0.3">
      <c r="A713" s="7">
        <v>4779</v>
      </c>
      <c r="B713" t="str" cm="1">
        <f t="array" ref="B713">_xlfn.IFS(A713&lt;=8000,"low",A713&lt;15000,"medium",A713&gt;=15000,"high")</f>
        <v>low</v>
      </c>
      <c r="G713" s="2">
        <v>3</v>
      </c>
      <c r="H713" t="str" cm="1">
        <f t="array" ref="H713">_xlfn.IFS(G713&lt;=15,"Junior",G713&lt;=30,"Mid level",G713&gt;30,"Lead")</f>
        <v>Junior</v>
      </c>
    </row>
    <row r="714" spans="1:8" x14ac:dyDescent="0.3">
      <c r="A714" s="8">
        <v>4779</v>
      </c>
      <c r="B714" t="str" cm="1">
        <f t="array" ref="B714">_xlfn.IFS(A714&lt;=8000,"low",A714&lt;15000,"medium",A714&gt;=15000,"high")</f>
        <v>low</v>
      </c>
      <c r="G714" s="1">
        <v>2</v>
      </c>
      <c r="H714" t="str" cm="1">
        <f t="array" ref="H714">_xlfn.IFS(G714&lt;=15,"Junior",G714&lt;=30,"Mid level",G714&gt;30,"Lead")</f>
        <v>Junior</v>
      </c>
    </row>
    <row r="715" spans="1:8" x14ac:dyDescent="0.3">
      <c r="A715" s="7">
        <v>4787</v>
      </c>
      <c r="B715" t="str" cm="1">
        <f t="array" ref="B715">_xlfn.IFS(A715&lt;=8000,"low",A715&lt;15000,"medium",A715&gt;=15000,"high")</f>
        <v>low</v>
      </c>
      <c r="G715" s="2">
        <v>3</v>
      </c>
      <c r="H715" t="str" cm="1">
        <f t="array" ref="H715">_xlfn.IFS(G715&lt;=15,"Junior",G715&lt;=30,"Mid level",G715&gt;30,"Lead")</f>
        <v>Junior</v>
      </c>
    </row>
    <row r="716" spans="1:8" x14ac:dyDescent="0.3">
      <c r="A716" s="8">
        <v>4788</v>
      </c>
      <c r="B716" t="str" cm="1">
        <f t="array" ref="B716">_xlfn.IFS(A716&lt;=8000,"low",A716&lt;15000,"medium",A716&gt;=15000,"high")</f>
        <v>low</v>
      </c>
      <c r="G716" s="1">
        <v>3</v>
      </c>
      <c r="H716" t="str" cm="1">
        <f t="array" ref="H716">_xlfn.IFS(G716&lt;=15,"Junior",G716&lt;=30,"Mid level",G716&gt;30,"Lead")</f>
        <v>Junior</v>
      </c>
    </row>
    <row r="717" spans="1:8" x14ac:dyDescent="0.3">
      <c r="A717" s="7">
        <v>4789</v>
      </c>
      <c r="B717" t="str" cm="1">
        <f t="array" ref="B717">_xlfn.IFS(A717&lt;=8000,"low",A717&lt;15000,"medium",A717&gt;=15000,"high")</f>
        <v>low</v>
      </c>
      <c r="G717" s="2">
        <v>8</v>
      </c>
      <c r="H717" t="str" cm="1">
        <f t="array" ref="H717">_xlfn.IFS(G717&lt;=15,"Junior",G717&lt;=30,"Mid level",G717&gt;30,"Lead")</f>
        <v>Junior</v>
      </c>
    </row>
    <row r="718" spans="1:8" x14ac:dyDescent="0.3">
      <c r="A718" s="8">
        <v>4805</v>
      </c>
      <c r="B718" t="str" cm="1">
        <f t="array" ref="B718">_xlfn.IFS(A718&lt;=8000,"low",A718&lt;15000,"medium",A718&gt;=15000,"high")</f>
        <v>low</v>
      </c>
      <c r="G718" s="1">
        <v>16</v>
      </c>
      <c r="H718" t="str" cm="1">
        <f t="array" ref="H718">_xlfn.IFS(G718&lt;=15,"Junior",G718&lt;=30,"Mid level",G718&gt;30,"Lead")</f>
        <v>Mid level</v>
      </c>
    </row>
    <row r="719" spans="1:8" x14ac:dyDescent="0.3">
      <c r="A719" s="7">
        <v>4809</v>
      </c>
      <c r="B719" t="str" cm="1">
        <f t="array" ref="B719">_xlfn.IFS(A719&lt;=8000,"low",A719&lt;15000,"medium",A719&gt;=15000,"high")</f>
        <v>low</v>
      </c>
      <c r="G719" s="2">
        <v>10</v>
      </c>
      <c r="H719" t="str" cm="1">
        <f t="array" ref="H719">_xlfn.IFS(G719&lt;=15,"Junior",G719&lt;=30,"Mid level",G719&gt;30,"Lead")</f>
        <v>Junior</v>
      </c>
    </row>
    <row r="720" spans="1:8" x14ac:dyDescent="0.3">
      <c r="A720" s="8">
        <v>4810</v>
      </c>
      <c r="B720" t="str" cm="1">
        <f t="array" ref="B720">_xlfn.IFS(A720&lt;=8000,"low",A720&lt;15000,"medium",A720&gt;=15000,"high")</f>
        <v>low</v>
      </c>
      <c r="G720" s="1">
        <v>5</v>
      </c>
      <c r="H720" t="str" cm="1">
        <f t="array" ref="H720">_xlfn.IFS(G720&lt;=15,"Junior",G720&lt;=30,"Mid level",G720&gt;30,"Lead")</f>
        <v>Junior</v>
      </c>
    </row>
    <row r="721" spans="1:8" x14ac:dyDescent="0.3">
      <c r="A721" s="7">
        <v>4821</v>
      </c>
      <c r="B721" t="str" cm="1">
        <f t="array" ref="B721">_xlfn.IFS(A721&lt;=8000,"low",A721&lt;15000,"medium",A721&gt;=15000,"high")</f>
        <v>low</v>
      </c>
      <c r="G721" s="2">
        <v>1</v>
      </c>
      <c r="H721" t="str" cm="1">
        <f t="array" ref="H721">_xlfn.IFS(G721&lt;=15,"Junior",G721&lt;=30,"Mid level",G721&gt;30,"Lead")</f>
        <v>Junior</v>
      </c>
    </row>
    <row r="722" spans="1:8" x14ac:dyDescent="0.3">
      <c r="A722" s="8">
        <v>4834</v>
      </c>
      <c r="B722" t="str" cm="1">
        <f t="array" ref="B722">_xlfn.IFS(A722&lt;=8000,"low",A722&lt;15000,"medium",A722&gt;=15000,"high")</f>
        <v>low</v>
      </c>
      <c r="G722" s="1">
        <v>1</v>
      </c>
      <c r="H722" t="str" cm="1">
        <f t="array" ref="H722">_xlfn.IFS(G722&lt;=15,"Junior",G722&lt;=30,"Mid level",G722&gt;30,"Lead")</f>
        <v>Junior</v>
      </c>
    </row>
    <row r="723" spans="1:8" x14ac:dyDescent="0.3">
      <c r="A723" s="7">
        <v>4841</v>
      </c>
      <c r="B723" t="str" cm="1">
        <f t="array" ref="B723">_xlfn.IFS(A723&lt;=8000,"low",A723&lt;15000,"medium",A723&gt;=15000,"high")</f>
        <v>low</v>
      </c>
      <c r="G723" s="2">
        <v>5</v>
      </c>
      <c r="H723" t="str" cm="1">
        <f t="array" ref="H723">_xlfn.IFS(G723&lt;=15,"Junior",G723&lt;=30,"Mid level",G723&gt;30,"Lead")</f>
        <v>Junior</v>
      </c>
    </row>
    <row r="724" spans="1:8" x14ac:dyDescent="0.3">
      <c r="A724" s="8">
        <v>4850</v>
      </c>
      <c r="B724" t="str" cm="1">
        <f t="array" ref="B724">_xlfn.IFS(A724&lt;=8000,"low",A724&lt;15000,"medium",A724&gt;=15000,"high")</f>
        <v>low</v>
      </c>
      <c r="G724" s="1">
        <v>3</v>
      </c>
      <c r="H724" t="str" cm="1">
        <f t="array" ref="H724">_xlfn.IFS(G724&lt;=15,"Junior",G724&lt;=30,"Mid level",G724&gt;30,"Lead")</f>
        <v>Junior</v>
      </c>
    </row>
    <row r="725" spans="1:8" x14ac:dyDescent="0.3">
      <c r="A725" s="7">
        <v>4851</v>
      </c>
      <c r="B725" t="str" cm="1">
        <f t="array" ref="B725">_xlfn.IFS(A725&lt;=8000,"low",A725&lt;15000,"medium",A725&gt;=15000,"high")</f>
        <v>low</v>
      </c>
      <c r="G725" s="2">
        <v>5</v>
      </c>
      <c r="H725" t="str" cm="1">
        <f t="array" ref="H725">_xlfn.IFS(G725&lt;=15,"Junior",G725&lt;=30,"Mid level",G725&gt;30,"Lead")</f>
        <v>Junior</v>
      </c>
    </row>
    <row r="726" spans="1:8" x14ac:dyDescent="0.3">
      <c r="A726" s="8">
        <v>4855</v>
      </c>
      <c r="B726" t="str" cm="1">
        <f t="array" ref="B726">_xlfn.IFS(A726&lt;=8000,"low",A726&lt;15000,"medium",A726&gt;=15000,"high")</f>
        <v>low</v>
      </c>
      <c r="G726" s="1">
        <v>5</v>
      </c>
      <c r="H726" t="str" cm="1">
        <f t="array" ref="H726">_xlfn.IFS(G726&lt;=15,"Junior",G726&lt;=30,"Mid level",G726&gt;30,"Lead")</f>
        <v>Junior</v>
      </c>
    </row>
    <row r="727" spans="1:8" x14ac:dyDescent="0.3">
      <c r="A727" s="7">
        <v>4859</v>
      </c>
      <c r="B727" t="str" cm="1">
        <f t="array" ref="B727">_xlfn.IFS(A727&lt;=8000,"low",A727&lt;15000,"medium",A727&gt;=15000,"high")</f>
        <v>low</v>
      </c>
      <c r="G727" s="2">
        <v>4</v>
      </c>
      <c r="H727" t="str" cm="1">
        <f t="array" ref="H727">_xlfn.IFS(G727&lt;=15,"Junior",G727&lt;=30,"Mid level",G727&gt;30,"Lead")</f>
        <v>Junior</v>
      </c>
    </row>
    <row r="728" spans="1:8" x14ac:dyDescent="0.3">
      <c r="A728" s="8">
        <v>4869</v>
      </c>
      <c r="B728" t="str" cm="1">
        <f t="array" ref="B728">_xlfn.IFS(A728&lt;=8000,"low",A728&lt;15000,"medium",A728&gt;=15000,"high")</f>
        <v>low</v>
      </c>
      <c r="G728" s="1">
        <v>3</v>
      </c>
      <c r="H728" t="str" cm="1">
        <f t="array" ref="H728">_xlfn.IFS(G728&lt;=15,"Junior",G728&lt;=30,"Mid level",G728&gt;30,"Lead")</f>
        <v>Junior</v>
      </c>
    </row>
    <row r="729" spans="1:8" x14ac:dyDescent="0.3">
      <c r="A729" s="7">
        <v>4876</v>
      </c>
      <c r="B729" t="str" cm="1">
        <f t="array" ref="B729">_xlfn.IFS(A729&lt;=8000,"low",A729&lt;15000,"medium",A729&gt;=15000,"high")</f>
        <v>low</v>
      </c>
      <c r="G729" s="2">
        <v>6</v>
      </c>
      <c r="H729" t="str" cm="1">
        <f t="array" ref="H729">_xlfn.IFS(G729&lt;=15,"Junior",G729&lt;=30,"Mid level",G729&gt;30,"Lead")</f>
        <v>Junior</v>
      </c>
    </row>
    <row r="730" spans="1:8" x14ac:dyDescent="0.3">
      <c r="A730" s="8">
        <v>4876</v>
      </c>
      <c r="B730" t="str" cm="1">
        <f t="array" ref="B730">_xlfn.IFS(A730&lt;=8000,"low",A730&lt;15000,"medium",A730&gt;=15000,"high")</f>
        <v>low</v>
      </c>
      <c r="G730" s="1">
        <v>5</v>
      </c>
      <c r="H730" t="str" cm="1">
        <f t="array" ref="H730">_xlfn.IFS(G730&lt;=15,"Junior",G730&lt;=30,"Mid level",G730&gt;30,"Lead")</f>
        <v>Junior</v>
      </c>
    </row>
    <row r="731" spans="1:8" x14ac:dyDescent="0.3">
      <c r="A731" s="7">
        <v>4877</v>
      </c>
      <c r="B731" t="str" cm="1">
        <f t="array" ref="B731">_xlfn.IFS(A731&lt;=8000,"low",A731&lt;15000,"medium",A731&gt;=15000,"high")</f>
        <v>low</v>
      </c>
      <c r="G731" s="2">
        <v>9</v>
      </c>
      <c r="H731" t="str" cm="1">
        <f t="array" ref="H731">_xlfn.IFS(G731&lt;=15,"Junior",G731&lt;=30,"Mid level",G731&gt;30,"Lead")</f>
        <v>Junior</v>
      </c>
    </row>
    <row r="732" spans="1:8" x14ac:dyDescent="0.3">
      <c r="A732" s="8">
        <v>4878</v>
      </c>
      <c r="B732" t="str" cm="1">
        <f t="array" ref="B732">_xlfn.IFS(A732&lt;=8000,"low",A732&lt;15000,"medium",A732&gt;=15000,"high")</f>
        <v>low</v>
      </c>
      <c r="G732" s="1">
        <v>10</v>
      </c>
      <c r="H732" t="str" cm="1">
        <f t="array" ref="H732">_xlfn.IFS(G732&lt;=15,"Junior",G732&lt;=30,"Mid level",G732&gt;30,"Lead")</f>
        <v>Junior</v>
      </c>
    </row>
    <row r="733" spans="1:8" x14ac:dyDescent="0.3">
      <c r="A733" s="7">
        <v>4883</v>
      </c>
      <c r="B733" t="str" cm="1">
        <f t="array" ref="B733">_xlfn.IFS(A733&lt;=8000,"low",A733&lt;15000,"medium",A733&gt;=15000,"high")</f>
        <v>low</v>
      </c>
      <c r="G733" s="2">
        <v>4</v>
      </c>
      <c r="H733" t="str" cm="1">
        <f t="array" ref="H733">_xlfn.IFS(G733&lt;=15,"Junior",G733&lt;=30,"Mid level",G733&gt;30,"Lead")</f>
        <v>Junior</v>
      </c>
    </row>
    <row r="734" spans="1:8" x14ac:dyDescent="0.3">
      <c r="A734" s="8">
        <v>4898</v>
      </c>
      <c r="B734" t="str" cm="1">
        <f t="array" ref="B734">_xlfn.IFS(A734&lt;=8000,"low",A734&lt;15000,"medium",A734&gt;=15000,"high")</f>
        <v>low</v>
      </c>
      <c r="G734" s="1">
        <v>4</v>
      </c>
      <c r="H734" t="str" cm="1">
        <f t="array" ref="H734">_xlfn.IFS(G734&lt;=15,"Junior",G734&lt;=30,"Mid level",G734&gt;30,"Lead")</f>
        <v>Junior</v>
      </c>
    </row>
    <row r="735" spans="1:8" x14ac:dyDescent="0.3">
      <c r="A735" s="7">
        <v>4898</v>
      </c>
      <c r="B735" t="str" cm="1">
        <f t="array" ref="B735">_xlfn.IFS(A735&lt;=8000,"low",A735&lt;15000,"medium",A735&gt;=15000,"high")</f>
        <v>low</v>
      </c>
      <c r="G735" s="2">
        <v>12</v>
      </c>
      <c r="H735" t="str" cm="1">
        <f t="array" ref="H735">_xlfn.IFS(G735&lt;=15,"Junior",G735&lt;=30,"Mid level",G735&gt;30,"Lead")</f>
        <v>Junior</v>
      </c>
    </row>
    <row r="736" spans="1:8" x14ac:dyDescent="0.3">
      <c r="A736" s="8">
        <v>4900</v>
      </c>
      <c r="B736" t="str" cm="1">
        <f t="array" ref="B736">_xlfn.IFS(A736&lt;=8000,"low",A736&lt;15000,"medium",A736&gt;=15000,"high")</f>
        <v>low</v>
      </c>
      <c r="G736" s="1">
        <v>20</v>
      </c>
      <c r="H736" t="str" cm="1">
        <f t="array" ref="H736">_xlfn.IFS(G736&lt;=15,"Junior",G736&lt;=30,"Mid level",G736&gt;30,"Lead")</f>
        <v>Mid level</v>
      </c>
    </row>
    <row r="737" spans="1:8" x14ac:dyDescent="0.3">
      <c r="A737" s="7">
        <v>4907</v>
      </c>
      <c r="B737" t="str" cm="1">
        <f t="array" ref="B737">_xlfn.IFS(A737&lt;=8000,"low",A737&lt;15000,"medium",A737&gt;=15000,"high")</f>
        <v>low</v>
      </c>
      <c r="G737" s="2">
        <v>5</v>
      </c>
      <c r="H737" t="str" cm="1">
        <f t="array" ref="H737">_xlfn.IFS(G737&lt;=15,"Junior",G737&lt;=30,"Mid level",G737&gt;30,"Lead")</f>
        <v>Junior</v>
      </c>
    </row>
    <row r="738" spans="1:8" x14ac:dyDescent="0.3">
      <c r="A738" s="8">
        <v>4907</v>
      </c>
      <c r="B738" t="str" cm="1">
        <f t="array" ref="B738">_xlfn.IFS(A738&lt;=8000,"low",A738&lt;15000,"medium",A738&gt;=15000,"high")</f>
        <v>low</v>
      </c>
      <c r="G738" s="1">
        <v>4</v>
      </c>
      <c r="H738" t="str" cm="1">
        <f t="array" ref="H738">_xlfn.IFS(G738&lt;=15,"Junior",G738&lt;=30,"Mid level",G738&gt;30,"Lead")</f>
        <v>Junior</v>
      </c>
    </row>
    <row r="739" spans="1:8" x14ac:dyDescent="0.3">
      <c r="A739" s="7">
        <v>4908</v>
      </c>
      <c r="B739" t="str" cm="1">
        <f t="array" ref="B739">_xlfn.IFS(A739&lt;=8000,"low",A739&lt;15000,"medium",A739&gt;=15000,"high")</f>
        <v>low</v>
      </c>
      <c r="G739" s="2">
        <v>5</v>
      </c>
      <c r="H739" t="str" cm="1">
        <f t="array" ref="H739">_xlfn.IFS(G739&lt;=15,"Junior",G739&lt;=30,"Mid level",G739&gt;30,"Lead")</f>
        <v>Junior</v>
      </c>
    </row>
    <row r="740" spans="1:8" x14ac:dyDescent="0.3">
      <c r="A740" s="8">
        <v>4930</v>
      </c>
      <c r="B740" t="str" cm="1">
        <f t="array" ref="B740">_xlfn.IFS(A740&lt;=8000,"low",A740&lt;15000,"medium",A740&gt;=15000,"high")</f>
        <v>low</v>
      </c>
      <c r="G740" s="1">
        <v>7</v>
      </c>
      <c r="H740" t="str" cm="1">
        <f t="array" ref="H740">_xlfn.IFS(G740&lt;=15,"Junior",G740&lt;=30,"Mid level",G740&gt;30,"Lead")</f>
        <v>Junior</v>
      </c>
    </row>
    <row r="741" spans="1:8" x14ac:dyDescent="0.3">
      <c r="A741" s="7">
        <v>4936</v>
      </c>
      <c r="B741" t="str" cm="1">
        <f t="array" ref="B741">_xlfn.IFS(A741&lt;=8000,"low",A741&lt;15000,"medium",A741&gt;=15000,"high")</f>
        <v>low</v>
      </c>
      <c r="G741" s="2">
        <v>5</v>
      </c>
      <c r="H741" t="str" cm="1">
        <f t="array" ref="H741">_xlfn.IFS(G741&lt;=15,"Junior",G741&lt;=30,"Mid level",G741&gt;30,"Lead")</f>
        <v>Junior</v>
      </c>
    </row>
    <row r="742" spans="1:8" x14ac:dyDescent="0.3">
      <c r="A742" s="8">
        <v>4936</v>
      </c>
      <c r="B742" t="str" cm="1">
        <f t="array" ref="B742">_xlfn.IFS(A742&lt;=8000,"low",A742&lt;15000,"medium",A742&gt;=15000,"high")</f>
        <v>low</v>
      </c>
      <c r="G742" s="1">
        <v>3</v>
      </c>
      <c r="H742" t="str" cm="1">
        <f t="array" ref="H742">_xlfn.IFS(G742&lt;=15,"Junior",G742&lt;=30,"Mid level",G742&gt;30,"Lead")</f>
        <v>Junior</v>
      </c>
    </row>
    <row r="743" spans="1:8" x14ac:dyDescent="0.3">
      <c r="A743" s="7">
        <v>4941</v>
      </c>
      <c r="B743" t="str" cm="1">
        <f t="array" ref="B743">_xlfn.IFS(A743&lt;=8000,"low",A743&lt;15000,"medium",A743&gt;=15000,"high")</f>
        <v>low</v>
      </c>
      <c r="G743" s="2">
        <v>8</v>
      </c>
      <c r="H743" t="str" cm="1">
        <f t="array" ref="H743">_xlfn.IFS(G743&lt;=15,"Junior",G743&lt;=30,"Mid level",G743&gt;30,"Lead")</f>
        <v>Junior</v>
      </c>
    </row>
    <row r="744" spans="1:8" x14ac:dyDescent="0.3">
      <c r="A744" s="8">
        <v>4941</v>
      </c>
      <c r="B744" t="str" cm="1">
        <f t="array" ref="B744">_xlfn.IFS(A744&lt;=8000,"low",A744&lt;15000,"medium",A744&gt;=15000,"high")</f>
        <v>low</v>
      </c>
      <c r="G744" s="1">
        <v>4</v>
      </c>
      <c r="H744" t="str" cm="1">
        <f t="array" ref="H744">_xlfn.IFS(G744&lt;=15,"Junior",G744&lt;=30,"Mid level",G744&gt;30,"Lead")</f>
        <v>Junior</v>
      </c>
    </row>
    <row r="745" spans="1:8" x14ac:dyDescent="0.3">
      <c r="A745" s="7">
        <v>4950</v>
      </c>
      <c r="B745" t="str" cm="1">
        <f t="array" ref="B745">_xlfn.IFS(A745&lt;=8000,"low",A745&lt;15000,"medium",A745&gt;=15000,"high")</f>
        <v>low</v>
      </c>
      <c r="G745" s="2">
        <v>7</v>
      </c>
      <c r="H745" t="str" cm="1">
        <f t="array" ref="H745">_xlfn.IFS(G745&lt;=15,"Junior",G745&lt;=30,"Mid level",G745&gt;30,"Lead")</f>
        <v>Junior</v>
      </c>
    </row>
    <row r="746" spans="1:8" x14ac:dyDescent="0.3">
      <c r="A746" s="8">
        <v>4960</v>
      </c>
      <c r="B746" t="str" cm="1">
        <f t="array" ref="B746">_xlfn.IFS(A746&lt;=8000,"low",A746&lt;15000,"medium",A746&gt;=15000,"high")</f>
        <v>low</v>
      </c>
      <c r="G746" s="1">
        <v>5</v>
      </c>
      <c r="H746" t="str" cm="1">
        <f t="array" ref="H746">_xlfn.IFS(G746&lt;=15,"Junior",G746&lt;=30,"Mid level",G746&gt;30,"Lead")</f>
        <v>Junior</v>
      </c>
    </row>
    <row r="747" spans="1:8" x14ac:dyDescent="0.3">
      <c r="A747" s="7">
        <v>4963</v>
      </c>
      <c r="B747" t="str" cm="1">
        <f t="array" ref="B747">_xlfn.IFS(A747&lt;=8000,"low",A747&lt;15000,"medium",A747&gt;=15000,"high")</f>
        <v>low</v>
      </c>
      <c r="G747" s="2">
        <v>5</v>
      </c>
      <c r="H747" t="str" cm="1">
        <f t="array" ref="H747">_xlfn.IFS(G747&lt;=15,"Junior",G747&lt;=30,"Mid level",G747&gt;30,"Lead")</f>
        <v>Junior</v>
      </c>
    </row>
    <row r="748" spans="1:8" x14ac:dyDescent="0.3">
      <c r="A748" s="8">
        <v>4968</v>
      </c>
      <c r="B748" t="str" cm="1">
        <f t="array" ref="B748">_xlfn.IFS(A748&lt;=8000,"low",A748&lt;15000,"medium",A748&gt;=15000,"high")</f>
        <v>low</v>
      </c>
      <c r="G748" s="1">
        <v>9</v>
      </c>
      <c r="H748" t="str" cm="1">
        <f t="array" ref="H748">_xlfn.IFS(G748&lt;=15,"Junior",G748&lt;=30,"Mid level",G748&gt;30,"Lead")</f>
        <v>Junior</v>
      </c>
    </row>
    <row r="749" spans="1:8" x14ac:dyDescent="0.3">
      <c r="A749" s="7">
        <v>4968</v>
      </c>
      <c r="B749" t="str" cm="1">
        <f t="array" ref="B749">_xlfn.IFS(A749&lt;=8000,"low",A749&lt;15000,"medium",A749&gt;=15000,"high")</f>
        <v>low</v>
      </c>
      <c r="G749" s="2">
        <v>2</v>
      </c>
      <c r="H749" t="str" cm="1">
        <f t="array" ref="H749">_xlfn.IFS(G749&lt;=15,"Junior",G749&lt;=30,"Mid level",G749&gt;30,"Lead")</f>
        <v>Junior</v>
      </c>
    </row>
    <row r="750" spans="1:8" x14ac:dyDescent="0.3">
      <c r="A750" s="8">
        <v>4969</v>
      </c>
      <c r="B750" t="str" cm="1">
        <f t="array" ref="B750">_xlfn.IFS(A750&lt;=8000,"low",A750&lt;15000,"medium",A750&gt;=15000,"high")</f>
        <v>low</v>
      </c>
      <c r="G750" s="1">
        <v>1</v>
      </c>
      <c r="H750" t="str" cm="1">
        <f t="array" ref="H750">_xlfn.IFS(G750&lt;=15,"Junior",G750&lt;=30,"Mid level",G750&gt;30,"Lead")</f>
        <v>Junior</v>
      </c>
    </row>
    <row r="751" spans="1:8" x14ac:dyDescent="0.3">
      <c r="A751" s="7">
        <v>4978</v>
      </c>
      <c r="B751" t="str" cm="1">
        <f t="array" ref="B751">_xlfn.IFS(A751&lt;=8000,"low",A751&lt;15000,"medium",A751&gt;=15000,"high")</f>
        <v>low</v>
      </c>
      <c r="G751" s="2">
        <v>8</v>
      </c>
      <c r="H751" t="str" cm="1">
        <f t="array" ref="H751">_xlfn.IFS(G751&lt;=15,"Junior",G751&lt;=30,"Mid level",G751&gt;30,"Lead")</f>
        <v>Junior</v>
      </c>
    </row>
    <row r="752" spans="1:8" x14ac:dyDescent="0.3">
      <c r="A752" s="8">
        <v>4998</v>
      </c>
      <c r="B752" t="str" cm="1">
        <f t="array" ref="B752">_xlfn.IFS(A752&lt;=8000,"low",A752&lt;15000,"medium",A752&gt;=15000,"high")</f>
        <v>low</v>
      </c>
      <c r="G752" s="1">
        <v>3</v>
      </c>
      <c r="H752" t="str" cm="1">
        <f t="array" ref="H752">_xlfn.IFS(G752&lt;=15,"Junior",G752&lt;=30,"Mid level",G752&gt;30,"Lead")</f>
        <v>Junior</v>
      </c>
    </row>
    <row r="753" spans="1:8" x14ac:dyDescent="0.3">
      <c r="A753" s="7">
        <v>4999</v>
      </c>
      <c r="B753" t="str" cm="1">
        <f t="array" ref="B753">_xlfn.IFS(A753&lt;=8000,"low",A753&lt;15000,"medium",A753&gt;=15000,"high")</f>
        <v>low</v>
      </c>
      <c r="G753" s="2">
        <v>2</v>
      </c>
      <c r="H753" t="str" cm="1">
        <f t="array" ref="H753">_xlfn.IFS(G753&lt;=15,"Junior",G753&lt;=30,"Mid level",G753&gt;30,"Lead")</f>
        <v>Junior</v>
      </c>
    </row>
    <row r="754" spans="1:8" x14ac:dyDescent="0.3">
      <c r="A754" s="8">
        <v>5003</v>
      </c>
      <c r="B754" t="str" cm="1">
        <f t="array" ref="B754">_xlfn.IFS(A754&lt;=8000,"low",A754&lt;15000,"medium",A754&gt;=15000,"high")</f>
        <v>low</v>
      </c>
      <c r="G754" s="1">
        <v>10</v>
      </c>
      <c r="H754" t="str" cm="1">
        <f t="array" ref="H754">_xlfn.IFS(G754&lt;=15,"Junior",G754&lt;=30,"Mid level",G754&gt;30,"Lead")</f>
        <v>Junior</v>
      </c>
    </row>
    <row r="755" spans="1:8" x14ac:dyDescent="0.3">
      <c r="A755" s="7">
        <v>5003</v>
      </c>
      <c r="B755" t="str" cm="1">
        <f t="array" ref="B755">_xlfn.IFS(A755&lt;=8000,"low",A755&lt;15000,"medium",A755&gt;=15000,"high")</f>
        <v>low</v>
      </c>
      <c r="G755" s="2">
        <v>5</v>
      </c>
      <c r="H755" t="str" cm="1">
        <f t="array" ref="H755">_xlfn.IFS(G755&lt;=15,"Junior",G755&lt;=30,"Mid level",G755&gt;30,"Lead")</f>
        <v>Junior</v>
      </c>
    </row>
    <row r="756" spans="1:8" x14ac:dyDescent="0.3">
      <c r="A756" s="8">
        <v>5006</v>
      </c>
      <c r="B756" t="str" cm="1">
        <f t="array" ref="B756">_xlfn.IFS(A756&lt;=8000,"low",A756&lt;15000,"medium",A756&gt;=15000,"high")</f>
        <v>low</v>
      </c>
      <c r="G756" s="1">
        <v>11</v>
      </c>
      <c r="H756" t="str" cm="1">
        <f t="array" ref="H756">_xlfn.IFS(G756&lt;=15,"Junior",G756&lt;=30,"Mid level",G756&gt;30,"Lead")</f>
        <v>Junior</v>
      </c>
    </row>
    <row r="757" spans="1:8" x14ac:dyDescent="0.3">
      <c r="A757" s="7">
        <v>5010</v>
      </c>
      <c r="B757" t="str" cm="1">
        <f t="array" ref="B757">_xlfn.IFS(A757&lt;=8000,"low",A757&lt;15000,"medium",A757&gt;=15000,"high")</f>
        <v>low</v>
      </c>
      <c r="G757" s="2">
        <v>4</v>
      </c>
      <c r="H757" t="str" cm="1">
        <f t="array" ref="H757">_xlfn.IFS(G757&lt;=15,"Junior",G757&lt;=30,"Mid level",G757&gt;30,"Lead")</f>
        <v>Junior</v>
      </c>
    </row>
    <row r="758" spans="1:8" x14ac:dyDescent="0.3">
      <c r="A758" s="8">
        <v>5021</v>
      </c>
      <c r="B758" t="str" cm="1">
        <f t="array" ref="B758">_xlfn.IFS(A758&lt;=8000,"low",A758&lt;15000,"medium",A758&gt;=15000,"high")</f>
        <v>low</v>
      </c>
      <c r="G758" s="1">
        <v>2</v>
      </c>
      <c r="H758" t="str" cm="1">
        <f t="array" ref="H758">_xlfn.IFS(G758&lt;=15,"Junior",G758&lt;=30,"Mid level",G758&gt;30,"Lead")</f>
        <v>Junior</v>
      </c>
    </row>
    <row r="759" spans="1:8" x14ac:dyDescent="0.3">
      <c r="A759" s="7">
        <v>5033</v>
      </c>
      <c r="B759" t="str" cm="1">
        <f t="array" ref="B759">_xlfn.IFS(A759&lt;=8000,"low",A759&lt;15000,"medium",A759&gt;=15000,"high")</f>
        <v>low</v>
      </c>
      <c r="G759" s="2">
        <v>9</v>
      </c>
      <c r="H759" t="str" cm="1">
        <f t="array" ref="H759">_xlfn.IFS(G759&lt;=15,"Junior",G759&lt;=30,"Mid level",G759&gt;30,"Lead")</f>
        <v>Junior</v>
      </c>
    </row>
    <row r="760" spans="1:8" x14ac:dyDescent="0.3">
      <c r="A760" s="8">
        <v>5042</v>
      </c>
      <c r="B760" t="str" cm="1">
        <f t="array" ref="B760">_xlfn.IFS(A760&lt;=8000,"low",A760&lt;15000,"medium",A760&gt;=15000,"high")</f>
        <v>low</v>
      </c>
      <c r="G760" s="1">
        <v>7</v>
      </c>
      <c r="H760" t="str" cm="1">
        <f t="array" ref="H760">_xlfn.IFS(G760&lt;=15,"Junior",G760&lt;=30,"Mid level",G760&gt;30,"Lead")</f>
        <v>Junior</v>
      </c>
    </row>
    <row r="761" spans="1:8" x14ac:dyDescent="0.3">
      <c r="A761" s="7">
        <v>5055</v>
      </c>
      <c r="B761" t="str" cm="1">
        <f t="array" ref="B761">_xlfn.IFS(A761&lt;=8000,"low",A761&lt;15000,"medium",A761&gt;=15000,"high")</f>
        <v>low</v>
      </c>
      <c r="G761" s="2">
        <v>10</v>
      </c>
      <c r="H761" t="str" cm="1">
        <f t="array" ref="H761">_xlfn.IFS(G761&lt;=15,"Junior",G761&lt;=30,"Mid level",G761&gt;30,"Lead")</f>
        <v>Junior</v>
      </c>
    </row>
    <row r="762" spans="1:8" x14ac:dyDescent="0.3">
      <c r="A762" s="8">
        <v>5056</v>
      </c>
      <c r="B762" t="str" cm="1">
        <f t="array" ref="B762">_xlfn.IFS(A762&lt;=8000,"low",A762&lt;15000,"medium",A762&gt;=15000,"high")</f>
        <v>low</v>
      </c>
      <c r="G762" s="1">
        <v>8</v>
      </c>
      <c r="H762" t="str" cm="1">
        <f t="array" ref="H762">_xlfn.IFS(G762&lt;=15,"Junior",G762&lt;=30,"Mid level",G762&gt;30,"Lead")</f>
        <v>Junior</v>
      </c>
    </row>
    <row r="763" spans="1:8" x14ac:dyDescent="0.3">
      <c r="A763" s="7">
        <v>5063</v>
      </c>
      <c r="B763" t="str" cm="1">
        <f t="array" ref="B763">_xlfn.IFS(A763&lt;=8000,"low",A763&lt;15000,"medium",A763&gt;=15000,"high")</f>
        <v>low</v>
      </c>
      <c r="G763" s="2">
        <v>19</v>
      </c>
      <c r="H763" t="str" cm="1">
        <f t="array" ref="H763">_xlfn.IFS(G763&lt;=15,"Junior",G763&lt;=30,"Mid level",G763&gt;30,"Lead")</f>
        <v>Mid level</v>
      </c>
    </row>
    <row r="764" spans="1:8" x14ac:dyDescent="0.3">
      <c r="A764" s="8">
        <v>5067</v>
      </c>
      <c r="B764" t="str" cm="1">
        <f t="array" ref="B764">_xlfn.IFS(A764&lt;=8000,"low",A764&lt;15000,"medium",A764&gt;=15000,"high")</f>
        <v>low</v>
      </c>
      <c r="G764" s="1">
        <v>5</v>
      </c>
      <c r="H764" t="str" cm="1">
        <f t="array" ref="H764">_xlfn.IFS(G764&lt;=15,"Junior",G764&lt;=30,"Mid level",G764&gt;30,"Lead")</f>
        <v>Junior</v>
      </c>
    </row>
    <row r="765" spans="1:8" x14ac:dyDescent="0.3">
      <c r="A765" s="7">
        <v>5070</v>
      </c>
      <c r="B765" t="str" cm="1">
        <f t="array" ref="B765">_xlfn.IFS(A765&lt;=8000,"low",A765&lt;15000,"medium",A765&gt;=15000,"high")</f>
        <v>low</v>
      </c>
      <c r="G765" s="2">
        <v>6</v>
      </c>
      <c r="H765" t="str" cm="1">
        <f t="array" ref="H765">_xlfn.IFS(G765&lt;=15,"Junior",G765&lt;=30,"Mid level",G765&gt;30,"Lead")</f>
        <v>Junior</v>
      </c>
    </row>
    <row r="766" spans="1:8" x14ac:dyDescent="0.3">
      <c r="A766" s="8">
        <v>5071</v>
      </c>
      <c r="B766" t="str" cm="1">
        <f t="array" ref="B766">_xlfn.IFS(A766&lt;=8000,"low",A766&lt;15000,"medium",A766&gt;=15000,"high")</f>
        <v>low</v>
      </c>
      <c r="G766" s="1">
        <v>7</v>
      </c>
      <c r="H766" t="str" cm="1">
        <f t="array" ref="H766">_xlfn.IFS(G766&lt;=15,"Junior",G766&lt;=30,"Mid level",G766&gt;30,"Lead")</f>
        <v>Junior</v>
      </c>
    </row>
    <row r="767" spans="1:8" x14ac:dyDescent="0.3">
      <c r="A767" s="7">
        <v>5079</v>
      </c>
      <c r="B767" t="str" cm="1">
        <f t="array" ref="B767">_xlfn.IFS(A767&lt;=8000,"low",A767&lt;15000,"medium",A767&gt;=15000,"high")</f>
        <v>low</v>
      </c>
      <c r="G767" s="2">
        <v>0</v>
      </c>
      <c r="H767" t="str" cm="1">
        <f t="array" ref="H767">_xlfn.IFS(G767&lt;=15,"Junior",G767&lt;=30,"Mid level",G767&gt;30,"Lead")</f>
        <v>Junior</v>
      </c>
    </row>
    <row r="768" spans="1:8" x14ac:dyDescent="0.3">
      <c r="A768" s="8">
        <v>5087</v>
      </c>
      <c r="B768" t="str" cm="1">
        <f t="array" ref="B768">_xlfn.IFS(A768&lt;=8000,"low",A768&lt;15000,"medium",A768&gt;=15000,"high")</f>
        <v>low</v>
      </c>
      <c r="G768" s="1">
        <v>1</v>
      </c>
      <c r="H768" t="str" cm="1">
        <f t="array" ref="H768">_xlfn.IFS(G768&lt;=15,"Junior",G768&lt;=30,"Mid level",G768&gt;30,"Lead")</f>
        <v>Junior</v>
      </c>
    </row>
    <row r="769" spans="1:8" x14ac:dyDescent="0.3">
      <c r="A769" s="7">
        <v>5093</v>
      </c>
      <c r="B769" t="str" cm="1">
        <f t="array" ref="B769">_xlfn.IFS(A769&lt;=8000,"low",A769&lt;15000,"medium",A769&gt;=15000,"high")</f>
        <v>low</v>
      </c>
      <c r="G769" s="2">
        <v>1</v>
      </c>
      <c r="H769" t="str" cm="1">
        <f t="array" ref="H769">_xlfn.IFS(G769&lt;=15,"Junior",G769&lt;=30,"Mid level",G769&gt;30,"Lead")</f>
        <v>Junior</v>
      </c>
    </row>
    <row r="770" spans="1:8" x14ac:dyDescent="0.3">
      <c r="A770" s="8">
        <v>5094</v>
      </c>
      <c r="B770" t="str" cm="1">
        <f t="array" ref="B770">_xlfn.IFS(A770&lt;=8000,"low",A770&lt;15000,"medium",A770&gt;=15000,"high")</f>
        <v>low</v>
      </c>
      <c r="G770" s="1">
        <v>10</v>
      </c>
      <c r="H770" t="str" cm="1">
        <f t="array" ref="H770">_xlfn.IFS(G770&lt;=15,"Junior",G770&lt;=30,"Mid level",G770&gt;30,"Lead")</f>
        <v>Junior</v>
      </c>
    </row>
    <row r="771" spans="1:8" x14ac:dyDescent="0.3">
      <c r="A771" s="7">
        <v>5098</v>
      </c>
      <c r="B771" t="str" cm="1">
        <f t="array" ref="B771">_xlfn.IFS(A771&lt;=8000,"low",A771&lt;15000,"medium",A771&gt;=15000,"high")</f>
        <v>low</v>
      </c>
      <c r="G771" s="2">
        <v>0</v>
      </c>
      <c r="H771" t="str" cm="1">
        <f t="array" ref="H771">_xlfn.IFS(G771&lt;=15,"Junior",G771&lt;=30,"Mid level",G771&gt;30,"Lead")</f>
        <v>Junior</v>
      </c>
    </row>
    <row r="772" spans="1:8" x14ac:dyDescent="0.3">
      <c r="A772" s="8">
        <v>5121</v>
      </c>
      <c r="B772" t="str" cm="1">
        <f t="array" ref="B772">_xlfn.IFS(A772&lt;=8000,"low",A772&lt;15000,"medium",A772&gt;=15000,"high")</f>
        <v>low</v>
      </c>
      <c r="G772" s="1">
        <v>10</v>
      </c>
      <c r="H772" t="str" cm="1">
        <f t="array" ref="H772">_xlfn.IFS(G772&lt;=15,"Junior",G772&lt;=30,"Mid level",G772&gt;30,"Lead")</f>
        <v>Junior</v>
      </c>
    </row>
    <row r="773" spans="1:8" x14ac:dyDescent="0.3">
      <c r="A773" s="7">
        <v>5126</v>
      </c>
      <c r="B773" t="str" cm="1">
        <f t="array" ref="B773">_xlfn.IFS(A773&lt;=8000,"low",A773&lt;15000,"medium",A773&gt;=15000,"high")</f>
        <v>low</v>
      </c>
      <c r="G773" s="2">
        <v>10</v>
      </c>
      <c r="H773" t="str" cm="1">
        <f t="array" ref="H773">_xlfn.IFS(G773&lt;=15,"Junior",G773&lt;=30,"Mid level",G773&gt;30,"Lead")</f>
        <v>Junior</v>
      </c>
    </row>
    <row r="774" spans="1:8" x14ac:dyDescent="0.3">
      <c r="A774" s="8">
        <v>5130</v>
      </c>
      <c r="B774" t="str" cm="1">
        <f t="array" ref="B774">_xlfn.IFS(A774&lt;=8000,"low",A774&lt;15000,"medium",A774&gt;=15000,"high")</f>
        <v>low</v>
      </c>
      <c r="G774" s="1">
        <v>4</v>
      </c>
      <c r="H774" t="str" cm="1">
        <f t="array" ref="H774">_xlfn.IFS(G774&lt;=15,"Junior",G774&lt;=30,"Mid level",G774&gt;30,"Lead")</f>
        <v>Junior</v>
      </c>
    </row>
    <row r="775" spans="1:8" x14ac:dyDescent="0.3">
      <c r="A775" s="7">
        <v>5131</v>
      </c>
      <c r="B775" t="str" cm="1">
        <f t="array" ref="B775">_xlfn.IFS(A775&lt;=8000,"low",A775&lt;15000,"medium",A775&gt;=15000,"high")</f>
        <v>low</v>
      </c>
      <c r="G775" s="2">
        <v>11</v>
      </c>
      <c r="H775" t="str" cm="1">
        <f t="array" ref="H775">_xlfn.IFS(G775&lt;=15,"Junior",G775&lt;=30,"Mid level",G775&gt;30,"Lead")</f>
        <v>Junior</v>
      </c>
    </row>
    <row r="776" spans="1:8" x14ac:dyDescent="0.3">
      <c r="A776" s="8">
        <v>5147</v>
      </c>
      <c r="B776" t="str" cm="1">
        <f t="array" ref="B776">_xlfn.IFS(A776&lt;=8000,"low",A776&lt;15000,"medium",A776&gt;=15000,"high")</f>
        <v>low</v>
      </c>
      <c r="G776" s="1">
        <v>10</v>
      </c>
      <c r="H776" t="str" cm="1">
        <f t="array" ref="H776">_xlfn.IFS(G776&lt;=15,"Junior",G776&lt;=30,"Mid level",G776&gt;30,"Lead")</f>
        <v>Junior</v>
      </c>
    </row>
    <row r="777" spans="1:8" x14ac:dyDescent="0.3">
      <c r="A777" s="7">
        <v>5151</v>
      </c>
      <c r="B777" t="str" cm="1">
        <f t="array" ref="B777">_xlfn.IFS(A777&lt;=8000,"low",A777&lt;15000,"medium",A777&gt;=15000,"high")</f>
        <v>low</v>
      </c>
      <c r="G777" s="2">
        <v>8</v>
      </c>
      <c r="H777" t="str" cm="1">
        <f t="array" ref="H777">_xlfn.IFS(G777&lt;=15,"Junior",G777&lt;=30,"Mid level",G777&gt;30,"Lead")</f>
        <v>Junior</v>
      </c>
    </row>
    <row r="778" spans="1:8" x14ac:dyDescent="0.3">
      <c r="A778" s="8">
        <v>5154</v>
      </c>
      <c r="B778" t="str" cm="1">
        <f t="array" ref="B778">_xlfn.IFS(A778&lt;=8000,"low",A778&lt;15000,"medium",A778&gt;=15000,"high")</f>
        <v>low</v>
      </c>
      <c r="G778" s="1">
        <v>6</v>
      </c>
      <c r="H778" t="str" cm="1">
        <f t="array" ref="H778">_xlfn.IFS(G778&lt;=15,"Junior",G778&lt;=30,"Mid level",G778&gt;30,"Lead")</f>
        <v>Junior</v>
      </c>
    </row>
    <row r="779" spans="1:8" x14ac:dyDescent="0.3">
      <c r="A779" s="7">
        <v>5155</v>
      </c>
      <c r="B779" t="str" cm="1">
        <f t="array" ref="B779">_xlfn.IFS(A779&lt;=8000,"low",A779&lt;15000,"medium",A779&gt;=15000,"high")</f>
        <v>low</v>
      </c>
      <c r="G779" s="2">
        <v>9</v>
      </c>
      <c r="H779" t="str" cm="1">
        <f t="array" ref="H779">_xlfn.IFS(G779&lt;=15,"Junior",G779&lt;=30,"Mid level",G779&gt;30,"Lead")</f>
        <v>Junior</v>
      </c>
    </row>
    <row r="780" spans="1:8" x14ac:dyDescent="0.3">
      <c r="A780" s="8">
        <v>5160</v>
      </c>
      <c r="B780" t="str" cm="1">
        <f t="array" ref="B780">_xlfn.IFS(A780&lt;=8000,"low",A780&lt;15000,"medium",A780&gt;=15000,"high")</f>
        <v>low</v>
      </c>
      <c r="G780" s="1">
        <v>1</v>
      </c>
      <c r="H780" t="str" cm="1">
        <f t="array" ref="H780">_xlfn.IFS(G780&lt;=15,"Junior",G780&lt;=30,"Mid level",G780&gt;30,"Lead")</f>
        <v>Junior</v>
      </c>
    </row>
    <row r="781" spans="1:8" x14ac:dyDescent="0.3">
      <c r="A781" s="7">
        <v>5163</v>
      </c>
      <c r="B781" t="str" cm="1">
        <f t="array" ref="B781">_xlfn.IFS(A781&lt;=8000,"low",A781&lt;15000,"medium",A781&gt;=15000,"high")</f>
        <v>low</v>
      </c>
      <c r="G781" s="2">
        <v>6</v>
      </c>
      <c r="H781" t="str" cm="1">
        <f t="array" ref="H781">_xlfn.IFS(G781&lt;=15,"Junior",G781&lt;=30,"Mid level",G781&gt;30,"Lead")</f>
        <v>Junior</v>
      </c>
    </row>
    <row r="782" spans="1:8" x14ac:dyDescent="0.3">
      <c r="A782" s="8">
        <v>5171</v>
      </c>
      <c r="B782" t="str" cm="1">
        <f t="array" ref="B782">_xlfn.IFS(A782&lt;=8000,"low",A782&lt;15000,"medium",A782&gt;=15000,"high")</f>
        <v>low</v>
      </c>
      <c r="G782" s="1">
        <v>5</v>
      </c>
      <c r="H782" t="str" cm="1">
        <f t="array" ref="H782">_xlfn.IFS(G782&lt;=15,"Junior",G782&lt;=30,"Mid level",G782&gt;30,"Lead")</f>
        <v>Junior</v>
      </c>
    </row>
    <row r="783" spans="1:8" x14ac:dyDescent="0.3">
      <c r="A783" s="7">
        <v>5175</v>
      </c>
      <c r="B783" t="str" cm="1">
        <f t="array" ref="B783">_xlfn.IFS(A783&lt;=8000,"low",A783&lt;15000,"medium",A783&gt;=15000,"high")</f>
        <v>low</v>
      </c>
      <c r="G783" s="2">
        <v>5</v>
      </c>
      <c r="H783" t="str" cm="1">
        <f t="array" ref="H783">_xlfn.IFS(G783&lt;=15,"Junior",G783&lt;=30,"Mid level",G783&gt;30,"Lead")</f>
        <v>Junior</v>
      </c>
    </row>
    <row r="784" spans="1:8" x14ac:dyDescent="0.3">
      <c r="A784" s="8">
        <v>5204</v>
      </c>
      <c r="B784" t="str" cm="1">
        <f t="array" ref="B784">_xlfn.IFS(A784&lt;=8000,"low",A784&lt;15000,"medium",A784&gt;=15000,"high")</f>
        <v>low</v>
      </c>
      <c r="G784" s="1">
        <v>10</v>
      </c>
      <c r="H784" t="str" cm="1">
        <f t="array" ref="H784">_xlfn.IFS(G784&lt;=15,"Junior",G784&lt;=30,"Mid level",G784&gt;30,"Lead")</f>
        <v>Junior</v>
      </c>
    </row>
    <row r="785" spans="1:8" x14ac:dyDescent="0.3">
      <c r="A785" s="7">
        <v>5204</v>
      </c>
      <c r="B785" t="str" cm="1">
        <f t="array" ref="B785">_xlfn.IFS(A785&lt;=8000,"low",A785&lt;15000,"medium",A785&gt;=15000,"high")</f>
        <v>low</v>
      </c>
      <c r="G785" s="2">
        <v>7</v>
      </c>
      <c r="H785" t="str" cm="1">
        <f t="array" ref="H785">_xlfn.IFS(G785&lt;=15,"Junior",G785&lt;=30,"Mid level",G785&gt;30,"Lead")</f>
        <v>Junior</v>
      </c>
    </row>
    <row r="786" spans="1:8" x14ac:dyDescent="0.3">
      <c r="A786" s="8">
        <v>5206</v>
      </c>
      <c r="B786" t="str" cm="1">
        <f t="array" ref="B786">_xlfn.IFS(A786&lt;=8000,"low",A786&lt;15000,"medium",A786&gt;=15000,"high")</f>
        <v>low</v>
      </c>
      <c r="G786" s="1">
        <v>15</v>
      </c>
      <c r="H786" t="str" cm="1">
        <f t="array" ref="H786">_xlfn.IFS(G786&lt;=15,"Junior",G786&lt;=30,"Mid level",G786&gt;30,"Lead")</f>
        <v>Junior</v>
      </c>
    </row>
    <row r="787" spans="1:8" x14ac:dyDescent="0.3">
      <c r="A787" s="7">
        <v>5207</v>
      </c>
      <c r="B787" t="str" cm="1">
        <f t="array" ref="B787">_xlfn.IFS(A787&lt;=8000,"low",A787&lt;15000,"medium",A787&gt;=15000,"high")</f>
        <v>low</v>
      </c>
      <c r="G787" s="2">
        <v>16</v>
      </c>
      <c r="H787" t="str" cm="1">
        <f t="array" ref="H787">_xlfn.IFS(G787&lt;=15,"Junior",G787&lt;=30,"Mid level",G787&gt;30,"Lead")</f>
        <v>Mid level</v>
      </c>
    </row>
    <row r="788" spans="1:8" x14ac:dyDescent="0.3">
      <c r="A788" s="8">
        <v>5208</v>
      </c>
      <c r="B788" t="str" cm="1">
        <f t="array" ref="B788">_xlfn.IFS(A788&lt;=8000,"low",A788&lt;15000,"medium",A788&gt;=15000,"high")</f>
        <v>low</v>
      </c>
      <c r="G788" s="1">
        <v>11</v>
      </c>
      <c r="H788" t="str" cm="1">
        <f t="array" ref="H788">_xlfn.IFS(G788&lt;=15,"Junior",G788&lt;=30,"Mid level",G788&gt;30,"Lead")</f>
        <v>Junior</v>
      </c>
    </row>
    <row r="789" spans="1:8" x14ac:dyDescent="0.3">
      <c r="A789" s="7">
        <v>5209</v>
      </c>
      <c r="B789" t="str" cm="1">
        <f t="array" ref="B789">_xlfn.IFS(A789&lt;=8000,"low",A789&lt;15000,"medium",A789&gt;=15000,"high")</f>
        <v>low</v>
      </c>
      <c r="G789" s="2">
        <v>24</v>
      </c>
      <c r="H789" t="str" cm="1">
        <f t="array" ref="H789">_xlfn.IFS(G789&lt;=15,"Junior",G789&lt;=30,"Mid level",G789&gt;30,"Lead")</f>
        <v>Mid level</v>
      </c>
    </row>
    <row r="790" spans="1:8" x14ac:dyDescent="0.3">
      <c r="A790" s="8">
        <v>5210</v>
      </c>
      <c r="B790" t="str" cm="1">
        <f t="array" ref="B790">_xlfn.IFS(A790&lt;=8000,"low",A790&lt;15000,"medium",A790&gt;=15000,"high")</f>
        <v>low</v>
      </c>
      <c r="G790" s="1">
        <v>11</v>
      </c>
      <c r="H790" t="str" cm="1">
        <f t="array" ref="H790">_xlfn.IFS(G790&lt;=15,"Junior",G790&lt;=30,"Mid level",G790&gt;30,"Lead")</f>
        <v>Junior</v>
      </c>
    </row>
    <row r="791" spans="1:8" x14ac:dyDescent="0.3">
      <c r="A791" s="7">
        <v>5220</v>
      </c>
      <c r="B791" t="str" cm="1">
        <f t="array" ref="B791">_xlfn.IFS(A791&lt;=8000,"low",A791&lt;15000,"medium",A791&gt;=15000,"high")</f>
        <v>low</v>
      </c>
      <c r="G791" s="2">
        <v>13</v>
      </c>
      <c r="H791" t="str" cm="1">
        <f t="array" ref="H791">_xlfn.IFS(G791&lt;=15,"Junior",G791&lt;=30,"Mid level",G791&gt;30,"Lead")</f>
        <v>Junior</v>
      </c>
    </row>
    <row r="792" spans="1:8" x14ac:dyDescent="0.3">
      <c r="A792" s="8">
        <v>5228</v>
      </c>
      <c r="B792" t="str" cm="1">
        <f t="array" ref="B792">_xlfn.IFS(A792&lt;=8000,"low",A792&lt;15000,"medium",A792&gt;=15000,"high")</f>
        <v>low</v>
      </c>
      <c r="G792" s="1">
        <v>9</v>
      </c>
      <c r="H792" t="str" cm="1">
        <f t="array" ref="H792">_xlfn.IFS(G792&lt;=15,"Junior",G792&lt;=30,"Mid level",G792&gt;30,"Lead")</f>
        <v>Junior</v>
      </c>
    </row>
    <row r="793" spans="1:8" x14ac:dyDescent="0.3">
      <c r="A793" s="7">
        <v>5228</v>
      </c>
      <c r="B793" t="str" cm="1">
        <f t="array" ref="B793">_xlfn.IFS(A793&lt;=8000,"low",A793&lt;15000,"medium",A793&gt;=15000,"high")</f>
        <v>low</v>
      </c>
      <c r="G793" s="2">
        <v>5</v>
      </c>
      <c r="H793" t="str" cm="1">
        <f t="array" ref="H793">_xlfn.IFS(G793&lt;=15,"Junior",G793&lt;=30,"Mid level",G793&gt;30,"Lead")</f>
        <v>Junior</v>
      </c>
    </row>
    <row r="794" spans="1:8" x14ac:dyDescent="0.3">
      <c r="A794" s="8">
        <v>5231</v>
      </c>
      <c r="B794" t="str" cm="1">
        <f t="array" ref="B794">_xlfn.IFS(A794&lt;=8000,"low",A794&lt;15000,"medium",A794&gt;=15000,"high")</f>
        <v>low</v>
      </c>
      <c r="G794" s="1">
        <v>7</v>
      </c>
      <c r="H794" t="str" cm="1">
        <f t="array" ref="H794">_xlfn.IFS(G794&lt;=15,"Junior",G794&lt;=30,"Mid level",G794&gt;30,"Lead")</f>
        <v>Junior</v>
      </c>
    </row>
    <row r="795" spans="1:8" x14ac:dyDescent="0.3">
      <c r="A795" s="7">
        <v>5237</v>
      </c>
      <c r="B795" t="str" cm="1">
        <f t="array" ref="B795">_xlfn.IFS(A795&lt;=8000,"low",A795&lt;15000,"medium",A795&gt;=15000,"high")</f>
        <v>low</v>
      </c>
      <c r="G795" s="2">
        <v>1</v>
      </c>
      <c r="H795" t="str" cm="1">
        <f t="array" ref="H795">_xlfn.IFS(G795&lt;=15,"Junior",G795&lt;=30,"Mid level",G795&gt;30,"Lead")</f>
        <v>Junior</v>
      </c>
    </row>
    <row r="796" spans="1:8" x14ac:dyDescent="0.3">
      <c r="A796" s="8">
        <v>5238</v>
      </c>
      <c r="B796" t="str" cm="1">
        <f t="array" ref="B796">_xlfn.IFS(A796&lt;=8000,"low",A796&lt;15000,"medium",A796&gt;=15000,"high")</f>
        <v>low</v>
      </c>
      <c r="G796" s="1">
        <v>5</v>
      </c>
      <c r="H796" t="str" cm="1">
        <f t="array" ref="H796">_xlfn.IFS(G796&lt;=15,"Junior",G796&lt;=30,"Mid level",G796&gt;30,"Lead")</f>
        <v>Junior</v>
      </c>
    </row>
    <row r="797" spans="1:8" x14ac:dyDescent="0.3">
      <c r="A797" s="7">
        <v>5238</v>
      </c>
      <c r="B797" t="str" cm="1">
        <f t="array" ref="B797">_xlfn.IFS(A797&lt;=8000,"low",A797&lt;15000,"medium",A797&gt;=15000,"high")</f>
        <v>low</v>
      </c>
      <c r="G797" s="2">
        <v>8</v>
      </c>
      <c r="H797" t="str" cm="1">
        <f t="array" ref="H797">_xlfn.IFS(G797&lt;=15,"Junior",G797&lt;=30,"Mid level",G797&gt;30,"Lead")</f>
        <v>Junior</v>
      </c>
    </row>
    <row r="798" spans="1:8" x14ac:dyDescent="0.3">
      <c r="A798" s="8">
        <v>5249</v>
      </c>
      <c r="B798" t="str" cm="1">
        <f t="array" ref="B798">_xlfn.IFS(A798&lt;=8000,"low",A798&lt;15000,"medium",A798&gt;=15000,"high")</f>
        <v>low</v>
      </c>
      <c r="G798" s="1">
        <v>7</v>
      </c>
      <c r="H798" t="str" cm="1">
        <f t="array" ref="H798">_xlfn.IFS(G798&lt;=15,"Junior",G798&lt;=30,"Mid level",G798&gt;30,"Lead")</f>
        <v>Junior</v>
      </c>
    </row>
    <row r="799" spans="1:8" x14ac:dyDescent="0.3">
      <c r="A799" s="7">
        <v>5253</v>
      </c>
      <c r="B799" t="str" cm="1">
        <f t="array" ref="B799">_xlfn.IFS(A799&lt;=8000,"low",A799&lt;15000,"medium",A799&gt;=15000,"high")</f>
        <v>low</v>
      </c>
      <c r="G799" s="2">
        <v>9</v>
      </c>
      <c r="H799" t="str" cm="1">
        <f t="array" ref="H799">_xlfn.IFS(G799&lt;=15,"Junior",G799&lt;=30,"Mid level",G799&gt;30,"Lead")</f>
        <v>Junior</v>
      </c>
    </row>
    <row r="800" spans="1:8" x14ac:dyDescent="0.3">
      <c r="A800" s="8">
        <v>5257</v>
      </c>
      <c r="B800" t="str" cm="1">
        <f t="array" ref="B800">_xlfn.IFS(A800&lt;=8000,"low",A800&lt;15000,"medium",A800&gt;=15000,"high")</f>
        <v>low</v>
      </c>
      <c r="G800" s="1">
        <v>1</v>
      </c>
      <c r="H800" t="str" cm="1">
        <f t="array" ref="H800">_xlfn.IFS(G800&lt;=15,"Junior",G800&lt;=30,"Mid level",G800&gt;30,"Lead")</f>
        <v>Junior</v>
      </c>
    </row>
    <row r="801" spans="1:8" x14ac:dyDescent="0.3">
      <c r="A801" s="7">
        <v>5258</v>
      </c>
      <c r="B801" t="str" cm="1">
        <f t="array" ref="B801">_xlfn.IFS(A801&lt;=8000,"low",A801&lt;15000,"medium",A801&gt;=15000,"high")</f>
        <v>low</v>
      </c>
      <c r="G801" s="2">
        <v>5</v>
      </c>
      <c r="H801" t="str" cm="1">
        <f t="array" ref="H801">_xlfn.IFS(G801&lt;=15,"Junior",G801&lt;=30,"Mid level",G801&gt;30,"Lead")</f>
        <v>Junior</v>
      </c>
    </row>
    <row r="802" spans="1:8" x14ac:dyDescent="0.3">
      <c r="A802" s="8">
        <v>5265</v>
      </c>
      <c r="B802" t="str" cm="1">
        <f t="array" ref="B802">_xlfn.IFS(A802&lt;=8000,"low",A802&lt;15000,"medium",A802&gt;=15000,"high")</f>
        <v>low</v>
      </c>
      <c r="G802" s="1">
        <v>7</v>
      </c>
      <c r="H802" t="str" cm="1">
        <f t="array" ref="H802">_xlfn.IFS(G802&lt;=15,"Junior",G802&lt;=30,"Mid level",G802&gt;30,"Lead")</f>
        <v>Junior</v>
      </c>
    </row>
    <row r="803" spans="1:8" x14ac:dyDescent="0.3">
      <c r="A803" s="7">
        <v>5294</v>
      </c>
      <c r="B803" t="str" cm="1">
        <f t="array" ref="B803">_xlfn.IFS(A803&lt;=8000,"low",A803&lt;15000,"medium",A803&gt;=15000,"high")</f>
        <v>low</v>
      </c>
      <c r="G803" s="2">
        <v>5</v>
      </c>
      <c r="H803" t="str" cm="1">
        <f t="array" ref="H803">_xlfn.IFS(G803&lt;=15,"Junior",G803&lt;=30,"Mid level",G803&gt;30,"Lead")</f>
        <v>Junior</v>
      </c>
    </row>
    <row r="804" spans="1:8" x14ac:dyDescent="0.3">
      <c r="A804" s="8">
        <v>5295</v>
      </c>
      <c r="B804" t="str" cm="1">
        <f t="array" ref="B804">_xlfn.IFS(A804&lt;=8000,"low",A804&lt;15000,"medium",A804&gt;=15000,"high")</f>
        <v>low</v>
      </c>
      <c r="G804" s="1">
        <v>8</v>
      </c>
      <c r="H804" t="str" cm="1">
        <f t="array" ref="H804">_xlfn.IFS(G804&lt;=15,"Junior",G804&lt;=30,"Mid level",G804&gt;30,"Lead")</f>
        <v>Junior</v>
      </c>
    </row>
    <row r="805" spans="1:8" x14ac:dyDescent="0.3">
      <c r="A805" s="7">
        <v>5296</v>
      </c>
      <c r="B805" t="str" cm="1">
        <f t="array" ref="B805">_xlfn.IFS(A805&lt;=8000,"low",A805&lt;15000,"medium",A805&gt;=15000,"high")</f>
        <v>low</v>
      </c>
      <c r="G805" s="2">
        <v>2</v>
      </c>
      <c r="H805" t="str" cm="1">
        <f t="array" ref="H805">_xlfn.IFS(G805&lt;=15,"Junior",G805&lt;=30,"Mid level",G805&gt;30,"Lead")</f>
        <v>Junior</v>
      </c>
    </row>
    <row r="806" spans="1:8" x14ac:dyDescent="0.3">
      <c r="A806" s="8">
        <v>5301</v>
      </c>
      <c r="B806" t="str" cm="1">
        <f t="array" ref="B806">_xlfn.IFS(A806&lt;=8000,"low",A806&lt;15000,"medium",A806&gt;=15000,"high")</f>
        <v>low</v>
      </c>
      <c r="G806" s="1">
        <v>5</v>
      </c>
      <c r="H806" t="str" cm="1">
        <f t="array" ref="H806">_xlfn.IFS(G806&lt;=15,"Junior",G806&lt;=30,"Mid level",G806&gt;30,"Lead")</f>
        <v>Junior</v>
      </c>
    </row>
    <row r="807" spans="1:8" x14ac:dyDescent="0.3">
      <c r="A807" s="7">
        <v>5304</v>
      </c>
      <c r="B807" t="str" cm="1">
        <f t="array" ref="B807">_xlfn.IFS(A807&lt;=8000,"low",A807&lt;15000,"medium",A807&gt;=15000,"high")</f>
        <v>low</v>
      </c>
      <c r="G807" s="2">
        <v>8</v>
      </c>
      <c r="H807" t="str" cm="1">
        <f t="array" ref="H807">_xlfn.IFS(G807&lt;=15,"Junior",G807&lt;=30,"Mid level",G807&gt;30,"Lead")</f>
        <v>Junior</v>
      </c>
    </row>
    <row r="808" spans="1:8" x14ac:dyDescent="0.3">
      <c r="A808" s="8">
        <v>5304</v>
      </c>
      <c r="B808" t="str" cm="1">
        <f t="array" ref="B808">_xlfn.IFS(A808&lt;=8000,"low",A808&lt;15000,"medium",A808&gt;=15000,"high")</f>
        <v>low</v>
      </c>
      <c r="G808" s="1">
        <v>10</v>
      </c>
      <c r="H808" t="str" cm="1">
        <f t="array" ref="H808">_xlfn.IFS(G808&lt;=15,"Junior",G808&lt;=30,"Mid level",G808&gt;30,"Lead")</f>
        <v>Junior</v>
      </c>
    </row>
    <row r="809" spans="1:8" x14ac:dyDescent="0.3">
      <c r="A809" s="7">
        <v>5309</v>
      </c>
      <c r="B809" t="str" cm="1">
        <f t="array" ref="B809">_xlfn.IFS(A809&lt;=8000,"low",A809&lt;15000,"medium",A809&gt;=15000,"high")</f>
        <v>low</v>
      </c>
      <c r="G809" s="2">
        <v>8</v>
      </c>
      <c r="H809" t="str" cm="1">
        <f t="array" ref="H809">_xlfn.IFS(G809&lt;=15,"Junior",G809&lt;=30,"Mid level",G809&gt;30,"Lead")</f>
        <v>Junior</v>
      </c>
    </row>
    <row r="810" spans="1:8" x14ac:dyDescent="0.3">
      <c r="A810" s="8">
        <v>5321</v>
      </c>
      <c r="B810" t="str" cm="1">
        <f t="array" ref="B810">_xlfn.IFS(A810&lt;=8000,"low",A810&lt;15000,"medium",A810&gt;=15000,"high")</f>
        <v>low</v>
      </c>
      <c r="G810" s="1">
        <v>3</v>
      </c>
      <c r="H810" t="str" cm="1">
        <f t="array" ref="H810">_xlfn.IFS(G810&lt;=15,"Junior",G810&lt;=30,"Mid level",G810&gt;30,"Lead")</f>
        <v>Junior</v>
      </c>
    </row>
    <row r="811" spans="1:8" x14ac:dyDescent="0.3">
      <c r="A811" s="7">
        <v>5324</v>
      </c>
      <c r="B811" t="str" cm="1">
        <f t="array" ref="B811">_xlfn.IFS(A811&lt;=8000,"low",A811&lt;15000,"medium",A811&gt;=15000,"high")</f>
        <v>low</v>
      </c>
      <c r="G811" s="2">
        <v>4</v>
      </c>
      <c r="H811" t="str" cm="1">
        <f t="array" ref="H811">_xlfn.IFS(G811&lt;=15,"Junior",G811&lt;=30,"Mid level",G811&gt;30,"Lead")</f>
        <v>Junior</v>
      </c>
    </row>
    <row r="812" spans="1:8" x14ac:dyDescent="0.3">
      <c r="A812" s="8">
        <v>5326</v>
      </c>
      <c r="B812" t="str" cm="1">
        <f t="array" ref="B812">_xlfn.IFS(A812&lt;=8000,"low",A812&lt;15000,"medium",A812&gt;=15000,"high")</f>
        <v>low</v>
      </c>
      <c r="G812" s="1">
        <v>13</v>
      </c>
      <c r="H812" t="str" cm="1">
        <f t="array" ref="H812">_xlfn.IFS(G812&lt;=15,"Junior",G812&lt;=30,"Mid level",G812&gt;30,"Lead")</f>
        <v>Junior</v>
      </c>
    </row>
    <row r="813" spans="1:8" x14ac:dyDescent="0.3">
      <c r="A813" s="7">
        <v>5329</v>
      </c>
      <c r="B813" t="str" cm="1">
        <f t="array" ref="B813">_xlfn.IFS(A813&lt;=8000,"low",A813&lt;15000,"medium",A813&gt;=15000,"high")</f>
        <v>low</v>
      </c>
      <c r="G813" s="2">
        <v>5</v>
      </c>
      <c r="H813" t="str" cm="1">
        <f t="array" ref="H813">_xlfn.IFS(G813&lt;=15,"Junior",G813&lt;=30,"Mid level",G813&gt;30,"Lead")</f>
        <v>Junior</v>
      </c>
    </row>
    <row r="814" spans="1:8" x14ac:dyDescent="0.3">
      <c r="A814" s="8">
        <v>5332</v>
      </c>
      <c r="B814" t="str" cm="1">
        <f t="array" ref="B814">_xlfn.IFS(A814&lt;=8000,"low",A814&lt;15000,"medium",A814&gt;=15000,"high")</f>
        <v>low</v>
      </c>
      <c r="G814" s="1">
        <v>10</v>
      </c>
      <c r="H814" t="str" cm="1">
        <f t="array" ref="H814">_xlfn.IFS(G814&lt;=15,"Junior",G814&lt;=30,"Mid level",G814&gt;30,"Lead")</f>
        <v>Junior</v>
      </c>
    </row>
    <row r="815" spans="1:8" x14ac:dyDescent="0.3">
      <c r="A815" s="7">
        <v>5337</v>
      </c>
      <c r="B815" t="str" cm="1">
        <f t="array" ref="B815">_xlfn.IFS(A815&lt;=8000,"low",A815&lt;15000,"medium",A815&gt;=15000,"high")</f>
        <v>low</v>
      </c>
      <c r="G815" s="2">
        <v>13</v>
      </c>
      <c r="H815" t="str" cm="1">
        <f t="array" ref="H815">_xlfn.IFS(G815&lt;=15,"Junior",G815&lt;=30,"Mid level",G815&gt;30,"Lead")</f>
        <v>Junior</v>
      </c>
    </row>
    <row r="816" spans="1:8" x14ac:dyDescent="0.3">
      <c r="A816" s="8">
        <v>5343</v>
      </c>
      <c r="B816" t="str" cm="1">
        <f t="array" ref="B816">_xlfn.IFS(A816&lt;=8000,"low",A816&lt;15000,"medium",A816&gt;=15000,"high")</f>
        <v>low</v>
      </c>
      <c r="G816" s="1">
        <v>10</v>
      </c>
      <c r="H816" t="str" cm="1">
        <f t="array" ref="H816">_xlfn.IFS(G816&lt;=15,"Junior",G816&lt;=30,"Mid level",G816&gt;30,"Lead")</f>
        <v>Junior</v>
      </c>
    </row>
    <row r="817" spans="1:8" x14ac:dyDescent="0.3">
      <c r="A817" s="7">
        <v>5343</v>
      </c>
      <c r="B817" t="str" cm="1">
        <f t="array" ref="B817">_xlfn.IFS(A817&lt;=8000,"low",A817&lt;15000,"medium",A817&gt;=15000,"high")</f>
        <v>low</v>
      </c>
      <c r="G817" s="2">
        <v>4</v>
      </c>
      <c r="H817" t="str" cm="1">
        <f t="array" ref="H817">_xlfn.IFS(G817&lt;=15,"Junior",G817&lt;=30,"Mid level",G817&gt;30,"Lead")</f>
        <v>Junior</v>
      </c>
    </row>
    <row r="818" spans="1:8" x14ac:dyDescent="0.3">
      <c r="A818" s="8">
        <v>5346</v>
      </c>
      <c r="B818" t="str" cm="1">
        <f t="array" ref="B818">_xlfn.IFS(A818&lt;=8000,"low",A818&lt;15000,"medium",A818&gt;=15000,"high")</f>
        <v>low</v>
      </c>
      <c r="G818" s="1">
        <v>7</v>
      </c>
      <c r="H818" t="str" cm="1">
        <f t="array" ref="H818">_xlfn.IFS(G818&lt;=15,"Junior",G818&lt;=30,"Mid level",G818&gt;30,"Lead")</f>
        <v>Junior</v>
      </c>
    </row>
    <row r="819" spans="1:8" x14ac:dyDescent="0.3">
      <c r="A819" s="7">
        <v>5346</v>
      </c>
      <c r="B819" t="str" cm="1">
        <f t="array" ref="B819">_xlfn.IFS(A819&lt;=8000,"low",A819&lt;15000,"medium",A819&gt;=15000,"high")</f>
        <v>low</v>
      </c>
      <c r="G819" s="2">
        <v>3</v>
      </c>
      <c r="H819" t="str" cm="1">
        <f t="array" ref="H819">_xlfn.IFS(G819&lt;=15,"Junior",G819&lt;=30,"Mid level",G819&gt;30,"Lead")</f>
        <v>Junior</v>
      </c>
    </row>
    <row r="820" spans="1:8" x14ac:dyDescent="0.3">
      <c r="A820" s="8">
        <v>5347</v>
      </c>
      <c r="B820" t="str" cm="1">
        <f t="array" ref="B820">_xlfn.IFS(A820&lt;=8000,"low",A820&lt;15000,"medium",A820&gt;=15000,"high")</f>
        <v>low</v>
      </c>
      <c r="G820" s="1">
        <v>9</v>
      </c>
      <c r="H820" t="str" cm="1">
        <f t="array" ref="H820">_xlfn.IFS(G820&lt;=15,"Junior",G820&lt;=30,"Mid level",G820&gt;30,"Lead")</f>
        <v>Junior</v>
      </c>
    </row>
    <row r="821" spans="1:8" x14ac:dyDescent="0.3">
      <c r="A821" s="7">
        <v>5363</v>
      </c>
      <c r="B821" t="str" cm="1">
        <f t="array" ref="B821">_xlfn.IFS(A821&lt;=8000,"low",A821&lt;15000,"medium",A821&gt;=15000,"high")</f>
        <v>low</v>
      </c>
      <c r="G821" s="2">
        <v>6</v>
      </c>
      <c r="H821" t="str" cm="1">
        <f t="array" ref="H821">_xlfn.IFS(G821&lt;=15,"Junior",G821&lt;=30,"Mid level",G821&gt;30,"Lead")</f>
        <v>Junior</v>
      </c>
    </row>
    <row r="822" spans="1:8" x14ac:dyDescent="0.3">
      <c r="A822" s="8">
        <v>5368</v>
      </c>
      <c r="B822" t="str" cm="1">
        <f t="array" ref="B822">_xlfn.IFS(A822&lt;=8000,"low",A822&lt;15000,"medium",A822&gt;=15000,"high")</f>
        <v>low</v>
      </c>
      <c r="G822" s="1">
        <v>5</v>
      </c>
      <c r="H822" t="str" cm="1">
        <f t="array" ref="H822">_xlfn.IFS(G822&lt;=15,"Junior",G822&lt;=30,"Mid level",G822&gt;30,"Lead")</f>
        <v>Junior</v>
      </c>
    </row>
    <row r="823" spans="1:8" x14ac:dyDescent="0.3">
      <c r="A823" s="7">
        <v>5373</v>
      </c>
      <c r="B823" t="str" cm="1">
        <f t="array" ref="B823">_xlfn.IFS(A823&lt;=8000,"low",A823&lt;15000,"medium",A823&gt;=15000,"high")</f>
        <v>low</v>
      </c>
      <c r="G823" s="2">
        <v>5</v>
      </c>
      <c r="H823" t="str" cm="1">
        <f t="array" ref="H823">_xlfn.IFS(G823&lt;=15,"Junior",G823&lt;=30,"Mid level",G823&gt;30,"Lead")</f>
        <v>Junior</v>
      </c>
    </row>
    <row r="824" spans="1:8" x14ac:dyDescent="0.3">
      <c r="A824" s="8">
        <v>5376</v>
      </c>
      <c r="B824" t="str" cm="1">
        <f t="array" ref="B824">_xlfn.IFS(A824&lt;=8000,"low",A824&lt;15000,"medium",A824&gt;=15000,"high")</f>
        <v>low</v>
      </c>
      <c r="G824" s="1">
        <v>7</v>
      </c>
      <c r="H824" t="str" cm="1">
        <f t="array" ref="H824">_xlfn.IFS(G824&lt;=15,"Junior",G824&lt;=30,"Mid level",G824&gt;30,"Lead")</f>
        <v>Junior</v>
      </c>
    </row>
    <row r="825" spans="1:8" x14ac:dyDescent="0.3">
      <c r="A825" s="7">
        <v>5377</v>
      </c>
      <c r="B825" t="str" cm="1">
        <f t="array" ref="B825">_xlfn.IFS(A825&lt;=8000,"low",A825&lt;15000,"medium",A825&gt;=15000,"high")</f>
        <v>low</v>
      </c>
      <c r="G825" s="2">
        <v>0</v>
      </c>
      <c r="H825" t="str" cm="1">
        <f t="array" ref="H825">_xlfn.IFS(G825&lt;=15,"Junior",G825&lt;=30,"Mid level",G825&gt;30,"Lead")</f>
        <v>Junior</v>
      </c>
    </row>
    <row r="826" spans="1:8" x14ac:dyDescent="0.3">
      <c r="A826" s="8">
        <v>5380</v>
      </c>
      <c r="B826" t="str" cm="1">
        <f t="array" ref="B826">_xlfn.IFS(A826&lt;=8000,"low",A826&lt;15000,"medium",A826&gt;=15000,"high")</f>
        <v>low</v>
      </c>
      <c r="G826" s="1">
        <v>1</v>
      </c>
      <c r="H826" t="str" cm="1">
        <f t="array" ref="H826">_xlfn.IFS(G826&lt;=15,"Junior",G826&lt;=30,"Mid level",G826&gt;30,"Lead")</f>
        <v>Junior</v>
      </c>
    </row>
    <row r="827" spans="1:8" x14ac:dyDescent="0.3">
      <c r="A827" s="7">
        <v>5381</v>
      </c>
      <c r="B827" t="str" cm="1">
        <f t="array" ref="B827">_xlfn.IFS(A827&lt;=8000,"low",A827&lt;15000,"medium",A827&gt;=15000,"high")</f>
        <v>low</v>
      </c>
      <c r="G827" s="2">
        <v>9</v>
      </c>
      <c r="H827" t="str" cm="1">
        <f t="array" ref="H827">_xlfn.IFS(G827&lt;=15,"Junior",G827&lt;=30,"Mid level",G827&gt;30,"Lead")</f>
        <v>Junior</v>
      </c>
    </row>
    <row r="828" spans="1:8" x14ac:dyDescent="0.3">
      <c r="A828" s="8">
        <v>5390</v>
      </c>
      <c r="B828" t="str" cm="1">
        <f t="array" ref="B828">_xlfn.IFS(A828&lt;=8000,"low",A828&lt;15000,"medium",A828&gt;=15000,"high")</f>
        <v>low</v>
      </c>
      <c r="G828" s="1">
        <v>10</v>
      </c>
      <c r="H828" t="str" cm="1">
        <f t="array" ref="H828">_xlfn.IFS(G828&lt;=15,"Junior",G828&lt;=30,"Mid level",G828&gt;30,"Lead")</f>
        <v>Junior</v>
      </c>
    </row>
    <row r="829" spans="1:8" x14ac:dyDescent="0.3">
      <c r="A829" s="7">
        <v>5396</v>
      </c>
      <c r="B829" t="str" cm="1">
        <f t="array" ref="B829">_xlfn.IFS(A829&lt;=8000,"low",A829&lt;15000,"medium",A829&gt;=15000,"high")</f>
        <v>low</v>
      </c>
      <c r="G829" s="2">
        <v>4</v>
      </c>
      <c r="H829" t="str" cm="1">
        <f t="array" ref="H829">_xlfn.IFS(G829&lt;=15,"Junior",G829&lt;=30,"Mid level",G829&gt;30,"Lead")</f>
        <v>Junior</v>
      </c>
    </row>
    <row r="830" spans="1:8" x14ac:dyDescent="0.3">
      <c r="A830" s="8">
        <v>5399</v>
      </c>
      <c r="B830" t="str" cm="1">
        <f t="array" ref="B830">_xlfn.IFS(A830&lt;=8000,"low",A830&lt;15000,"medium",A830&gt;=15000,"high")</f>
        <v>low</v>
      </c>
      <c r="G830" s="1">
        <v>2</v>
      </c>
      <c r="H830" t="str" cm="1">
        <f t="array" ref="H830">_xlfn.IFS(G830&lt;=15,"Junior",G830&lt;=30,"Mid level",G830&gt;30,"Lead")</f>
        <v>Junior</v>
      </c>
    </row>
    <row r="831" spans="1:8" x14ac:dyDescent="0.3">
      <c r="A831" s="7">
        <v>5405</v>
      </c>
      <c r="B831" t="str" cm="1">
        <f t="array" ref="B831">_xlfn.IFS(A831&lt;=8000,"low",A831&lt;15000,"medium",A831&gt;=15000,"high")</f>
        <v>low</v>
      </c>
      <c r="G831" s="2">
        <v>4</v>
      </c>
      <c r="H831" t="str" cm="1">
        <f t="array" ref="H831">_xlfn.IFS(G831&lt;=15,"Junior",G831&lt;=30,"Mid level",G831&gt;30,"Lead")</f>
        <v>Junior</v>
      </c>
    </row>
    <row r="832" spans="1:8" x14ac:dyDescent="0.3">
      <c r="A832" s="8">
        <v>5405</v>
      </c>
      <c r="B832" t="str" cm="1">
        <f t="array" ref="B832">_xlfn.IFS(A832&lt;=8000,"low",A832&lt;15000,"medium",A832&gt;=15000,"high")</f>
        <v>low</v>
      </c>
      <c r="G832" s="1">
        <v>15</v>
      </c>
      <c r="H832" t="str" cm="1">
        <f t="array" ref="H832">_xlfn.IFS(G832&lt;=15,"Junior",G832&lt;=30,"Mid level",G832&gt;30,"Lead")</f>
        <v>Junior</v>
      </c>
    </row>
    <row r="833" spans="1:8" x14ac:dyDescent="0.3">
      <c r="A833" s="7">
        <v>5406</v>
      </c>
      <c r="B833" t="str" cm="1">
        <f t="array" ref="B833">_xlfn.IFS(A833&lt;=8000,"low",A833&lt;15000,"medium",A833&gt;=15000,"high")</f>
        <v>low</v>
      </c>
      <c r="G833" s="2">
        <v>16</v>
      </c>
      <c r="H833" t="str" cm="1">
        <f t="array" ref="H833">_xlfn.IFS(G833&lt;=15,"Junior",G833&lt;=30,"Mid level",G833&gt;30,"Lead")</f>
        <v>Mid level</v>
      </c>
    </row>
    <row r="834" spans="1:8" x14ac:dyDescent="0.3">
      <c r="A834" s="8">
        <v>5410</v>
      </c>
      <c r="B834" t="str" cm="1">
        <f t="array" ref="B834">_xlfn.IFS(A834&lt;=8000,"low",A834&lt;15000,"medium",A834&gt;=15000,"high")</f>
        <v>low</v>
      </c>
      <c r="G834" s="1">
        <v>4</v>
      </c>
      <c r="H834" t="str" cm="1">
        <f t="array" ref="H834">_xlfn.IFS(G834&lt;=15,"Junior",G834&lt;=30,"Mid level",G834&gt;30,"Lead")</f>
        <v>Junior</v>
      </c>
    </row>
    <row r="835" spans="1:8" x14ac:dyDescent="0.3">
      <c r="A835" s="7">
        <v>5410</v>
      </c>
      <c r="B835" t="str" cm="1">
        <f t="array" ref="B835">_xlfn.IFS(A835&lt;=8000,"low",A835&lt;15000,"medium",A835&gt;=15000,"high")</f>
        <v>low</v>
      </c>
      <c r="G835" s="2">
        <v>10</v>
      </c>
      <c r="H835" t="str" cm="1">
        <f t="array" ref="H835">_xlfn.IFS(G835&lt;=15,"Junior",G835&lt;=30,"Mid level",G835&gt;30,"Lead")</f>
        <v>Junior</v>
      </c>
    </row>
    <row r="836" spans="1:8" x14ac:dyDescent="0.3">
      <c r="A836" s="8">
        <v>5415</v>
      </c>
      <c r="B836" t="str" cm="1">
        <f t="array" ref="B836">_xlfn.IFS(A836&lt;=8000,"low",A836&lt;15000,"medium",A836&gt;=15000,"high")</f>
        <v>low</v>
      </c>
      <c r="G836" s="1">
        <v>8</v>
      </c>
      <c r="H836" t="str" cm="1">
        <f t="array" ref="H836">_xlfn.IFS(G836&lt;=15,"Junior",G836&lt;=30,"Mid level",G836&gt;30,"Lead")</f>
        <v>Junior</v>
      </c>
    </row>
    <row r="837" spans="1:8" x14ac:dyDescent="0.3">
      <c r="A837" s="7">
        <v>5429</v>
      </c>
      <c r="B837" t="str" cm="1">
        <f t="array" ref="B837">_xlfn.IFS(A837&lt;=8000,"low",A837&lt;15000,"medium",A837&gt;=15000,"high")</f>
        <v>low</v>
      </c>
      <c r="G837" s="2">
        <v>11</v>
      </c>
      <c r="H837" t="str" cm="1">
        <f t="array" ref="H837">_xlfn.IFS(G837&lt;=15,"Junior",G837&lt;=30,"Mid level",G837&gt;30,"Lead")</f>
        <v>Junior</v>
      </c>
    </row>
    <row r="838" spans="1:8" x14ac:dyDescent="0.3">
      <c r="A838" s="8">
        <v>5433</v>
      </c>
      <c r="B838" t="str" cm="1">
        <f t="array" ref="B838">_xlfn.IFS(A838&lt;=8000,"low",A838&lt;15000,"medium",A838&gt;=15000,"high")</f>
        <v>low</v>
      </c>
      <c r="G838" s="1">
        <v>2</v>
      </c>
      <c r="H838" t="str" cm="1">
        <f t="array" ref="H838">_xlfn.IFS(G838&lt;=15,"Junior",G838&lt;=30,"Mid level",G838&gt;30,"Lead")</f>
        <v>Junior</v>
      </c>
    </row>
    <row r="839" spans="1:8" x14ac:dyDescent="0.3">
      <c r="A839" s="7">
        <v>5440</v>
      </c>
      <c r="B839" t="str" cm="1">
        <f t="array" ref="B839">_xlfn.IFS(A839&lt;=8000,"low",A839&lt;15000,"medium",A839&gt;=15000,"high")</f>
        <v>low</v>
      </c>
      <c r="G839" s="2">
        <v>10</v>
      </c>
      <c r="H839" t="str" cm="1">
        <f t="array" ref="H839">_xlfn.IFS(G839&lt;=15,"Junior",G839&lt;=30,"Mid level",G839&gt;30,"Lead")</f>
        <v>Junior</v>
      </c>
    </row>
    <row r="840" spans="1:8" x14ac:dyDescent="0.3">
      <c r="A840" s="8">
        <v>5441</v>
      </c>
      <c r="B840" t="str" cm="1">
        <f t="array" ref="B840">_xlfn.IFS(A840&lt;=8000,"low",A840&lt;15000,"medium",A840&gt;=15000,"high")</f>
        <v>low</v>
      </c>
      <c r="G840" s="1">
        <v>4</v>
      </c>
      <c r="H840" t="str" cm="1">
        <f t="array" ref="H840">_xlfn.IFS(G840&lt;=15,"Junior",G840&lt;=30,"Mid level",G840&gt;30,"Lead")</f>
        <v>Junior</v>
      </c>
    </row>
    <row r="841" spans="1:8" x14ac:dyDescent="0.3">
      <c r="A841" s="7">
        <v>5454</v>
      </c>
      <c r="B841" t="str" cm="1">
        <f t="array" ref="B841">_xlfn.IFS(A841&lt;=8000,"low",A841&lt;15000,"medium",A841&gt;=15000,"high")</f>
        <v>low</v>
      </c>
      <c r="G841" s="2">
        <v>7</v>
      </c>
      <c r="H841" t="str" cm="1">
        <f t="array" ref="H841">_xlfn.IFS(G841&lt;=15,"Junior",G841&lt;=30,"Mid level",G841&gt;30,"Lead")</f>
        <v>Junior</v>
      </c>
    </row>
    <row r="842" spans="1:8" x14ac:dyDescent="0.3">
      <c r="A842" s="8">
        <v>5460</v>
      </c>
      <c r="B842" t="str" cm="1">
        <f t="array" ref="B842">_xlfn.IFS(A842&lt;=8000,"low",A842&lt;15000,"medium",A842&gt;=15000,"high")</f>
        <v>low</v>
      </c>
      <c r="G842" s="1">
        <v>6</v>
      </c>
      <c r="H842" t="str" cm="1">
        <f t="array" ref="H842">_xlfn.IFS(G842&lt;=15,"Junior",G842&lt;=30,"Mid level",G842&gt;30,"Lead")</f>
        <v>Junior</v>
      </c>
    </row>
    <row r="843" spans="1:8" x14ac:dyDescent="0.3">
      <c r="A843" s="7">
        <v>5467</v>
      </c>
      <c r="B843" t="str" cm="1">
        <f t="array" ref="B843">_xlfn.IFS(A843&lt;=8000,"low",A843&lt;15000,"medium",A843&gt;=15000,"high")</f>
        <v>low</v>
      </c>
      <c r="G843" s="2">
        <v>8</v>
      </c>
      <c r="H843" t="str" cm="1">
        <f t="array" ref="H843">_xlfn.IFS(G843&lt;=15,"Junior",G843&lt;=30,"Mid level",G843&gt;30,"Lead")</f>
        <v>Junior</v>
      </c>
    </row>
    <row r="844" spans="1:8" x14ac:dyDescent="0.3">
      <c r="A844" s="8">
        <v>5467</v>
      </c>
      <c r="B844" t="str" cm="1">
        <f t="array" ref="B844">_xlfn.IFS(A844&lt;=8000,"low",A844&lt;15000,"medium",A844&gt;=15000,"high")</f>
        <v>low</v>
      </c>
      <c r="G844" s="1">
        <v>12</v>
      </c>
      <c r="H844" t="str" cm="1">
        <f t="array" ref="H844">_xlfn.IFS(G844&lt;=15,"Junior",G844&lt;=30,"Mid level",G844&gt;30,"Lead")</f>
        <v>Junior</v>
      </c>
    </row>
    <row r="845" spans="1:8" x14ac:dyDescent="0.3">
      <c r="A845" s="7">
        <v>5468</v>
      </c>
      <c r="B845" t="str" cm="1">
        <f t="array" ref="B845">_xlfn.IFS(A845&lt;=8000,"low",A845&lt;15000,"medium",A845&gt;=15000,"high")</f>
        <v>low</v>
      </c>
      <c r="G845" s="2">
        <v>9</v>
      </c>
      <c r="H845" t="str" cm="1">
        <f t="array" ref="H845">_xlfn.IFS(G845&lt;=15,"Junior",G845&lt;=30,"Mid level",G845&gt;30,"Lead")</f>
        <v>Junior</v>
      </c>
    </row>
    <row r="846" spans="1:8" x14ac:dyDescent="0.3">
      <c r="A846" s="8">
        <v>5470</v>
      </c>
      <c r="B846" t="str" cm="1">
        <f t="array" ref="B846">_xlfn.IFS(A846&lt;=8000,"low",A846&lt;15000,"medium",A846&gt;=15000,"high")</f>
        <v>low</v>
      </c>
      <c r="G846" s="1">
        <v>8</v>
      </c>
      <c r="H846" t="str" cm="1">
        <f t="array" ref="H846">_xlfn.IFS(G846&lt;=15,"Junior",G846&lt;=30,"Mid level",G846&gt;30,"Lead")</f>
        <v>Junior</v>
      </c>
    </row>
    <row r="847" spans="1:8" x14ac:dyDescent="0.3">
      <c r="A847" s="7">
        <v>5472</v>
      </c>
      <c r="B847" t="str" cm="1">
        <f t="array" ref="B847">_xlfn.IFS(A847&lt;=8000,"low",A847&lt;15000,"medium",A847&gt;=15000,"high")</f>
        <v>low</v>
      </c>
      <c r="G847" s="2">
        <v>4</v>
      </c>
      <c r="H847" t="str" cm="1">
        <f t="array" ref="H847">_xlfn.IFS(G847&lt;=15,"Junior",G847&lt;=30,"Mid level",G847&gt;30,"Lead")</f>
        <v>Junior</v>
      </c>
    </row>
    <row r="848" spans="1:8" x14ac:dyDescent="0.3">
      <c r="A848" s="8">
        <v>5473</v>
      </c>
      <c r="B848" t="str" cm="1">
        <f t="array" ref="B848">_xlfn.IFS(A848&lt;=8000,"low",A848&lt;15000,"medium",A848&gt;=15000,"high")</f>
        <v>low</v>
      </c>
      <c r="G848" s="1">
        <v>8</v>
      </c>
      <c r="H848" t="str" cm="1">
        <f t="array" ref="H848">_xlfn.IFS(G848&lt;=15,"Junior",G848&lt;=30,"Mid level",G848&gt;30,"Lead")</f>
        <v>Junior</v>
      </c>
    </row>
    <row r="849" spans="1:8" x14ac:dyDescent="0.3">
      <c r="A849" s="7">
        <v>5473</v>
      </c>
      <c r="B849" t="str" cm="1">
        <f t="array" ref="B849">_xlfn.IFS(A849&lt;=8000,"low",A849&lt;15000,"medium",A849&gt;=15000,"high")</f>
        <v>low</v>
      </c>
      <c r="G849" s="2">
        <v>10</v>
      </c>
      <c r="H849" t="str" cm="1">
        <f t="array" ref="H849">_xlfn.IFS(G849&lt;=15,"Junior",G849&lt;=30,"Mid level",G849&gt;30,"Lead")</f>
        <v>Junior</v>
      </c>
    </row>
    <row r="850" spans="1:8" x14ac:dyDescent="0.3">
      <c r="A850" s="8">
        <v>5476</v>
      </c>
      <c r="B850" t="str" cm="1">
        <f t="array" ref="B850">_xlfn.IFS(A850&lt;=8000,"low",A850&lt;15000,"medium",A850&gt;=15000,"high")</f>
        <v>low</v>
      </c>
      <c r="G850" s="1">
        <v>4</v>
      </c>
      <c r="H850" t="str" cm="1">
        <f t="array" ref="H850">_xlfn.IFS(G850&lt;=15,"Junior",G850&lt;=30,"Mid level",G850&gt;30,"Lead")</f>
        <v>Junior</v>
      </c>
    </row>
    <row r="851" spans="1:8" x14ac:dyDescent="0.3">
      <c r="A851" s="7">
        <v>5482</v>
      </c>
      <c r="B851" t="str" cm="1">
        <f t="array" ref="B851">_xlfn.IFS(A851&lt;=8000,"low",A851&lt;15000,"medium",A851&gt;=15000,"high")</f>
        <v>low</v>
      </c>
      <c r="G851" s="2">
        <v>13</v>
      </c>
      <c r="H851" t="str" cm="1">
        <f t="array" ref="H851">_xlfn.IFS(G851&lt;=15,"Junior",G851&lt;=30,"Mid level",G851&gt;30,"Lead")</f>
        <v>Junior</v>
      </c>
    </row>
    <row r="852" spans="1:8" x14ac:dyDescent="0.3">
      <c r="A852" s="8">
        <v>5484</v>
      </c>
      <c r="B852" t="str" cm="1">
        <f t="array" ref="B852">_xlfn.IFS(A852&lt;=8000,"low",A852&lt;15000,"medium",A852&gt;=15000,"high")</f>
        <v>low</v>
      </c>
      <c r="G852" s="1">
        <v>2</v>
      </c>
      <c r="H852" t="str" cm="1">
        <f t="array" ref="H852">_xlfn.IFS(G852&lt;=15,"Junior",G852&lt;=30,"Mid level",G852&gt;30,"Lead")</f>
        <v>Junior</v>
      </c>
    </row>
    <row r="853" spans="1:8" x14ac:dyDescent="0.3">
      <c r="A853" s="7">
        <v>5484</v>
      </c>
      <c r="B853" t="str" cm="1">
        <f t="array" ref="B853">_xlfn.IFS(A853&lt;=8000,"low",A853&lt;15000,"medium",A853&gt;=15000,"high")</f>
        <v>low</v>
      </c>
      <c r="G853" s="2">
        <v>5</v>
      </c>
      <c r="H853" t="str" cm="1">
        <f t="array" ref="H853">_xlfn.IFS(G853&lt;=15,"Junior",G853&lt;=30,"Mid level",G853&gt;30,"Lead")</f>
        <v>Junior</v>
      </c>
    </row>
    <row r="854" spans="1:8" x14ac:dyDescent="0.3">
      <c r="A854" s="8">
        <v>5485</v>
      </c>
      <c r="B854" t="str" cm="1">
        <f t="array" ref="B854">_xlfn.IFS(A854&lt;=8000,"low",A854&lt;15000,"medium",A854&gt;=15000,"high")</f>
        <v>low</v>
      </c>
      <c r="G854" s="1">
        <v>2</v>
      </c>
      <c r="H854" t="str" cm="1">
        <f t="array" ref="H854">_xlfn.IFS(G854&lt;=15,"Junior",G854&lt;=30,"Mid level",G854&gt;30,"Lead")</f>
        <v>Junior</v>
      </c>
    </row>
    <row r="855" spans="1:8" x14ac:dyDescent="0.3">
      <c r="A855" s="7">
        <v>5486</v>
      </c>
      <c r="B855" t="str" cm="1">
        <f t="array" ref="B855">_xlfn.IFS(A855&lt;=8000,"low",A855&lt;15000,"medium",A855&gt;=15000,"high")</f>
        <v>low</v>
      </c>
      <c r="G855" s="2">
        <v>10</v>
      </c>
      <c r="H855" t="str" cm="1">
        <f t="array" ref="H855">_xlfn.IFS(G855&lt;=15,"Junior",G855&lt;=30,"Mid level",G855&gt;30,"Lead")</f>
        <v>Junior</v>
      </c>
    </row>
    <row r="856" spans="1:8" x14ac:dyDescent="0.3">
      <c r="A856" s="8">
        <v>5487</v>
      </c>
      <c r="B856" t="str" cm="1">
        <f t="array" ref="B856">_xlfn.IFS(A856&lt;=8000,"low",A856&lt;15000,"medium",A856&gt;=15000,"high")</f>
        <v>low</v>
      </c>
      <c r="G856" s="1">
        <v>6</v>
      </c>
      <c r="H856" t="str" cm="1">
        <f t="array" ref="H856">_xlfn.IFS(G856&lt;=15,"Junior",G856&lt;=30,"Mid level",G856&gt;30,"Lead")</f>
        <v>Junior</v>
      </c>
    </row>
    <row r="857" spans="1:8" x14ac:dyDescent="0.3">
      <c r="A857" s="7">
        <v>5488</v>
      </c>
      <c r="B857" t="str" cm="1">
        <f t="array" ref="B857">_xlfn.IFS(A857&lt;=8000,"low",A857&lt;15000,"medium",A857&gt;=15000,"high")</f>
        <v>low</v>
      </c>
      <c r="G857" s="2">
        <v>6</v>
      </c>
      <c r="H857" t="str" cm="1">
        <f t="array" ref="H857">_xlfn.IFS(G857&lt;=15,"Junior",G857&lt;=30,"Mid level",G857&gt;30,"Lead")</f>
        <v>Junior</v>
      </c>
    </row>
    <row r="858" spans="1:8" x14ac:dyDescent="0.3">
      <c r="A858" s="8">
        <v>5505</v>
      </c>
      <c r="B858" t="str" cm="1">
        <f t="array" ref="B858">_xlfn.IFS(A858&lt;=8000,"low",A858&lt;15000,"medium",A858&gt;=15000,"high")</f>
        <v>low</v>
      </c>
      <c r="G858" s="1">
        <v>4</v>
      </c>
      <c r="H858" t="str" cm="1">
        <f t="array" ref="H858">_xlfn.IFS(G858&lt;=15,"Junior",G858&lt;=30,"Mid level",G858&gt;30,"Lead")</f>
        <v>Junior</v>
      </c>
    </row>
    <row r="859" spans="1:8" x14ac:dyDescent="0.3">
      <c r="A859" s="7">
        <v>5507</v>
      </c>
      <c r="B859" t="str" cm="1">
        <f t="array" ref="B859">_xlfn.IFS(A859&lt;=8000,"low",A859&lt;15000,"medium",A859&gt;=15000,"high")</f>
        <v>low</v>
      </c>
      <c r="G859" s="2">
        <v>0</v>
      </c>
      <c r="H859" t="str" cm="1">
        <f t="array" ref="H859">_xlfn.IFS(G859&lt;=15,"Junior",G859&lt;=30,"Mid level",G859&gt;30,"Lead")</f>
        <v>Junior</v>
      </c>
    </row>
    <row r="860" spans="1:8" x14ac:dyDescent="0.3">
      <c r="A860" s="8">
        <v>5538</v>
      </c>
      <c r="B860" t="str" cm="1">
        <f t="array" ref="B860">_xlfn.IFS(A860&lt;=8000,"low",A860&lt;15000,"medium",A860&gt;=15000,"high")</f>
        <v>low</v>
      </c>
      <c r="G860" s="1">
        <v>6</v>
      </c>
      <c r="H860" t="str" cm="1">
        <f t="array" ref="H860">_xlfn.IFS(G860&lt;=15,"Junior",G860&lt;=30,"Mid level",G860&gt;30,"Lead")</f>
        <v>Junior</v>
      </c>
    </row>
    <row r="861" spans="1:8" x14ac:dyDescent="0.3">
      <c r="A861" s="7">
        <v>5561</v>
      </c>
      <c r="B861" t="str" cm="1">
        <f t="array" ref="B861">_xlfn.IFS(A861&lt;=8000,"low",A861&lt;15000,"medium",A861&gt;=15000,"high")</f>
        <v>low</v>
      </c>
      <c r="G861" s="2">
        <v>5</v>
      </c>
      <c r="H861" t="str" cm="1">
        <f t="array" ref="H861">_xlfn.IFS(G861&lt;=15,"Junior",G861&lt;=30,"Mid level",G861&gt;30,"Lead")</f>
        <v>Junior</v>
      </c>
    </row>
    <row r="862" spans="1:8" x14ac:dyDescent="0.3">
      <c r="A862" s="8">
        <v>5561</v>
      </c>
      <c r="B862" t="str" cm="1">
        <f t="array" ref="B862">_xlfn.IFS(A862&lt;=8000,"low",A862&lt;15000,"medium",A862&gt;=15000,"high")</f>
        <v>low</v>
      </c>
      <c r="G862" s="1">
        <v>5</v>
      </c>
      <c r="H862" t="str" cm="1">
        <f t="array" ref="H862">_xlfn.IFS(G862&lt;=15,"Junior",G862&lt;=30,"Mid level",G862&gt;30,"Lead")</f>
        <v>Junior</v>
      </c>
    </row>
    <row r="863" spans="1:8" x14ac:dyDescent="0.3">
      <c r="A863" s="7">
        <v>5562</v>
      </c>
      <c r="B863" t="str" cm="1">
        <f t="array" ref="B863">_xlfn.IFS(A863&lt;=8000,"low",A863&lt;15000,"medium",A863&gt;=15000,"high")</f>
        <v>low</v>
      </c>
      <c r="G863" s="2">
        <v>3</v>
      </c>
      <c r="H863" t="str" cm="1">
        <f t="array" ref="H863">_xlfn.IFS(G863&lt;=15,"Junior",G863&lt;=30,"Mid level",G863&gt;30,"Lead")</f>
        <v>Junior</v>
      </c>
    </row>
    <row r="864" spans="1:8" x14ac:dyDescent="0.3">
      <c r="A864" s="8">
        <v>5562</v>
      </c>
      <c r="B864" t="str" cm="1">
        <f t="array" ref="B864">_xlfn.IFS(A864&lt;=8000,"low",A864&lt;15000,"medium",A864&gt;=15000,"high")</f>
        <v>low</v>
      </c>
      <c r="G864" s="1">
        <v>10</v>
      </c>
      <c r="H864" t="str" cm="1">
        <f t="array" ref="H864">_xlfn.IFS(G864&lt;=15,"Junior",G864&lt;=30,"Mid level",G864&gt;30,"Lead")</f>
        <v>Junior</v>
      </c>
    </row>
    <row r="865" spans="1:8" x14ac:dyDescent="0.3">
      <c r="A865" s="7">
        <v>5562</v>
      </c>
      <c r="B865" t="str" cm="1">
        <f t="array" ref="B865">_xlfn.IFS(A865&lt;=8000,"low",A865&lt;15000,"medium",A865&gt;=15000,"high")</f>
        <v>low</v>
      </c>
      <c r="G865" s="2">
        <v>10</v>
      </c>
      <c r="H865" t="str" cm="1">
        <f t="array" ref="H865">_xlfn.IFS(G865&lt;=15,"Junior",G865&lt;=30,"Mid level",G865&gt;30,"Lead")</f>
        <v>Junior</v>
      </c>
    </row>
    <row r="866" spans="1:8" x14ac:dyDescent="0.3">
      <c r="A866" s="8">
        <v>5577</v>
      </c>
      <c r="B866" t="str" cm="1">
        <f t="array" ref="B866">_xlfn.IFS(A866&lt;=8000,"low",A866&lt;15000,"medium",A866&gt;=15000,"high")</f>
        <v>low</v>
      </c>
      <c r="G866" s="1">
        <v>9</v>
      </c>
      <c r="H866" t="str" cm="1">
        <f t="array" ref="H866">_xlfn.IFS(G866&lt;=15,"Junior",G866&lt;=30,"Mid level",G866&gt;30,"Lead")</f>
        <v>Junior</v>
      </c>
    </row>
    <row r="867" spans="1:8" x14ac:dyDescent="0.3">
      <c r="A867" s="7">
        <v>5582</v>
      </c>
      <c r="B867" t="str" cm="1">
        <f t="array" ref="B867">_xlfn.IFS(A867&lt;=8000,"low",A867&lt;15000,"medium",A867&gt;=15000,"high")</f>
        <v>low</v>
      </c>
      <c r="G867" s="2">
        <v>15</v>
      </c>
      <c r="H867" t="str" cm="1">
        <f t="array" ref="H867">_xlfn.IFS(G867&lt;=15,"Junior",G867&lt;=30,"Mid level",G867&gt;30,"Lead")</f>
        <v>Junior</v>
      </c>
    </row>
    <row r="868" spans="1:8" x14ac:dyDescent="0.3">
      <c r="A868" s="8">
        <v>5593</v>
      </c>
      <c r="B868" t="str" cm="1">
        <f t="array" ref="B868">_xlfn.IFS(A868&lt;=8000,"low",A868&lt;15000,"medium",A868&gt;=15000,"high")</f>
        <v>low</v>
      </c>
      <c r="G868" s="1">
        <v>20</v>
      </c>
      <c r="H868" t="str" cm="1">
        <f t="array" ref="H868">_xlfn.IFS(G868&lt;=15,"Junior",G868&lt;=30,"Mid level",G868&gt;30,"Lead")</f>
        <v>Mid level</v>
      </c>
    </row>
    <row r="869" spans="1:8" x14ac:dyDescent="0.3">
      <c r="A869" s="7">
        <v>5605</v>
      </c>
      <c r="B869" t="str" cm="1">
        <f t="array" ref="B869">_xlfn.IFS(A869&lt;=8000,"low",A869&lt;15000,"medium",A869&gt;=15000,"high")</f>
        <v>low</v>
      </c>
      <c r="G869" s="2">
        <v>8</v>
      </c>
      <c r="H869" t="str" cm="1">
        <f t="array" ref="H869">_xlfn.IFS(G869&lt;=15,"Junior",G869&lt;=30,"Mid level",G869&gt;30,"Lead")</f>
        <v>Junior</v>
      </c>
    </row>
    <row r="870" spans="1:8" x14ac:dyDescent="0.3">
      <c r="A870" s="8">
        <v>5605</v>
      </c>
      <c r="B870" t="str" cm="1">
        <f t="array" ref="B870">_xlfn.IFS(A870&lt;=8000,"low",A870&lt;15000,"medium",A870&gt;=15000,"high")</f>
        <v>low</v>
      </c>
      <c r="G870" s="1">
        <v>10</v>
      </c>
      <c r="H870" t="str" cm="1">
        <f t="array" ref="H870">_xlfn.IFS(G870&lt;=15,"Junior",G870&lt;=30,"Mid level",G870&gt;30,"Lead")</f>
        <v>Junior</v>
      </c>
    </row>
    <row r="871" spans="1:8" x14ac:dyDescent="0.3">
      <c r="A871" s="7">
        <v>5617</v>
      </c>
      <c r="B871" t="str" cm="1">
        <f t="array" ref="B871">_xlfn.IFS(A871&lt;=8000,"low",A871&lt;15000,"medium",A871&gt;=15000,"high")</f>
        <v>low</v>
      </c>
      <c r="G871" s="2">
        <v>3</v>
      </c>
      <c r="H871" t="str" cm="1">
        <f t="array" ref="H871">_xlfn.IFS(G871&lt;=15,"Junior",G871&lt;=30,"Mid level",G871&gt;30,"Lead")</f>
        <v>Junior</v>
      </c>
    </row>
    <row r="872" spans="1:8" x14ac:dyDescent="0.3">
      <c r="A872" s="8">
        <v>5647</v>
      </c>
      <c r="B872" t="str" cm="1">
        <f t="array" ref="B872">_xlfn.IFS(A872&lt;=8000,"low",A872&lt;15000,"medium",A872&gt;=15000,"high")</f>
        <v>low</v>
      </c>
      <c r="G872" s="1">
        <v>5</v>
      </c>
      <c r="H872" t="str" cm="1">
        <f t="array" ref="H872">_xlfn.IFS(G872&lt;=15,"Junior",G872&lt;=30,"Mid level",G872&gt;30,"Lead")</f>
        <v>Junior</v>
      </c>
    </row>
    <row r="873" spans="1:8" x14ac:dyDescent="0.3">
      <c r="A873" s="7">
        <v>5660</v>
      </c>
      <c r="B873" t="str" cm="1">
        <f t="array" ref="B873">_xlfn.IFS(A873&lt;=8000,"low",A873&lt;15000,"medium",A873&gt;=15000,"high")</f>
        <v>low</v>
      </c>
      <c r="G873" s="2">
        <v>8</v>
      </c>
      <c r="H873" t="str" cm="1">
        <f t="array" ref="H873">_xlfn.IFS(G873&lt;=15,"Junior",G873&lt;=30,"Mid level",G873&gt;30,"Lead")</f>
        <v>Junior</v>
      </c>
    </row>
    <row r="874" spans="1:8" x14ac:dyDescent="0.3">
      <c r="A874" s="8">
        <v>5661</v>
      </c>
      <c r="B874" t="str" cm="1">
        <f t="array" ref="B874">_xlfn.IFS(A874&lt;=8000,"low",A874&lt;15000,"medium",A874&gt;=15000,"high")</f>
        <v>low</v>
      </c>
      <c r="G874" s="1">
        <v>5</v>
      </c>
      <c r="H874" t="str" cm="1">
        <f t="array" ref="H874">_xlfn.IFS(G874&lt;=15,"Junior",G874&lt;=30,"Mid level",G874&gt;30,"Lead")</f>
        <v>Junior</v>
      </c>
    </row>
    <row r="875" spans="1:8" x14ac:dyDescent="0.3">
      <c r="A875" s="7">
        <v>5666</v>
      </c>
      <c r="B875" t="str" cm="1">
        <f t="array" ref="B875">_xlfn.IFS(A875&lt;=8000,"low",A875&lt;15000,"medium",A875&gt;=15000,"high")</f>
        <v>low</v>
      </c>
      <c r="G875" s="2">
        <v>10</v>
      </c>
      <c r="H875" t="str" cm="1">
        <f t="array" ref="H875">_xlfn.IFS(G875&lt;=15,"Junior",G875&lt;=30,"Mid level",G875&gt;30,"Lead")</f>
        <v>Junior</v>
      </c>
    </row>
    <row r="876" spans="1:8" x14ac:dyDescent="0.3">
      <c r="A876" s="8">
        <v>5673</v>
      </c>
      <c r="B876" t="str" cm="1">
        <f t="array" ref="B876">_xlfn.IFS(A876&lt;=8000,"low",A876&lt;15000,"medium",A876&gt;=15000,"high")</f>
        <v>low</v>
      </c>
      <c r="G876" s="1">
        <v>9</v>
      </c>
      <c r="H876" t="str" cm="1">
        <f t="array" ref="H876">_xlfn.IFS(G876&lt;=15,"Junior",G876&lt;=30,"Mid level",G876&gt;30,"Lead")</f>
        <v>Junior</v>
      </c>
    </row>
    <row r="877" spans="1:8" x14ac:dyDescent="0.3">
      <c r="A877" s="7">
        <v>5674</v>
      </c>
      <c r="B877" t="str" cm="1">
        <f t="array" ref="B877">_xlfn.IFS(A877&lt;=8000,"low",A877&lt;15000,"medium",A877&gt;=15000,"high")</f>
        <v>low</v>
      </c>
      <c r="G877" s="2">
        <v>7</v>
      </c>
      <c r="H877" t="str" cm="1">
        <f t="array" ref="H877">_xlfn.IFS(G877&lt;=15,"Junior",G877&lt;=30,"Mid level",G877&gt;30,"Lead")</f>
        <v>Junior</v>
      </c>
    </row>
    <row r="878" spans="1:8" x14ac:dyDescent="0.3">
      <c r="A878" s="8">
        <v>5675</v>
      </c>
      <c r="B878" t="str" cm="1">
        <f t="array" ref="B878">_xlfn.IFS(A878&lt;=8000,"low",A878&lt;15000,"medium",A878&gt;=15000,"high")</f>
        <v>low</v>
      </c>
      <c r="G878" s="1">
        <v>11</v>
      </c>
      <c r="H878" t="str" cm="1">
        <f t="array" ref="H878">_xlfn.IFS(G878&lt;=15,"Junior",G878&lt;=30,"Mid level",G878&gt;30,"Lead")</f>
        <v>Junior</v>
      </c>
    </row>
    <row r="879" spans="1:8" x14ac:dyDescent="0.3">
      <c r="A879" s="7">
        <v>5677</v>
      </c>
      <c r="B879" t="str" cm="1">
        <f t="array" ref="B879">_xlfn.IFS(A879&lt;=8000,"low",A879&lt;15000,"medium",A879&gt;=15000,"high")</f>
        <v>low</v>
      </c>
      <c r="G879" s="2">
        <v>8</v>
      </c>
      <c r="H879" t="str" cm="1">
        <f t="array" ref="H879">_xlfn.IFS(G879&lt;=15,"Junior",G879&lt;=30,"Mid level",G879&gt;30,"Lead")</f>
        <v>Junior</v>
      </c>
    </row>
    <row r="880" spans="1:8" x14ac:dyDescent="0.3">
      <c r="A880" s="8">
        <v>5679</v>
      </c>
      <c r="B880" t="str" cm="1">
        <f t="array" ref="B880">_xlfn.IFS(A880&lt;=8000,"low",A880&lt;15000,"medium",A880&gt;=15000,"high")</f>
        <v>low</v>
      </c>
      <c r="G880" s="1">
        <v>10</v>
      </c>
      <c r="H880" t="str" cm="1">
        <f t="array" ref="H880">_xlfn.IFS(G880&lt;=15,"Junior",G880&lt;=30,"Mid level",G880&gt;30,"Lead")</f>
        <v>Junior</v>
      </c>
    </row>
    <row r="881" spans="1:8" x14ac:dyDescent="0.3">
      <c r="A881" s="7">
        <v>5689</v>
      </c>
      <c r="B881" t="str" cm="1">
        <f t="array" ref="B881">_xlfn.IFS(A881&lt;=8000,"low",A881&lt;15000,"medium",A881&gt;=15000,"high")</f>
        <v>low</v>
      </c>
      <c r="G881" s="2">
        <v>6</v>
      </c>
      <c r="H881" t="str" cm="1">
        <f t="array" ref="H881">_xlfn.IFS(G881&lt;=15,"Junior",G881&lt;=30,"Mid level",G881&gt;30,"Lead")</f>
        <v>Junior</v>
      </c>
    </row>
    <row r="882" spans="1:8" x14ac:dyDescent="0.3">
      <c r="A882" s="8">
        <v>5714</v>
      </c>
      <c r="B882" t="str" cm="1">
        <f t="array" ref="B882">_xlfn.IFS(A882&lt;=8000,"low",A882&lt;15000,"medium",A882&gt;=15000,"high")</f>
        <v>low</v>
      </c>
      <c r="G882" s="1">
        <v>5</v>
      </c>
      <c r="H882" t="str" cm="1">
        <f t="array" ref="H882">_xlfn.IFS(G882&lt;=15,"Junior",G882&lt;=30,"Mid level",G882&gt;30,"Lead")</f>
        <v>Junior</v>
      </c>
    </row>
    <row r="883" spans="1:8" x14ac:dyDescent="0.3">
      <c r="A883" s="7">
        <v>5715</v>
      </c>
      <c r="B883" t="str" cm="1">
        <f t="array" ref="B883">_xlfn.IFS(A883&lt;=8000,"low",A883&lt;15000,"medium",A883&gt;=15000,"high")</f>
        <v>low</v>
      </c>
      <c r="G883" s="2">
        <v>6</v>
      </c>
      <c r="H883" t="str" cm="1">
        <f t="array" ref="H883">_xlfn.IFS(G883&lt;=15,"Junior",G883&lt;=30,"Mid level",G883&gt;30,"Lead")</f>
        <v>Junior</v>
      </c>
    </row>
    <row r="884" spans="1:8" x14ac:dyDescent="0.3">
      <c r="A884" s="8">
        <v>5731</v>
      </c>
      <c r="B884" t="str" cm="1">
        <f t="array" ref="B884">_xlfn.IFS(A884&lt;=8000,"low",A884&lt;15000,"medium",A884&gt;=15000,"high")</f>
        <v>low</v>
      </c>
      <c r="G884" s="1">
        <v>3</v>
      </c>
      <c r="H884" t="str" cm="1">
        <f t="array" ref="H884">_xlfn.IFS(G884&lt;=15,"Junior",G884&lt;=30,"Mid level",G884&gt;30,"Lead")</f>
        <v>Junior</v>
      </c>
    </row>
    <row r="885" spans="1:8" x14ac:dyDescent="0.3">
      <c r="A885" s="7">
        <v>5736</v>
      </c>
      <c r="B885" t="str" cm="1">
        <f t="array" ref="B885">_xlfn.IFS(A885&lt;=8000,"low",A885&lt;15000,"medium",A885&gt;=15000,"high")</f>
        <v>low</v>
      </c>
      <c r="G885" s="2">
        <v>10</v>
      </c>
      <c r="H885" t="str" cm="1">
        <f t="array" ref="H885">_xlfn.IFS(G885&lt;=15,"Junior",G885&lt;=30,"Mid level",G885&gt;30,"Lead")</f>
        <v>Junior</v>
      </c>
    </row>
    <row r="886" spans="1:8" x14ac:dyDescent="0.3">
      <c r="A886" s="8">
        <v>5743</v>
      </c>
      <c r="B886" t="str" cm="1">
        <f t="array" ref="B886">_xlfn.IFS(A886&lt;=8000,"low",A886&lt;15000,"medium",A886&gt;=15000,"high")</f>
        <v>low</v>
      </c>
      <c r="G886" s="1">
        <v>6</v>
      </c>
      <c r="H886" t="str" cm="1">
        <f t="array" ref="H886">_xlfn.IFS(G886&lt;=15,"Junior",G886&lt;=30,"Mid level",G886&gt;30,"Lead")</f>
        <v>Junior</v>
      </c>
    </row>
    <row r="887" spans="1:8" x14ac:dyDescent="0.3">
      <c r="A887" s="7">
        <v>5744</v>
      </c>
      <c r="B887" t="str" cm="1">
        <f t="array" ref="B887">_xlfn.IFS(A887&lt;=8000,"low",A887&lt;15000,"medium",A887&gt;=15000,"high")</f>
        <v>low</v>
      </c>
      <c r="G887" s="2">
        <v>2</v>
      </c>
      <c r="H887" t="str" cm="1">
        <f t="array" ref="H887">_xlfn.IFS(G887&lt;=15,"Junior",G887&lt;=30,"Mid level",G887&gt;30,"Lead")</f>
        <v>Junior</v>
      </c>
    </row>
    <row r="888" spans="1:8" x14ac:dyDescent="0.3">
      <c r="A888" s="8">
        <v>5745</v>
      </c>
      <c r="B888" t="str" cm="1">
        <f t="array" ref="B888">_xlfn.IFS(A888&lt;=8000,"low",A888&lt;15000,"medium",A888&gt;=15000,"high")</f>
        <v>low</v>
      </c>
      <c r="G888" s="1">
        <v>15</v>
      </c>
      <c r="H888" t="str" cm="1">
        <f t="array" ref="H888">_xlfn.IFS(G888&lt;=15,"Junior",G888&lt;=30,"Mid level",G888&gt;30,"Lead")</f>
        <v>Junior</v>
      </c>
    </row>
    <row r="889" spans="1:8" x14ac:dyDescent="0.3">
      <c r="A889" s="7">
        <v>5747</v>
      </c>
      <c r="B889" t="str" cm="1">
        <f t="array" ref="B889">_xlfn.IFS(A889&lt;=8000,"low",A889&lt;15000,"medium",A889&gt;=15000,"high")</f>
        <v>low</v>
      </c>
      <c r="G889" s="2">
        <v>7</v>
      </c>
      <c r="H889" t="str" cm="1">
        <f t="array" ref="H889">_xlfn.IFS(G889&lt;=15,"Junior",G889&lt;=30,"Mid level",G889&gt;30,"Lead")</f>
        <v>Junior</v>
      </c>
    </row>
    <row r="890" spans="1:8" x14ac:dyDescent="0.3">
      <c r="A890" s="8">
        <v>5762</v>
      </c>
      <c r="B890" t="str" cm="1">
        <f t="array" ref="B890">_xlfn.IFS(A890&lt;=8000,"low",A890&lt;15000,"medium",A890&gt;=15000,"high")</f>
        <v>low</v>
      </c>
      <c r="G890" s="1">
        <v>5</v>
      </c>
      <c r="H890" t="str" cm="1">
        <f t="array" ref="H890">_xlfn.IFS(G890&lt;=15,"Junior",G890&lt;=30,"Mid level",G890&gt;30,"Lead")</f>
        <v>Junior</v>
      </c>
    </row>
    <row r="891" spans="1:8" x14ac:dyDescent="0.3">
      <c r="A891" s="7">
        <v>5765</v>
      </c>
      <c r="B891" t="str" cm="1">
        <f t="array" ref="B891">_xlfn.IFS(A891&lt;=8000,"low",A891&lt;15000,"medium",A891&gt;=15000,"high")</f>
        <v>low</v>
      </c>
      <c r="G891" s="2">
        <v>4</v>
      </c>
      <c r="H891" t="str" cm="1">
        <f t="array" ref="H891">_xlfn.IFS(G891&lt;=15,"Junior",G891&lt;=30,"Mid level",G891&gt;30,"Lead")</f>
        <v>Junior</v>
      </c>
    </row>
    <row r="892" spans="1:8" x14ac:dyDescent="0.3">
      <c r="A892" s="8">
        <v>5768</v>
      </c>
      <c r="B892" t="str" cm="1">
        <f t="array" ref="B892">_xlfn.IFS(A892&lt;=8000,"low",A892&lt;15000,"medium",A892&gt;=15000,"high")</f>
        <v>low</v>
      </c>
      <c r="G892" s="1">
        <v>6</v>
      </c>
      <c r="H892" t="str" cm="1">
        <f t="array" ref="H892">_xlfn.IFS(G892&lt;=15,"Junior",G892&lt;=30,"Mid level",G892&gt;30,"Lead")</f>
        <v>Junior</v>
      </c>
    </row>
    <row r="893" spans="1:8" x14ac:dyDescent="0.3">
      <c r="A893" s="7">
        <v>5769</v>
      </c>
      <c r="B893" t="str" cm="1">
        <f t="array" ref="B893">_xlfn.IFS(A893&lt;=8000,"low",A893&lt;15000,"medium",A893&gt;=15000,"high")</f>
        <v>low</v>
      </c>
      <c r="G893" s="2">
        <v>10</v>
      </c>
      <c r="H893" t="str" cm="1">
        <f t="array" ref="H893">_xlfn.IFS(G893&lt;=15,"Junior",G893&lt;=30,"Mid level",G893&gt;30,"Lead")</f>
        <v>Junior</v>
      </c>
    </row>
    <row r="894" spans="1:8" x14ac:dyDescent="0.3">
      <c r="A894" s="8">
        <v>5769</v>
      </c>
      <c r="B894" t="str" cm="1">
        <f t="array" ref="B894">_xlfn.IFS(A894&lt;=8000,"low",A894&lt;15000,"medium",A894&gt;=15000,"high")</f>
        <v>low</v>
      </c>
      <c r="G894" s="1">
        <v>10</v>
      </c>
      <c r="H894" t="str" cm="1">
        <f t="array" ref="H894">_xlfn.IFS(G894&lt;=15,"Junior",G894&lt;=30,"Mid level",G894&gt;30,"Lead")</f>
        <v>Junior</v>
      </c>
    </row>
    <row r="895" spans="1:8" x14ac:dyDescent="0.3">
      <c r="A895" s="7">
        <v>5770</v>
      </c>
      <c r="B895" t="str" cm="1">
        <f t="array" ref="B895">_xlfn.IFS(A895&lt;=8000,"low",A895&lt;15000,"medium",A895&gt;=15000,"high")</f>
        <v>low</v>
      </c>
      <c r="G895" s="2">
        <v>9</v>
      </c>
      <c r="H895" t="str" cm="1">
        <f t="array" ref="H895">_xlfn.IFS(G895&lt;=15,"Junior",G895&lt;=30,"Mid level",G895&gt;30,"Lead")</f>
        <v>Junior</v>
      </c>
    </row>
    <row r="896" spans="1:8" x14ac:dyDescent="0.3">
      <c r="A896" s="8">
        <v>5772</v>
      </c>
      <c r="B896" t="str" cm="1">
        <f t="array" ref="B896">_xlfn.IFS(A896&lt;=8000,"low",A896&lt;15000,"medium",A896&gt;=15000,"high")</f>
        <v>low</v>
      </c>
      <c r="G896" s="1">
        <v>10</v>
      </c>
      <c r="H896" t="str" cm="1">
        <f t="array" ref="H896">_xlfn.IFS(G896&lt;=15,"Junior",G896&lt;=30,"Mid level",G896&gt;30,"Lead")</f>
        <v>Junior</v>
      </c>
    </row>
    <row r="897" spans="1:8" x14ac:dyDescent="0.3">
      <c r="A897" s="7">
        <v>5775</v>
      </c>
      <c r="B897" t="str" cm="1">
        <f t="array" ref="B897">_xlfn.IFS(A897&lt;=8000,"low",A897&lt;15000,"medium",A897&gt;=15000,"high")</f>
        <v>low</v>
      </c>
      <c r="G897" s="2">
        <v>10</v>
      </c>
      <c r="H897" t="str" cm="1">
        <f t="array" ref="H897">_xlfn.IFS(G897&lt;=15,"Junior",G897&lt;=30,"Mid level",G897&gt;30,"Lead")</f>
        <v>Junior</v>
      </c>
    </row>
    <row r="898" spans="1:8" x14ac:dyDescent="0.3">
      <c r="A898" s="8">
        <v>5810</v>
      </c>
      <c r="B898" t="str" cm="1">
        <f t="array" ref="B898">_xlfn.IFS(A898&lt;=8000,"low",A898&lt;15000,"medium",A898&gt;=15000,"high")</f>
        <v>low</v>
      </c>
      <c r="G898" s="1">
        <v>1</v>
      </c>
      <c r="H898" t="str" cm="1">
        <f t="array" ref="H898">_xlfn.IFS(G898&lt;=15,"Junior",G898&lt;=30,"Mid level",G898&gt;30,"Lead")</f>
        <v>Junior</v>
      </c>
    </row>
    <row r="899" spans="1:8" x14ac:dyDescent="0.3">
      <c r="A899" s="7">
        <v>5811</v>
      </c>
      <c r="B899" t="str" cm="1">
        <f t="array" ref="B899">_xlfn.IFS(A899&lt;=8000,"low",A899&lt;15000,"medium",A899&gt;=15000,"high")</f>
        <v>low</v>
      </c>
      <c r="G899" s="2">
        <v>10</v>
      </c>
      <c r="H899" t="str" cm="1">
        <f t="array" ref="H899">_xlfn.IFS(G899&lt;=15,"Junior",G899&lt;=30,"Mid level",G899&gt;30,"Lead")</f>
        <v>Junior</v>
      </c>
    </row>
    <row r="900" spans="1:8" x14ac:dyDescent="0.3">
      <c r="A900" s="8">
        <v>5813</v>
      </c>
      <c r="B900" t="str" cm="1">
        <f t="array" ref="B900">_xlfn.IFS(A900&lt;=8000,"low",A900&lt;15000,"medium",A900&gt;=15000,"high")</f>
        <v>low</v>
      </c>
      <c r="G900" s="1">
        <v>8</v>
      </c>
      <c r="H900" t="str" cm="1">
        <f t="array" ref="H900">_xlfn.IFS(G900&lt;=15,"Junior",G900&lt;=30,"Mid level",G900&gt;30,"Lead")</f>
        <v>Junior</v>
      </c>
    </row>
    <row r="901" spans="1:8" x14ac:dyDescent="0.3">
      <c r="A901" s="7">
        <v>5828</v>
      </c>
      <c r="B901" t="str" cm="1">
        <f t="array" ref="B901">_xlfn.IFS(A901&lt;=8000,"low",A901&lt;15000,"medium",A901&gt;=15000,"high")</f>
        <v>low</v>
      </c>
      <c r="G901" s="2">
        <v>9</v>
      </c>
      <c r="H901" t="str" cm="1">
        <f t="array" ref="H901">_xlfn.IFS(G901&lt;=15,"Junior",G901&lt;=30,"Mid level",G901&gt;30,"Lead")</f>
        <v>Junior</v>
      </c>
    </row>
    <row r="902" spans="1:8" x14ac:dyDescent="0.3">
      <c r="A902" s="8">
        <v>5855</v>
      </c>
      <c r="B902" t="str" cm="1">
        <f t="array" ref="B902">_xlfn.IFS(A902&lt;=8000,"low",A902&lt;15000,"medium",A902&gt;=15000,"high")</f>
        <v>low</v>
      </c>
      <c r="G902" s="1">
        <v>5</v>
      </c>
      <c r="H902" t="str" cm="1">
        <f t="array" ref="H902">_xlfn.IFS(G902&lt;=15,"Junior",G902&lt;=30,"Mid level",G902&gt;30,"Lead")</f>
        <v>Junior</v>
      </c>
    </row>
    <row r="903" spans="1:8" x14ac:dyDescent="0.3">
      <c r="A903" s="7">
        <v>5869</v>
      </c>
      <c r="B903" t="str" cm="1">
        <f t="array" ref="B903">_xlfn.IFS(A903&lt;=8000,"low",A903&lt;15000,"medium",A903&gt;=15000,"high")</f>
        <v>low</v>
      </c>
      <c r="G903" s="2">
        <v>7</v>
      </c>
      <c r="H903" t="str" cm="1">
        <f t="array" ref="H903">_xlfn.IFS(G903&lt;=15,"Junior",G903&lt;=30,"Mid level",G903&gt;30,"Lead")</f>
        <v>Junior</v>
      </c>
    </row>
    <row r="904" spans="1:8" x14ac:dyDescent="0.3">
      <c r="A904" s="8">
        <v>5878</v>
      </c>
      <c r="B904" t="str" cm="1">
        <f t="array" ref="B904">_xlfn.IFS(A904&lt;=8000,"low",A904&lt;15000,"medium",A904&gt;=15000,"high")</f>
        <v>low</v>
      </c>
      <c r="G904" s="1">
        <v>15</v>
      </c>
      <c r="H904" t="str" cm="1">
        <f t="array" ref="H904">_xlfn.IFS(G904&lt;=15,"Junior",G904&lt;=30,"Mid level",G904&gt;30,"Lead")</f>
        <v>Junior</v>
      </c>
    </row>
    <row r="905" spans="1:8" x14ac:dyDescent="0.3">
      <c r="A905" s="7">
        <v>5902</v>
      </c>
      <c r="B905" t="str" cm="1">
        <f t="array" ref="B905">_xlfn.IFS(A905&lt;=8000,"low",A905&lt;15000,"medium",A905&gt;=15000,"high")</f>
        <v>low</v>
      </c>
      <c r="G905" s="2">
        <v>9</v>
      </c>
      <c r="H905" t="str" cm="1">
        <f t="array" ref="H905">_xlfn.IFS(G905&lt;=15,"Junior",G905&lt;=30,"Mid level",G905&gt;30,"Lead")</f>
        <v>Junior</v>
      </c>
    </row>
    <row r="906" spans="1:8" x14ac:dyDescent="0.3">
      <c r="A906" s="8">
        <v>5906</v>
      </c>
      <c r="B906" t="str" cm="1">
        <f t="array" ref="B906">_xlfn.IFS(A906&lt;=8000,"low",A906&lt;15000,"medium",A906&gt;=15000,"high")</f>
        <v>low</v>
      </c>
      <c r="G906" s="1">
        <v>13</v>
      </c>
      <c r="H906" t="str" cm="1">
        <f t="array" ref="H906">_xlfn.IFS(G906&lt;=15,"Junior",G906&lt;=30,"Mid level",G906&gt;30,"Lead")</f>
        <v>Junior</v>
      </c>
    </row>
    <row r="907" spans="1:8" x14ac:dyDescent="0.3">
      <c r="A907" s="7">
        <v>5914</v>
      </c>
      <c r="B907" t="str" cm="1">
        <f t="array" ref="B907">_xlfn.IFS(A907&lt;=8000,"low",A907&lt;15000,"medium",A907&gt;=15000,"high")</f>
        <v>low</v>
      </c>
      <c r="G907" s="2">
        <v>7</v>
      </c>
      <c r="H907" t="str" cm="1">
        <f t="array" ref="H907">_xlfn.IFS(G907&lt;=15,"Junior",G907&lt;=30,"Mid level",G907&gt;30,"Lead")</f>
        <v>Junior</v>
      </c>
    </row>
    <row r="908" spans="1:8" x14ac:dyDescent="0.3">
      <c r="A908" s="8">
        <v>5915</v>
      </c>
      <c r="B908" t="str" cm="1">
        <f t="array" ref="B908">_xlfn.IFS(A908&lt;=8000,"low",A908&lt;15000,"medium",A908&gt;=15000,"high")</f>
        <v>low</v>
      </c>
      <c r="G908" s="1">
        <v>1</v>
      </c>
      <c r="H908" t="str" cm="1">
        <f t="array" ref="H908">_xlfn.IFS(G908&lt;=15,"Junior",G908&lt;=30,"Mid level",G908&gt;30,"Lead")</f>
        <v>Junior</v>
      </c>
    </row>
    <row r="909" spans="1:8" x14ac:dyDescent="0.3">
      <c r="A909" s="7">
        <v>5916</v>
      </c>
      <c r="B909" t="str" cm="1">
        <f t="array" ref="B909">_xlfn.IFS(A909&lt;=8000,"low",A909&lt;15000,"medium",A909&gt;=15000,"high")</f>
        <v>low</v>
      </c>
      <c r="G909" s="2">
        <v>5</v>
      </c>
      <c r="H909" t="str" cm="1">
        <f t="array" ref="H909">_xlfn.IFS(G909&lt;=15,"Junior",G909&lt;=30,"Mid level",G909&gt;30,"Lead")</f>
        <v>Junior</v>
      </c>
    </row>
    <row r="910" spans="1:8" x14ac:dyDescent="0.3">
      <c r="A910" s="8">
        <v>5933</v>
      </c>
      <c r="B910" t="str" cm="1">
        <f t="array" ref="B910">_xlfn.IFS(A910&lt;=8000,"low",A910&lt;15000,"medium",A910&gt;=15000,"high")</f>
        <v>low</v>
      </c>
      <c r="G910" s="1">
        <v>6</v>
      </c>
      <c r="H910" t="str" cm="1">
        <f t="array" ref="H910">_xlfn.IFS(G910&lt;=15,"Junior",G910&lt;=30,"Mid level",G910&gt;30,"Lead")</f>
        <v>Junior</v>
      </c>
    </row>
    <row r="911" spans="1:8" x14ac:dyDescent="0.3">
      <c r="A911" s="7">
        <v>5940</v>
      </c>
      <c r="B911" t="str" cm="1">
        <f t="array" ref="B911">_xlfn.IFS(A911&lt;=8000,"low",A911&lt;15000,"medium",A911&gt;=15000,"high")</f>
        <v>low</v>
      </c>
      <c r="G911" s="2">
        <v>11</v>
      </c>
      <c r="H911" t="str" cm="1">
        <f t="array" ref="H911">_xlfn.IFS(G911&lt;=15,"Junior",G911&lt;=30,"Mid level",G911&gt;30,"Lead")</f>
        <v>Junior</v>
      </c>
    </row>
    <row r="912" spans="1:8" x14ac:dyDescent="0.3">
      <c r="A912" s="8">
        <v>5957</v>
      </c>
      <c r="B912" t="str" cm="1">
        <f t="array" ref="B912">_xlfn.IFS(A912&lt;=8000,"low",A912&lt;15000,"medium",A912&gt;=15000,"high")</f>
        <v>low</v>
      </c>
      <c r="G912" s="1">
        <v>9</v>
      </c>
      <c r="H912" t="str" cm="1">
        <f t="array" ref="H912">_xlfn.IFS(G912&lt;=15,"Junior",G912&lt;=30,"Mid level",G912&gt;30,"Lead")</f>
        <v>Junior</v>
      </c>
    </row>
    <row r="913" spans="1:8" x14ac:dyDescent="0.3">
      <c r="A913" s="7">
        <v>5968</v>
      </c>
      <c r="B913" t="str" cm="1">
        <f t="array" ref="B913">_xlfn.IFS(A913&lt;=8000,"low",A913&lt;15000,"medium",A913&gt;=15000,"high")</f>
        <v>low</v>
      </c>
      <c r="G913" s="2">
        <v>7</v>
      </c>
      <c r="H913" t="str" cm="1">
        <f t="array" ref="H913">_xlfn.IFS(G913&lt;=15,"Junior",G913&lt;=30,"Mid level",G913&gt;30,"Lead")</f>
        <v>Junior</v>
      </c>
    </row>
    <row r="914" spans="1:8" x14ac:dyDescent="0.3">
      <c r="A914" s="8">
        <v>5974</v>
      </c>
      <c r="B914" t="str" cm="1">
        <f t="array" ref="B914">_xlfn.IFS(A914&lt;=8000,"low",A914&lt;15000,"medium",A914&gt;=15000,"high")</f>
        <v>low</v>
      </c>
      <c r="G914" s="1">
        <v>15</v>
      </c>
      <c r="H914" t="str" cm="1">
        <f t="array" ref="H914">_xlfn.IFS(G914&lt;=15,"Junior",G914&lt;=30,"Mid level",G914&gt;30,"Lead")</f>
        <v>Junior</v>
      </c>
    </row>
    <row r="915" spans="1:8" x14ac:dyDescent="0.3">
      <c r="A915" s="7">
        <v>5980</v>
      </c>
      <c r="B915" t="str" cm="1">
        <f t="array" ref="B915">_xlfn.IFS(A915&lt;=8000,"low",A915&lt;15000,"medium",A915&gt;=15000,"high")</f>
        <v>low</v>
      </c>
      <c r="G915" s="2">
        <v>2</v>
      </c>
      <c r="H915" t="str" cm="1">
        <f t="array" ref="H915">_xlfn.IFS(G915&lt;=15,"Junior",G915&lt;=30,"Mid level",G915&gt;30,"Lead")</f>
        <v>Junior</v>
      </c>
    </row>
    <row r="916" spans="1:8" x14ac:dyDescent="0.3">
      <c r="A916" s="8">
        <v>5985</v>
      </c>
      <c r="B916" t="str" cm="1">
        <f t="array" ref="B916">_xlfn.IFS(A916&lt;=8000,"low",A916&lt;15000,"medium",A916&gt;=15000,"high")</f>
        <v>low</v>
      </c>
      <c r="G916" s="1">
        <v>6</v>
      </c>
      <c r="H916" t="str" cm="1">
        <f t="array" ref="H916">_xlfn.IFS(G916&lt;=15,"Junior",G916&lt;=30,"Mid level",G916&gt;30,"Lead")</f>
        <v>Junior</v>
      </c>
    </row>
    <row r="917" spans="1:8" x14ac:dyDescent="0.3">
      <c r="A917" s="7">
        <v>5993</v>
      </c>
      <c r="B917" t="str" cm="1">
        <f t="array" ref="B917">_xlfn.IFS(A917&lt;=8000,"low",A917&lt;15000,"medium",A917&gt;=15000,"high")</f>
        <v>low</v>
      </c>
      <c r="G917" s="2">
        <v>7</v>
      </c>
      <c r="H917" t="str" cm="1">
        <f t="array" ref="H917">_xlfn.IFS(G917&lt;=15,"Junior",G917&lt;=30,"Mid level",G917&gt;30,"Lead")</f>
        <v>Junior</v>
      </c>
    </row>
    <row r="918" spans="1:8" x14ac:dyDescent="0.3">
      <c r="A918" s="8">
        <v>5993</v>
      </c>
      <c r="B918" t="str" cm="1">
        <f t="array" ref="B918">_xlfn.IFS(A918&lt;=8000,"low",A918&lt;15000,"medium",A918&gt;=15000,"high")</f>
        <v>low</v>
      </c>
      <c r="G918" s="1">
        <v>2</v>
      </c>
      <c r="H918" t="str" cm="1">
        <f t="array" ref="H918">_xlfn.IFS(G918&lt;=15,"Junior",G918&lt;=30,"Mid level",G918&gt;30,"Lead")</f>
        <v>Junior</v>
      </c>
    </row>
    <row r="919" spans="1:8" x14ac:dyDescent="0.3">
      <c r="A919" s="7">
        <v>6029</v>
      </c>
      <c r="B919" t="str" cm="1">
        <f t="array" ref="B919">_xlfn.IFS(A919&lt;=8000,"low",A919&lt;15000,"medium",A919&gt;=15000,"high")</f>
        <v>low</v>
      </c>
      <c r="G919" s="2">
        <v>5</v>
      </c>
      <c r="H919" t="str" cm="1">
        <f t="array" ref="H919">_xlfn.IFS(G919&lt;=15,"Junior",G919&lt;=30,"Mid level",G919&gt;30,"Lead")</f>
        <v>Junior</v>
      </c>
    </row>
    <row r="920" spans="1:8" x14ac:dyDescent="0.3">
      <c r="A920" s="8">
        <v>6032</v>
      </c>
      <c r="B920" t="str" cm="1">
        <f t="array" ref="B920">_xlfn.IFS(A920&lt;=8000,"low",A920&lt;15000,"medium",A920&gt;=15000,"high")</f>
        <v>low</v>
      </c>
      <c r="G920" s="1">
        <v>4</v>
      </c>
      <c r="H920" t="str" cm="1">
        <f t="array" ref="H920">_xlfn.IFS(G920&lt;=15,"Junior",G920&lt;=30,"Mid level",G920&gt;30,"Lead")</f>
        <v>Junior</v>
      </c>
    </row>
    <row r="921" spans="1:8" x14ac:dyDescent="0.3">
      <c r="A921" s="7">
        <v>6062</v>
      </c>
      <c r="B921" t="str" cm="1">
        <f t="array" ref="B921">_xlfn.IFS(A921&lt;=8000,"low",A921&lt;15000,"medium",A921&gt;=15000,"high")</f>
        <v>low</v>
      </c>
      <c r="G921" s="2">
        <v>9</v>
      </c>
      <c r="H921" t="str" cm="1">
        <f t="array" ref="H921">_xlfn.IFS(G921&lt;=15,"Junior",G921&lt;=30,"Mid level",G921&gt;30,"Lead")</f>
        <v>Junior</v>
      </c>
    </row>
    <row r="922" spans="1:8" x14ac:dyDescent="0.3">
      <c r="A922" s="8">
        <v>6074</v>
      </c>
      <c r="B922" t="str" cm="1">
        <f t="array" ref="B922">_xlfn.IFS(A922&lt;=8000,"low",A922&lt;15000,"medium",A922&gt;=15000,"high")</f>
        <v>low</v>
      </c>
      <c r="G922" s="1">
        <v>6</v>
      </c>
      <c r="H922" t="str" cm="1">
        <f t="array" ref="H922">_xlfn.IFS(G922&lt;=15,"Junior",G922&lt;=30,"Mid level",G922&gt;30,"Lead")</f>
        <v>Junior</v>
      </c>
    </row>
    <row r="923" spans="1:8" x14ac:dyDescent="0.3">
      <c r="A923" s="7">
        <v>6077</v>
      </c>
      <c r="B923" t="str" cm="1">
        <f t="array" ref="B923">_xlfn.IFS(A923&lt;=8000,"low",A923&lt;15000,"medium",A923&gt;=15000,"high")</f>
        <v>low</v>
      </c>
      <c r="G923" s="2">
        <v>5</v>
      </c>
      <c r="H923" t="str" cm="1">
        <f t="array" ref="H923">_xlfn.IFS(G923&lt;=15,"Junior",G923&lt;=30,"Mid level",G923&gt;30,"Lead")</f>
        <v>Junior</v>
      </c>
    </row>
    <row r="924" spans="1:8" x14ac:dyDescent="0.3">
      <c r="A924" s="8">
        <v>6091</v>
      </c>
      <c r="B924" t="str" cm="1">
        <f t="array" ref="B924">_xlfn.IFS(A924&lt;=8000,"low",A924&lt;15000,"medium",A924&gt;=15000,"high")</f>
        <v>low</v>
      </c>
      <c r="G924" s="1">
        <v>10</v>
      </c>
      <c r="H924" t="str" cm="1">
        <f t="array" ref="H924">_xlfn.IFS(G924&lt;=15,"Junior",G924&lt;=30,"Mid level",G924&gt;30,"Lead")</f>
        <v>Junior</v>
      </c>
    </row>
    <row r="925" spans="1:8" x14ac:dyDescent="0.3">
      <c r="A925" s="7">
        <v>6118</v>
      </c>
      <c r="B925" t="str" cm="1">
        <f t="array" ref="B925">_xlfn.IFS(A925&lt;=8000,"low",A925&lt;15000,"medium",A925&gt;=15000,"high")</f>
        <v>low</v>
      </c>
      <c r="G925" s="2">
        <v>5</v>
      </c>
      <c r="H925" t="str" cm="1">
        <f t="array" ref="H925">_xlfn.IFS(G925&lt;=15,"Junior",G925&lt;=30,"Mid level",G925&gt;30,"Lead")</f>
        <v>Junior</v>
      </c>
    </row>
    <row r="926" spans="1:8" x14ac:dyDescent="0.3">
      <c r="A926" s="8">
        <v>6120</v>
      </c>
      <c r="B926" t="str" cm="1">
        <f t="array" ref="B926">_xlfn.IFS(A926&lt;=8000,"low",A926&lt;15000,"medium",A926&gt;=15000,"high")</f>
        <v>low</v>
      </c>
      <c r="G926" s="1">
        <v>10</v>
      </c>
      <c r="H926" t="str" cm="1">
        <f t="array" ref="H926">_xlfn.IFS(G926&lt;=15,"Junior",G926&lt;=30,"Mid level",G926&gt;30,"Lead")</f>
        <v>Junior</v>
      </c>
    </row>
    <row r="927" spans="1:8" x14ac:dyDescent="0.3">
      <c r="A927" s="7">
        <v>6125</v>
      </c>
      <c r="B927" t="str" cm="1">
        <f t="array" ref="B927">_xlfn.IFS(A927&lt;=8000,"low",A927&lt;15000,"medium",A927&gt;=15000,"high")</f>
        <v>low</v>
      </c>
      <c r="G927" s="2">
        <v>1</v>
      </c>
      <c r="H927" t="str" cm="1">
        <f t="array" ref="H927">_xlfn.IFS(G927&lt;=15,"Junior",G927&lt;=30,"Mid level",G927&gt;30,"Lead")</f>
        <v>Junior</v>
      </c>
    </row>
    <row r="928" spans="1:8" x14ac:dyDescent="0.3">
      <c r="A928" s="8">
        <v>6132</v>
      </c>
      <c r="B928" t="str" cm="1">
        <f t="array" ref="B928">_xlfn.IFS(A928&lt;=8000,"low",A928&lt;15000,"medium",A928&gt;=15000,"high")</f>
        <v>low</v>
      </c>
      <c r="G928" s="1">
        <v>2</v>
      </c>
      <c r="H928" t="str" cm="1">
        <f t="array" ref="H928">_xlfn.IFS(G928&lt;=15,"Junior",G928&lt;=30,"Mid level",G928&gt;30,"Lead")</f>
        <v>Junior</v>
      </c>
    </row>
    <row r="929" spans="1:8" x14ac:dyDescent="0.3">
      <c r="A929" s="7">
        <v>6134</v>
      </c>
      <c r="B929" t="str" cm="1">
        <f t="array" ref="B929">_xlfn.IFS(A929&lt;=8000,"low",A929&lt;15000,"medium",A929&gt;=15000,"high")</f>
        <v>low</v>
      </c>
      <c r="G929" s="2">
        <v>5</v>
      </c>
      <c r="H929" t="str" cm="1">
        <f t="array" ref="H929">_xlfn.IFS(G929&lt;=15,"Junior",G929&lt;=30,"Mid level",G929&gt;30,"Lead")</f>
        <v>Junior</v>
      </c>
    </row>
    <row r="930" spans="1:8" x14ac:dyDescent="0.3">
      <c r="A930" s="8">
        <v>6142</v>
      </c>
      <c r="B930" t="str" cm="1">
        <f t="array" ref="B930">_xlfn.IFS(A930&lt;=8000,"low",A930&lt;15000,"medium",A930&gt;=15000,"high")</f>
        <v>low</v>
      </c>
      <c r="G930" s="1">
        <v>5</v>
      </c>
      <c r="H930" t="str" cm="1">
        <f t="array" ref="H930">_xlfn.IFS(G930&lt;=15,"Junior",G930&lt;=30,"Mid level",G930&gt;30,"Lead")</f>
        <v>Junior</v>
      </c>
    </row>
    <row r="931" spans="1:8" x14ac:dyDescent="0.3">
      <c r="A931" s="7">
        <v>6142</v>
      </c>
      <c r="B931" t="str" cm="1">
        <f t="array" ref="B931">_xlfn.IFS(A931&lt;=8000,"low",A931&lt;15000,"medium",A931&gt;=15000,"high")</f>
        <v>low</v>
      </c>
      <c r="G931" s="2">
        <v>6</v>
      </c>
      <c r="H931" t="str" cm="1">
        <f t="array" ref="H931">_xlfn.IFS(G931&lt;=15,"Junior",G931&lt;=30,"Mid level",G931&gt;30,"Lead")</f>
        <v>Junior</v>
      </c>
    </row>
    <row r="932" spans="1:8" x14ac:dyDescent="0.3">
      <c r="A932" s="8">
        <v>6142</v>
      </c>
      <c r="B932" t="str" cm="1">
        <f t="array" ref="B932">_xlfn.IFS(A932&lt;=8000,"low",A932&lt;15000,"medium",A932&gt;=15000,"high")</f>
        <v>low</v>
      </c>
      <c r="G932" s="1">
        <v>7</v>
      </c>
      <c r="H932" t="str" cm="1">
        <f t="array" ref="H932">_xlfn.IFS(G932&lt;=15,"Junior",G932&lt;=30,"Mid level",G932&gt;30,"Lead")</f>
        <v>Junior</v>
      </c>
    </row>
    <row r="933" spans="1:8" x14ac:dyDescent="0.3">
      <c r="A933" s="7">
        <v>6146</v>
      </c>
      <c r="B933" t="str" cm="1">
        <f t="array" ref="B933">_xlfn.IFS(A933&lt;=8000,"low",A933&lt;15000,"medium",A933&gt;=15000,"high")</f>
        <v>low</v>
      </c>
      <c r="G933" s="2">
        <v>19</v>
      </c>
      <c r="H933" t="str" cm="1">
        <f t="array" ref="H933">_xlfn.IFS(G933&lt;=15,"Junior",G933&lt;=30,"Mid level",G933&gt;30,"Lead")</f>
        <v>Mid level</v>
      </c>
    </row>
    <row r="934" spans="1:8" x14ac:dyDescent="0.3">
      <c r="A934" s="8">
        <v>6151</v>
      </c>
      <c r="B934" t="str" cm="1">
        <f t="array" ref="B934">_xlfn.IFS(A934&lt;=8000,"low",A934&lt;15000,"medium",A934&gt;=15000,"high")</f>
        <v>low</v>
      </c>
      <c r="G934" s="1">
        <v>9</v>
      </c>
      <c r="H934" t="str" cm="1">
        <f t="array" ref="H934">_xlfn.IFS(G934&lt;=15,"Junior",G934&lt;=30,"Mid level",G934&gt;30,"Lead")</f>
        <v>Junior</v>
      </c>
    </row>
    <row r="935" spans="1:8" x14ac:dyDescent="0.3">
      <c r="A935" s="7">
        <v>6162</v>
      </c>
      <c r="B935" t="str" cm="1">
        <f t="array" ref="B935">_xlfn.IFS(A935&lt;=8000,"low",A935&lt;15000,"medium",A935&gt;=15000,"high")</f>
        <v>low</v>
      </c>
      <c r="G935" s="2">
        <v>14</v>
      </c>
      <c r="H935" t="str" cm="1">
        <f t="array" ref="H935">_xlfn.IFS(G935&lt;=15,"Junior",G935&lt;=30,"Mid level",G935&gt;30,"Lead")</f>
        <v>Junior</v>
      </c>
    </row>
    <row r="936" spans="1:8" x14ac:dyDescent="0.3">
      <c r="A936" s="8">
        <v>6162</v>
      </c>
      <c r="B936" t="str" cm="1">
        <f t="array" ref="B936">_xlfn.IFS(A936&lt;=8000,"low",A936&lt;15000,"medium",A936&gt;=15000,"high")</f>
        <v>low</v>
      </c>
      <c r="G936" s="1">
        <v>7</v>
      </c>
      <c r="H936" t="str" cm="1">
        <f t="array" ref="H936">_xlfn.IFS(G936&lt;=15,"Junior",G936&lt;=30,"Mid level",G936&gt;30,"Lead")</f>
        <v>Junior</v>
      </c>
    </row>
    <row r="937" spans="1:8" x14ac:dyDescent="0.3">
      <c r="A937" s="7">
        <v>6172</v>
      </c>
      <c r="B937" t="str" cm="1">
        <f t="array" ref="B937">_xlfn.IFS(A937&lt;=8000,"low",A937&lt;15000,"medium",A937&gt;=15000,"high")</f>
        <v>low</v>
      </c>
      <c r="G937" s="2">
        <v>10</v>
      </c>
      <c r="H937" t="str" cm="1">
        <f t="array" ref="H937">_xlfn.IFS(G937&lt;=15,"Junior",G937&lt;=30,"Mid level",G937&gt;30,"Lead")</f>
        <v>Junior</v>
      </c>
    </row>
    <row r="938" spans="1:8" x14ac:dyDescent="0.3">
      <c r="A938" s="8">
        <v>6179</v>
      </c>
      <c r="B938" t="str" cm="1">
        <f t="array" ref="B938">_xlfn.IFS(A938&lt;=8000,"low",A938&lt;15000,"medium",A938&gt;=15000,"high")</f>
        <v>low</v>
      </c>
      <c r="G938" s="1">
        <v>6</v>
      </c>
      <c r="H938" t="str" cm="1">
        <f t="array" ref="H938">_xlfn.IFS(G938&lt;=15,"Junior",G938&lt;=30,"Mid level",G938&gt;30,"Lead")</f>
        <v>Junior</v>
      </c>
    </row>
    <row r="939" spans="1:8" x14ac:dyDescent="0.3">
      <c r="A939" s="7">
        <v>6180</v>
      </c>
      <c r="B939" t="str" cm="1">
        <f t="array" ref="B939">_xlfn.IFS(A939&lt;=8000,"low",A939&lt;15000,"medium",A939&gt;=15000,"high")</f>
        <v>low</v>
      </c>
      <c r="G939" s="2">
        <v>18</v>
      </c>
      <c r="H939" t="str" cm="1">
        <f t="array" ref="H939">_xlfn.IFS(G939&lt;=15,"Junior",G939&lt;=30,"Mid level",G939&gt;30,"Lead")</f>
        <v>Mid level</v>
      </c>
    </row>
    <row r="940" spans="1:8" x14ac:dyDescent="0.3">
      <c r="A940" s="8">
        <v>6201</v>
      </c>
      <c r="B940" t="str" cm="1">
        <f t="array" ref="B940">_xlfn.IFS(A940&lt;=8000,"low",A940&lt;15000,"medium",A940&gt;=15000,"high")</f>
        <v>low</v>
      </c>
      <c r="G940" s="1">
        <v>10</v>
      </c>
      <c r="H940" t="str" cm="1">
        <f t="array" ref="H940">_xlfn.IFS(G940&lt;=15,"Junior",G940&lt;=30,"Mid level",G940&gt;30,"Lead")</f>
        <v>Junior</v>
      </c>
    </row>
    <row r="941" spans="1:8" x14ac:dyDescent="0.3">
      <c r="A941" s="7">
        <v>6209</v>
      </c>
      <c r="B941" t="str" cm="1">
        <f t="array" ref="B941">_xlfn.IFS(A941&lt;=8000,"low",A941&lt;15000,"medium",A941&gt;=15000,"high")</f>
        <v>low</v>
      </c>
      <c r="G941" s="2">
        <v>8</v>
      </c>
      <c r="H941" t="str" cm="1">
        <f t="array" ref="H941">_xlfn.IFS(G941&lt;=15,"Junior",G941&lt;=30,"Mid level",G941&gt;30,"Lead")</f>
        <v>Junior</v>
      </c>
    </row>
    <row r="942" spans="1:8" x14ac:dyDescent="0.3">
      <c r="A942" s="8">
        <v>6214</v>
      </c>
      <c r="B942" t="str" cm="1">
        <f t="array" ref="B942">_xlfn.IFS(A942&lt;=8000,"low",A942&lt;15000,"medium",A942&gt;=15000,"high")</f>
        <v>low</v>
      </c>
      <c r="G942" s="1">
        <v>10</v>
      </c>
      <c r="H942" t="str" cm="1">
        <f t="array" ref="H942">_xlfn.IFS(G942&lt;=15,"Junior",G942&lt;=30,"Mid level",G942&gt;30,"Lead")</f>
        <v>Junior</v>
      </c>
    </row>
    <row r="943" spans="1:8" x14ac:dyDescent="0.3">
      <c r="A943" s="7">
        <v>6220</v>
      </c>
      <c r="B943" t="str" cm="1">
        <f t="array" ref="B943">_xlfn.IFS(A943&lt;=8000,"low",A943&lt;15000,"medium",A943&gt;=15000,"high")</f>
        <v>low</v>
      </c>
      <c r="G943" s="2">
        <v>14</v>
      </c>
      <c r="H943" t="str" cm="1">
        <f t="array" ref="H943">_xlfn.IFS(G943&lt;=15,"Junior",G943&lt;=30,"Mid level",G943&gt;30,"Lead")</f>
        <v>Junior</v>
      </c>
    </row>
    <row r="944" spans="1:8" x14ac:dyDescent="0.3">
      <c r="A944" s="8">
        <v>6230</v>
      </c>
      <c r="B944" t="str" cm="1">
        <f t="array" ref="B944">_xlfn.IFS(A944&lt;=8000,"low",A944&lt;15000,"medium",A944&gt;=15000,"high")</f>
        <v>low</v>
      </c>
      <c r="G944" s="1">
        <v>3</v>
      </c>
      <c r="H944" t="str" cm="1">
        <f t="array" ref="H944">_xlfn.IFS(G944&lt;=15,"Junior",G944&lt;=30,"Mid level",G944&gt;30,"Lead")</f>
        <v>Junior</v>
      </c>
    </row>
    <row r="945" spans="1:8" x14ac:dyDescent="0.3">
      <c r="A945" s="7">
        <v>6232</v>
      </c>
      <c r="B945" t="str" cm="1">
        <f t="array" ref="B945">_xlfn.IFS(A945&lt;=8000,"low",A945&lt;15000,"medium",A945&gt;=15000,"high")</f>
        <v>low</v>
      </c>
      <c r="G945" s="2">
        <v>5</v>
      </c>
      <c r="H945" t="str" cm="1">
        <f t="array" ref="H945">_xlfn.IFS(G945&lt;=15,"Junior",G945&lt;=30,"Mid level",G945&gt;30,"Lead")</f>
        <v>Junior</v>
      </c>
    </row>
    <row r="946" spans="1:8" x14ac:dyDescent="0.3">
      <c r="A946" s="8">
        <v>6244</v>
      </c>
      <c r="B946" t="str" cm="1">
        <f t="array" ref="B946">_xlfn.IFS(A946&lt;=8000,"low",A946&lt;15000,"medium",A946&gt;=15000,"high")</f>
        <v>low</v>
      </c>
      <c r="G946" s="1">
        <v>7</v>
      </c>
      <c r="H946" t="str" cm="1">
        <f t="array" ref="H946">_xlfn.IFS(G946&lt;=15,"Junior",G946&lt;=30,"Mid level",G946&gt;30,"Lead")</f>
        <v>Junior</v>
      </c>
    </row>
    <row r="947" spans="1:8" x14ac:dyDescent="0.3">
      <c r="A947" s="7">
        <v>6261</v>
      </c>
      <c r="B947" t="str" cm="1">
        <f t="array" ref="B947">_xlfn.IFS(A947&lt;=8000,"low",A947&lt;15000,"medium",A947&gt;=15000,"high")</f>
        <v>low</v>
      </c>
      <c r="G947" s="2">
        <v>5</v>
      </c>
      <c r="H947" t="str" cm="1">
        <f t="array" ref="H947">_xlfn.IFS(G947&lt;=15,"Junior",G947&lt;=30,"Mid level",G947&gt;30,"Lead")</f>
        <v>Junior</v>
      </c>
    </row>
    <row r="948" spans="1:8" x14ac:dyDescent="0.3">
      <c r="A948" s="8">
        <v>6272</v>
      </c>
      <c r="B948" t="str" cm="1">
        <f t="array" ref="B948">_xlfn.IFS(A948&lt;=8000,"low",A948&lt;15000,"medium",A948&gt;=15000,"high")</f>
        <v>low</v>
      </c>
      <c r="G948" s="1">
        <v>4</v>
      </c>
      <c r="H948" t="str" cm="1">
        <f t="array" ref="H948">_xlfn.IFS(G948&lt;=15,"Junior",G948&lt;=30,"Mid level",G948&gt;30,"Lead")</f>
        <v>Junior</v>
      </c>
    </row>
    <row r="949" spans="1:8" x14ac:dyDescent="0.3">
      <c r="A949" s="7">
        <v>6272</v>
      </c>
      <c r="B949" t="str" cm="1">
        <f t="array" ref="B949">_xlfn.IFS(A949&lt;=8000,"low",A949&lt;15000,"medium",A949&gt;=15000,"high")</f>
        <v>low</v>
      </c>
      <c r="G949" s="2">
        <v>6</v>
      </c>
      <c r="H949" t="str" cm="1">
        <f t="array" ref="H949">_xlfn.IFS(G949&lt;=15,"Junior",G949&lt;=30,"Mid level",G949&gt;30,"Lead")</f>
        <v>Junior</v>
      </c>
    </row>
    <row r="950" spans="1:8" x14ac:dyDescent="0.3">
      <c r="A950" s="8">
        <v>6274</v>
      </c>
      <c r="B950" t="str" cm="1">
        <f t="array" ref="B950">_xlfn.IFS(A950&lt;=8000,"low",A950&lt;15000,"medium",A950&gt;=15000,"high")</f>
        <v>low</v>
      </c>
      <c r="G950" s="1">
        <v>4</v>
      </c>
      <c r="H950" t="str" cm="1">
        <f t="array" ref="H950">_xlfn.IFS(G950&lt;=15,"Junior",G950&lt;=30,"Mid level",G950&gt;30,"Lead")</f>
        <v>Junior</v>
      </c>
    </row>
    <row r="951" spans="1:8" x14ac:dyDescent="0.3">
      <c r="A951" s="7">
        <v>6288</v>
      </c>
      <c r="B951" t="str" cm="1">
        <f t="array" ref="B951">_xlfn.IFS(A951&lt;=8000,"low",A951&lt;15000,"medium",A951&gt;=15000,"high")</f>
        <v>low</v>
      </c>
      <c r="G951" s="2">
        <v>3</v>
      </c>
      <c r="H951" t="str" cm="1">
        <f t="array" ref="H951">_xlfn.IFS(G951&lt;=15,"Junior",G951&lt;=30,"Mid level",G951&gt;30,"Lead")</f>
        <v>Junior</v>
      </c>
    </row>
    <row r="952" spans="1:8" x14ac:dyDescent="0.3">
      <c r="A952" s="8">
        <v>6294</v>
      </c>
      <c r="B952" t="str" cm="1">
        <f t="array" ref="B952">_xlfn.IFS(A952&lt;=8000,"low",A952&lt;15000,"medium",A952&gt;=15000,"high")</f>
        <v>low</v>
      </c>
      <c r="G952" s="1">
        <v>13</v>
      </c>
      <c r="H952" t="str" cm="1">
        <f t="array" ref="H952">_xlfn.IFS(G952&lt;=15,"Junior",G952&lt;=30,"Mid level",G952&gt;30,"Lead")</f>
        <v>Junior</v>
      </c>
    </row>
    <row r="953" spans="1:8" x14ac:dyDescent="0.3">
      <c r="A953" s="7">
        <v>6306</v>
      </c>
      <c r="B953" t="str" cm="1">
        <f t="array" ref="B953">_xlfn.IFS(A953&lt;=8000,"low",A953&lt;15000,"medium",A953&gt;=15000,"high")</f>
        <v>low</v>
      </c>
      <c r="G953" s="2">
        <v>6</v>
      </c>
      <c r="H953" t="str" cm="1">
        <f t="array" ref="H953">_xlfn.IFS(G953&lt;=15,"Junior",G953&lt;=30,"Mid level",G953&gt;30,"Lead")</f>
        <v>Junior</v>
      </c>
    </row>
    <row r="954" spans="1:8" x14ac:dyDescent="0.3">
      <c r="A954" s="8">
        <v>6322</v>
      </c>
      <c r="B954" t="str" cm="1">
        <f t="array" ref="B954">_xlfn.IFS(A954&lt;=8000,"low",A954&lt;15000,"medium",A954&gt;=15000,"high")</f>
        <v>low</v>
      </c>
      <c r="G954" s="1">
        <v>10</v>
      </c>
      <c r="H954" t="str" cm="1">
        <f t="array" ref="H954">_xlfn.IFS(G954&lt;=15,"Junior",G954&lt;=30,"Mid level",G954&gt;30,"Lead")</f>
        <v>Junior</v>
      </c>
    </row>
    <row r="955" spans="1:8" x14ac:dyDescent="0.3">
      <c r="A955" s="7">
        <v>6323</v>
      </c>
      <c r="B955" t="str" cm="1">
        <f t="array" ref="B955">_xlfn.IFS(A955&lt;=8000,"low",A955&lt;15000,"medium",A955&gt;=15000,"high")</f>
        <v>low</v>
      </c>
      <c r="G955" s="2">
        <v>1</v>
      </c>
      <c r="H955" t="str" cm="1">
        <f t="array" ref="H955">_xlfn.IFS(G955&lt;=15,"Junior",G955&lt;=30,"Mid level",G955&gt;30,"Lead")</f>
        <v>Junior</v>
      </c>
    </row>
    <row r="956" spans="1:8" x14ac:dyDescent="0.3">
      <c r="A956" s="8">
        <v>6334</v>
      </c>
      <c r="B956" t="str" cm="1">
        <f t="array" ref="B956">_xlfn.IFS(A956&lt;=8000,"low",A956&lt;15000,"medium",A956&gt;=15000,"high")</f>
        <v>low</v>
      </c>
      <c r="G956" s="1">
        <v>11</v>
      </c>
      <c r="H956" t="str" cm="1">
        <f t="array" ref="H956">_xlfn.IFS(G956&lt;=15,"Junior",G956&lt;=30,"Mid level",G956&gt;30,"Lead")</f>
        <v>Junior</v>
      </c>
    </row>
    <row r="957" spans="1:8" x14ac:dyDescent="0.3">
      <c r="A957" s="7">
        <v>6347</v>
      </c>
      <c r="B957" t="str" cm="1">
        <f t="array" ref="B957">_xlfn.IFS(A957&lt;=8000,"low",A957&lt;15000,"medium",A957&gt;=15000,"high")</f>
        <v>low</v>
      </c>
      <c r="G957" s="2">
        <v>6</v>
      </c>
      <c r="H957" t="str" cm="1">
        <f t="array" ref="H957">_xlfn.IFS(G957&lt;=15,"Junior",G957&lt;=30,"Mid level",G957&gt;30,"Lead")</f>
        <v>Junior</v>
      </c>
    </row>
    <row r="958" spans="1:8" x14ac:dyDescent="0.3">
      <c r="A958" s="8">
        <v>6347</v>
      </c>
      <c r="B958" t="str" cm="1">
        <f t="array" ref="B958">_xlfn.IFS(A958&lt;=8000,"low",A958&lt;15000,"medium",A958&gt;=15000,"high")</f>
        <v>low</v>
      </c>
      <c r="G958" s="1">
        <v>18</v>
      </c>
      <c r="H958" t="str" cm="1">
        <f t="array" ref="H958">_xlfn.IFS(G958&lt;=15,"Junior",G958&lt;=30,"Mid level",G958&gt;30,"Lead")</f>
        <v>Mid level</v>
      </c>
    </row>
    <row r="959" spans="1:8" x14ac:dyDescent="0.3">
      <c r="A959" s="7">
        <v>6347</v>
      </c>
      <c r="B959" t="str" cm="1">
        <f t="array" ref="B959">_xlfn.IFS(A959&lt;=8000,"low",A959&lt;15000,"medium",A959&gt;=15000,"high")</f>
        <v>low</v>
      </c>
      <c r="G959" s="2">
        <v>5</v>
      </c>
      <c r="H959" t="str" cm="1">
        <f t="array" ref="H959">_xlfn.IFS(G959&lt;=15,"Junior",G959&lt;=30,"Mid level",G959&gt;30,"Lead")</f>
        <v>Junior</v>
      </c>
    </row>
    <row r="960" spans="1:8" x14ac:dyDescent="0.3">
      <c r="A960" s="8">
        <v>6349</v>
      </c>
      <c r="B960" t="str" cm="1">
        <f t="array" ref="B960">_xlfn.IFS(A960&lt;=8000,"low",A960&lt;15000,"medium",A960&gt;=15000,"high")</f>
        <v>low</v>
      </c>
      <c r="G960" s="1">
        <v>12</v>
      </c>
      <c r="H960" t="str" cm="1">
        <f t="array" ref="H960">_xlfn.IFS(G960&lt;=15,"Junior",G960&lt;=30,"Mid level",G960&gt;30,"Lead")</f>
        <v>Junior</v>
      </c>
    </row>
    <row r="961" spans="1:8" x14ac:dyDescent="0.3">
      <c r="A961" s="7">
        <v>6377</v>
      </c>
      <c r="B961" t="str" cm="1">
        <f t="array" ref="B961">_xlfn.IFS(A961&lt;=8000,"low",A961&lt;15000,"medium",A961&gt;=15000,"high")</f>
        <v>low</v>
      </c>
      <c r="G961" s="2">
        <v>6</v>
      </c>
      <c r="H961" t="str" cm="1">
        <f t="array" ref="H961">_xlfn.IFS(G961&lt;=15,"Junior",G961&lt;=30,"Mid level",G961&gt;30,"Lead")</f>
        <v>Junior</v>
      </c>
    </row>
    <row r="962" spans="1:8" x14ac:dyDescent="0.3">
      <c r="A962" s="8">
        <v>6380</v>
      </c>
      <c r="B962" t="str" cm="1">
        <f t="array" ref="B962">_xlfn.IFS(A962&lt;=8000,"low",A962&lt;15000,"medium",A962&gt;=15000,"high")</f>
        <v>low</v>
      </c>
      <c r="G962" s="1">
        <v>7</v>
      </c>
      <c r="H962" t="str" cm="1">
        <f t="array" ref="H962">_xlfn.IFS(G962&lt;=15,"Junior",G962&lt;=30,"Mid level",G962&gt;30,"Lead")</f>
        <v>Junior</v>
      </c>
    </row>
    <row r="963" spans="1:8" x14ac:dyDescent="0.3">
      <c r="A963" s="7">
        <v>6384</v>
      </c>
      <c r="B963" t="str" cm="1">
        <f t="array" ref="B963">_xlfn.IFS(A963&lt;=8000,"low",A963&lt;15000,"medium",A963&gt;=15000,"high")</f>
        <v>low</v>
      </c>
      <c r="G963" s="2">
        <v>8</v>
      </c>
      <c r="H963" t="str" cm="1">
        <f t="array" ref="H963">_xlfn.IFS(G963&lt;=15,"Junior",G963&lt;=30,"Mid level",G963&gt;30,"Lead")</f>
        <v>Junior</v>
      </c>
    </row>
    <row r="964" spans="1:8" x14ac:dyDescent="0.3">
      <c r="A964" s="8">
        <v>6385</v>
      </c>
      <c r="B964" t="str" cm="1">
        <f t="array" ref="B964">_xlfn.IFS(A964&lt;=8000,"low",A964&lt;15000,"medium",A964&gt;=15000,"high")</f>
        <v>low</v>
      </c>
      <c r="G964" s="1">
        <v>0</v>
      </c>
      <c r="H964" t="str" cm="1">
        <f t="array" ref="H964">_xlfn.IFS(G964&lt;=15,"Junior",G964&lt;=30,"Mid level",G964&gt;30,"Lead")</f>
        <v>Junior</v>
      </c>
    </row>
    <row r="965" spans="1:8" x14ac:dyDescent="0.3">
      <c r="A965" s="7">
        <v>6388</v>
      </c>
      <c r="B965" t="str" cm="1">
        <f t="array" ref="B965">_xlfn.IFS(A965&lt;=8000,"low",A965&lt;15000,"medium",A965&gt;=15000,"high")</f>
        <v>low</v>
      </c>
      <c r="G965" s="2">
        <v>8</v>
      </c>
      <c r="H965" t="str" cm="1">
        <f t="array" ref="H965">_xlfn.IFS(G965&lt;=15,"Junior",G965&lt;=30,"Mid level",G965&gt;30,"Lead")</f>
        <v>Junior</v>
      </c>
    </row>
    <row r="966" spans="1:8" x14ac:dyDescent="0.3">
      <c r="A966" s="8">
        <v>6389</v>
      </c>
      <c r="B966" t="str" cm="1">
        <f t="array" ref="B966">_xlfn.IFS(A966&lt;=8000,"low",A966&lt;15000,"medium",A966&gt;=15000,"high")</f>
        <v>low</v>
      </c>
      <c r="G966" s="1">
        <v>2</v>
      </c>
      <c r="H966" t="str" cm="1">
        <f t="array" ref="H966">_xlfn.IFS(G966&lt;=15,"Junior",G966&lt;=30,"Mid level",G966&gt;30,"Lead")</f>
        <v>Junior</v>
      </c>
    </row>
    <row r="967" spans="1:8" x14ac:dyDescent="0.3">
      <c r="A967" s="7">
        <v>6392</v>
      </c>
      <c r="B967" t="str" cm="1">
        <f t="array" ref="B967">_xlfn.IFS(A967&lt;=8000,"low",A967&lt;15000,"medium",A967&gt;=15000,"high")</f>
        <v>low</v>
      </c>
      <c r="G967" s="2">
        <v>6</v>
      </c>
      <c r="H967" t="str" cm="1">
        <f t="array" ref="H967">_xlfn.IFS(G967&lt;=15,"Junior",G967&lt;=30,"Mid level",G967&gt;30,"Lead")</f>
        <v>Junior</v>
      </c>
    </row>
    <row r="968" spans="1:8" x14ac:dyDescent="0.3">
      <c r="A968" s="8">
        <v>6397</v>
      </c>
      <c r="B968" t="str" cm="1">
        <f t="array" ref="B968">_xlfn.IFS(A968&lt;=8000,"low",A968&lt;15000,"medium",A968&gt;=15000,"high")</f>
        <v>low</v>
      </c>
      <c r="G968" s="1">
        <v>5</v>
      </c>
      <c r="H968" t="str" cm="1">
        <f t="array" ref="H968">_xlfn.IFS(G968&lt;=15,"Junior",G968&lt;=30,"Mid level",G968&gt;30,"Lead")</f>
        <v>Junior</v>
      </c>
    </row>
    <row r="969" spans="1:8" x14ac:dyDescent="0.3">
      <c r="A969" s="7">
        <v>6397</v>
      </c>
      <c r="B969" t="str" cm="1">
        <f t="array" ref="B969">_xlfn.IFS(A969&lt;=8000,"low",A969&lt;15000,"medium",A969&gt;=15000,"high")</f>
        <v>low</v>
      </c>
      <c r="G969" s="2">
        <v>2</v>
      </c>
      <c r="H969" t="str" cm="1">
        <f t="array" ref="H969">_xlfn.IFS(G969&lt;=15,"Junior",G969&lt;=30,"Mid level",G969&gt;30,"Lead")</f>
        <v>Junior</v>
      </c>
    </row>
    <row r="970" spans="1:8" x14ac:dyDescent="0.3">
      <c r="A970" s="8">
        <v>6410</v>
      </c>
      <c r="B970" t="str" cm="1">
        <f t="array" ref="B970">_xlfn.IFS(A970&lt;=8000,"low",A970&lt;15000,"medium",A970&gt;=15000,"high")</f>
        <v>low</v>
      </c>
      <c r="G970" s="1">
        <v>3</v>
      </c>
      <c r="H970" t="str" cm="1">
        <f t="array" ref="H970">_xlfn.IFS(G970&lt;=15,"Junior",G970&lt;=30,"Mid level",G970&gt;30,"Lead")</f>
        <v>Junior</v>
      </c>
    </row>
    <row r="971" spans="1:8" x14ac:dyDescent="0.3">
      <c r="A971" s="7">
        <v>6430</v>
      </c>
      <c r="B971" t="str" cm="1">
        <f t="array" ref="B971">_xlfn.IFS(A971&lt;=8000,"low",A971&lt;15000,"medium",A971&gt;=15000,"high")</f>
        <v>low</v>
      </c>
      <c r="G971" s="2">
        <v>3</v>
      </c>
      <c r="H971" t="str" cm="1">
        <f t="array" ref="H971">_xlfn.IFS(G971&lt;=15,"Junior",G971&lt;=30,"Mid level",G971&gt;30,"Lead")</f>
        <v>Junior</v>
      </c>
    </row>
    <row r="972" spans="1:8" x14ac:dyDescent="0.3">
      <c r="A972" s="8">
        <v>6434</v>
      </c>
      <c r="B972" t="str" cm="1">
        <f t="array" ref="B972">_xlfn.IFS(A972&lt;=8000,"low",A972&lt;15000,"medium",A972&gt;=15000,"high")</f>
        <v>low</v>
      </c>
      <c r="G972" s="1">
        <v>8</v>
      </c>
      <c r="H972" t="str" cm="1">
        <f t="array" ref="H972">_xlfn.IFS(G972&lt;=15,"Junior",G972&lt;=30,"Mid level",G972&gt;30,"Lead")</f>
        <v>Junior</v>
      </c>
    </row>
    <row r="973" spans="1:8" x14ac:dyDescent="0.3">
      <c r="A973" s="7">
        <v>6439</v>
      </c>
      <c r="B973" t="str" cm="1">
        <f t="array" ref="B973">_xlfn.IFS(A973&lt;=8000,"low",A973&lt;15000,"medium",A973&gt;=15000,"high")</f>
        <v>low</v>
      </c>
      <c r="G973" s="2">
        <v>6</v>
      </c>
      <c r="H973" t="str" cm="1">
        <f t="array" ref="H973">_xlfn.IFS(G973&lt;=15,"Junior",G973&lt;=30,"Mid level",G973&gt;30,"Lead")</f>
        <v>Junior</v>
      </c>
    </row>
    <row r="974" spans="1:8" x14ac:dyDescent="0.3">
      <c r="A974" s="8">
        <v>6447</v>
      </c>
      <c r="B974" t="str" cm="1">
        <f t="array" ref="B974">_xlfn.IFS(A974&lt;=8000,"low",A974&lt;15000,"medium",A974&gt;=15000,"high")</f>
        <v>low</v>
      </c>
      <c r="G974" s="1">
        <v>4</v>
      </c>
      <c r="H974" t="str" cm="1">
        <f t="array" ref="H974">_xlfn.IFS(G974&lt;=15,"Junior",G974&lt;=30,"Mid level",G974&gt;30,"Lead")</f>
        <v>Junior</v>
      </c>
    </row>
    <row r="975" spans="1:8" x14ac:dyDescent="0.3">
      <c r="A975" s="7">
        <v>6465</v>
      </c>
      <c r="B975" t="str" cm="1">
        <f t="array" ref="B975">_xlfn.IFS(A975&lt;=8000,"low",A975&lt;15000,"medium",A975&gt;=15000,"high")</f>
        <v>low</v>
      </c>
      <c r="G975" s="2">
        <v>9</v>
      </c>
      <c r="H975" t="str" cm="1">
        <f t="array" ref="H975">_xlfn.IFS(G975&lt;=15,"Junior",G975&lt;=30,"Mid level",G975&gt;30,"Lead")</f>
        <v>Junior</v>
      </c>
    </row>
    <row r="976" spans="1:8" x14ac:dyDescent="0.3">
      <c r="A976" s="8">
        <v>6472</v>
      </c>
      <c r="B976" t="str" cm="1">
        <f t="array" ref="B976">_xlfn.IFS(A976&lt;=8000,"low",A976&lt;15000,"medium",A976&gt;=15000,"high")</f>
        <v>low</v>
      </c>
      <c r="G976" s="1">
        <v>14</v>
      </c>
      <c r="H976" t="str" cm="1">
        <f t="array" ref="H976">_xlfn.IFS(G976&lt;=15,"Junior",G976&lt;=30,"Mid level",G976&gt;30,"Lead")</f>
        <v>Junior</v>
      </c>
    </row>
    <row r="977" spans="1:8" x14ac:dyDescent="0.3">
      <c r="A977" s="7">
        <v>6474</v>
      </c>
      <c r="B977" t="str" cm="1">
        <f t="array" ref="B977">_xlfn.IFS(A977&lt;=8000,"low",A977&lt;15000,"medium",A977&gt;=15000,"high")</f>
        <v>low</v>
      </c>
      <c r="G977" s="2">
        <v>6</v>
      </c>
      <c r="H977" t="str" cm="1">
        <f t="array" ref="H977">_xlfn.IFS(G977&lt;=15,"Junior",G977&lt;=30,"Mid level",G977&gt;30,"Lead")</f>
        <v>Junior</v>
      </c>
    </row>
    <row r="978" spans="1:8" x14ac:dyDescent="0.3">
      <c r="A978" s="8">
        <v>6499</v>
      </c>
      <c r="B978" t="str" cm="1">
        <f t="array" ref="B978">_xlfn.IFS(A978&lt;=8000,"low",A978&lt;15000,"medium",A978&gt;=15000,"high")</f>
        <v>low</v>
      </c>
      <c r="G978" s="1">
        <v>3</v>
      </c>
      <c r="H978" t="str" cm="1">
        <f t="array" ref="H978">_xlfn.IFS(G978&lt;=15,"Junior",G978&lt;=30,"Mid level",G978&gt;30,"Lead")</f>
        <v>Junior</v>
      </c>
    </row>
    <row r="979" spans="1:8" x14ac:dyDescent="0.3">
      <c r="A979" s="7">
        <v>6500</v>
      </c>
      <c r="B979" t="str" cm="1">
        <f t="array" ref="B979">_xlfn.IFS(A979&lt;=8000,"low",A979&lt;15000,"medium",A979&gt;=15000,"high")</f>
        <v>low</v>
      </c>
      <c r="G979" s="2">
        <v>8</v>
      </c>
      <c r="H979" t="str" cm="1">
        <f t="array" ref="H979">_xlfn.IFS(G979&lt;=15,"Junior",G979&lt;=30,"Mid level",G979&gt;30,"Lead")</f>
        <v>Junior</v>
      </c>
    </row>
    <row r="980" spans="1:8" x14ac:dyDescent="0.3">
      <c r="A980" s="8">
        <v>6500</v>
      </c>
      <c r="B980" t="str" cm="1">
        <f t="array" ref="B980">_xlfn.IFS(A980&lt;=8000,"low",A980&lt;15000,"medium",A980&gt;=15000,"high")</f>
        <v>low</v>
      </c>
      <c r="G980" s="1">
        <v>5</v>
      </c>
      <c r="H980" t="str" cm="1">
        <f t="array" ref="H980">_xlfn.IFS(G980&lt;=15,"Junior",G980&lt;=30,"Mid level",G980&gt;30,"Lead")</f>
        <v>Junior</v>
      </c>
    </row>
    <row r="981" spans="1:8" x14ac:dyDescent="0.3">
      <c r="A981" s="7">
        <v>6502</v>
      </c>
      <c r="B981" t="str" cm="1">
        <f t="array" ref="B981">_xlfn.IFS(A981&lt;=8000,"low",A981&lt;15000,"medium",A981&gt;=15000,"high")</f>
        <v>low</v>
      </c>
      <c r="G981" s="2">
        <v>5</v>
      </c>
      <c r="H981" t="str" cm="1">
        <f t="array" ref="H981">_xlfn.IFS(G981&lt;=15,"Junior",G981&lt;=30,"Mid level",G981&gt;30,"Lead")</f>
        <v>Junior</v>
      </c>
    </row>
    <row r="982" spans="1:8" x14ac:dyDescent="0.3">
      <c r="A982" s="8">
        <v>6513</v>
      </c>
      <c r="B982" t="str" cm="1">
        <f t="array" ref="B982">_xlfn.IFS(A982&lt;=8000,"low",A982&lt;15000,"medium",A982&gt;=15000,"high")</f>
        <v>low</v>
      </c>
      <c r="G982" s="1">
        <v>1</v>
      </c>
      <c r="H982" t="str" cm="1">
        <f t="array" ref="H982">_xlfn.IFS(G982&lt;=15,"Junior",G982&lt;=30,"Mid level",G982&gt;30,"Lead")</f>
        <v>Junior</v>
      </c>
    </row>
    <row r="983" spans="1:8" x14ac:dyDescent="0.3">
      <c r="A983" s="7">
        <v>6516</v>
      </c>
      <c r="B983" t="str" cm="1">
        <f t="array" ref="B983">_xlfn.IFS(A983&lt;=8000,"low",A983&lt;15000,"medium",A983&gt;=15000,"high")</f>
        <v>low</v>
      </c>
      <c r="G983" s="2">
        <v>10</v>
      </c>
      <c r="H983" t="str" cm="1">
        <f t="array" ref="H983">_xlfn.IFS(G983&lt;=15,"Junior",G983&lt;=30,"Mid level",G983&gt;30,"Lead")</f>
        <v>Junior</v>
      </c>
    </row>
    <row r="984" spans="1:8" x14ac:dyDescent="0.3">
      <c r="A984" s="8">
        <v>6524</v>
      </c>
      <c r="B984" t="str" cm="1">
        <f t="array" ref="B984">_xlfn.IFS(A984&lt;=8000,"low",A984&lt;15000,"medium",A984&gt;=15000,"high")</f>
        <v>low</v>
      </c>
      <c r="G984" s="1">
        <v>3</v>
      </c>
      <c r="H984" t="str" cm="1">
        <f t="array" ref="H984">_xlfn.IFS(G984&lt;=15,"Junior",G984&lt;=30,"Mid level",G984&gt;30,"Lead")</f>
        <v>Junior</v>
      </c>
    </row>
    <row r="985" spans="1:8" x14ac:dyDescent="0.3">
      <c r="A985" s="7">
        <v>6538</v>
      </c>
      <c r="B985" t="str" cm="1">
        <f t="array" ref="B985">_xlfn.IFS(A985&lt;=8000,"low",A985&lt;15000,"medium",A985&gt;=15000,"high")</f>
        <v>low</v>
      </c>
      <c r="G985" s="2">
        <v>1</v>
      </c>
      <c r="H985" t="str" cm="1">
        <f t="array" ref="H985">_xlfn.IFS(G985&lt;=15,"Junior",G985&lt;=30,"Mid level",G985&gt;30,"Lead")</f>
        <v>Junior</v>
      </c>
    </row>
    <row r="986" spans="1:8" x14ac:dyDescent="0.3">
      <c r="A986" s="8">
        <v>6540</v>
      </c>
      <c r="B986" t="str" cm="1">
        <f t="array" ref="B986">_xlfn.IFS(A986&lt;=8000,"low",A986&lt;15000,"medium",A986&gt;=15000,"high")</f>
        <v>low</v>
      </c>
      <c r="G986" s="1">
        <v>3</v>
      </c>
      <c r="H986" t="str" cm="1">
        <f t="array" ref="H986">_xlfn.IFS(G986&lt;=15,"Junior",G986&lt;=30,"Mid level",G986&gt;30,"Lead")</f>
        <v>Junior</v>
      </c>
    </row>
    <row r="987" spans="1:8" x14ac:dyDescent="0.3">
      <c r="A987" s="7">
        <v>6545</v>
      </c>
      <c r="B987" t="str" cm="1">
        <f t="array" ref="B987">_xlfn.IFS(A987&lt;=8000,"low",A987&lt;15000,"medium",A987&gt;=15000,"high")</f>
        <v>low</v>
      </c>
      <c r="G987" s="2">
        <v>8</v>
      </c>
      <c r="H987" t="str" cm="1">
        <f t="array" ref="H987">_xlfn.IFS(G987&lt;=15,"Junior",G987&lt;=30,"Mid level",G987&gt;30,"Lead")</f>
        <v>Junior</v>
      </c>
    </row>
    <row r="988" spans="1:8" x14ac:dyDescent="0.3">
      <c r="A988" s="8">
        <v>6549</v>
      </c>
      <c r="B988" t="str" cm="1">
        <f t="array" ref="B988">_xlfn.IFS(A988&lt;=8000,"low",A988&lt;15000,"medium",A988&gt;=15000,"high")</f>
        <v>low</v>
      </c>
      <c r="G988" s="1">
        <v>1</v>
      </c>
      <c r="H988" t="str" cm="1">
        <f t="array" ref="H988">_xlfn.IFS(G988&lt;=15,"Junior",G988&lt;=30,"Mid level",G988&gt;30,"Lead")</f>
        <v>Junior</v>
      </c>
    </row>
    <row r="989" spans="1:8" x14ac:dyDescent="0.3">
      <c r="A989" s="7">
        <v>6553</v>
      </c>
      <c r="B989" t="str" cm="1">
        <f t="array" ref="B989">_xlfn.IFS(A989&lt;=8000,"low",A989&lt;15000,"medium",A989&gt;=15000,"high")</f>
        <v>low</v>
      </c>
      <c r="G989" s="2">
        <v>15</v>
      </c>
      <c r="H989" t="str" cm="1">
        <f t="array" ref="H989">_xlfn.IFS(G989&lt;=15,"Junior",G989&lt;=30,"Mid level",G989&gt;30,"Lead")</f>
        <v>Junior</v>
      </c>
    </row>
    <row r="990" spans="1:8" x14ac:dyDescent="0.3">
      <c r="A990" s="8">
        <v>6567</v>
      </c>
      <c r="B990" t="str" cm="1">
        <f t="array" ref="B990">_xlfn.IFS(A990&lt;=8000,"low",A990&lt;15000,"medium",A990&gt;=15000,"high")</f>
        <v>low</v>
      </c>
      <c r="G990" s="1">
        <v>5</v>
      </c>
      <c r="H990" t="str" cm="1">
        <f t="array" ref="H990">_xlfn.IFS(G990&lt;=15,"Junior",G990&lt;=30,"Mid level",G990&gt;30,"Lead")</f>
        <v>Junior</v>
      </c>
    </row>
    <row r="991" spans="1:8" x14ac:dyDescent="0.3">
      <c r="A991" s="7">
        <v>6577</v>
      </c>
      <c r="B991" t="str" cm="1">
        <f t="array" ref="B991">_xlfn.IFS(A991&lt;=8000,"low",A991&lt;15000,"medium",A991&gt;=15000,"high")</f>
        <v>low</v>
      </c>
      <c r="G991" s="2">
        <v>10</v>
      </c>
      <c r="H991" t="str" cm="1">
        <f t="array" ref="H991">_xlfn.IFS(G991&lt;=15,"Junior",G991&lt;=30,"Mid level",G991&gt;30,"Lead")</f>
        <v>Junior</v>
      </c>
    </row>
    <row r="992" spans="1:8" x14ac:dyDescent="0.3">
      <c r="A992" s="8">
        <v>6578</v>
      </c>
      <c r="B992" t="str" cm="1">
        <f t="array" ref="B992">_xlfn.IFS(A992&lt;=8000,"low",A992&lt;15000,"medium",A992&gt;=15000,"high")</f>
        <v>low</v>
      </c>
      <c r="G992" s="1">
        <v>6</v>
      </c>
      <c r="H992" t="str" cm="1">
        <f t="array" ref="H992">_xlfn.IFS(G992&lt;=15,"Junior",G992&lt;=30,"Mid level",G992&gt;30,"Lead")</f>
        <v>Junior</v>
      </c>
    </row>
    <row r="993" spans="1:8" x14ac:dyDescent="0.3">
      <c r="A993" s="7">
        <v>6582</v>
      </c>
      <c r="B993" t="str" cm="1">
        <f t="array" ref="B993">_xlfn.IFS(A993&lt;=8000,"low",A993&lt;15000,"medium",A993&gt;=15000,"high")</f>
        <v>low</v>
      </c>
      <c r="G993" s="2">
        <v>5</v>
      </c>
      <c r="H993" t="str" cm="1">
        <f t="array" ref="H993">_xlfn.IFS(G993&lt;=15,"Junior",G993&lt;=30,"Mid level",G993&gt;30,"Lead")</f>
        <v>Junior</v>
      </c>
    </row>
    <row r="994" spans="1:8" x14ac:dyDescent="0.3">
      <c r="A994" s="8">
        <v>6583</v>
      </c>
      <c r="B994" t="str" cm="1">
        <f t="array" ref="B994">_xlfn.IFS(A994&lt;=8000,"low",A994&lt;15000,"medium",A994&gt;=15000,"high")</f>
        <v>low</v>
      </c>
      <c r="G994" s="1">
        <v>16</v>
      </c>
      <c r="H994" t="str" cm="1">
        <f t="array" ref="H994">_xlfn.IFS(G994&lt;=15,"Junior",G994&lt;=30,"Mid level",G994&gt;30,"Lead")</f>
        <v>Mid level</v>
      </c>
    </row>
    <row r="995" spans="1:8" x14ac:dyDescent="0.3">
      <c r="A995" s="7">
        <v>6586</v>
      </c>
      <c r="B995" t="str" cm="1">
        <f t="array" ref="B995">_xlfn.IFS(A995&lt;=8000,"low",A995&lt;15000,"medium",A995&gt;=15000,"high")</f>
        <v>low</v>
      </c>
      <c r="G995" s="2">
        <v>6</v>
      </c>
      <c r="H995" t="str" cm="1">
        <f t="array" ref="H995">_xlfn.IFS(G995&lt;=15,"Junior",G995&lt;=30,"Mid level",G995&gt;30,"Lead")</f>
        <v>Junior</v>
      </c>
    </row>
    <row r="996" spans="1:8" x14ac:dyDescent="0.3">
      <c r="A996" s="8">
        <v>6623</v>
      </c>
      <c r="B996" t="str" cm="1">
        <f t="array" ref="B996">_xlfn.IFS(A996&lt;=8000,"low",A996&lt;15000,"medium",A996&gt;=15000,"high")</f>
        <v>low</v>
      </c>
      <c r="G996" s="1">
        <v>8</v>
      </c>
      <c r="H996" t="str" cm="1">
        <f t="array" ref="H996">_xlfn.IFS(G996&lt;=15,"Junior",G996&lt;=30,"Mid level",G996&gt;30,"Lead")</f>
        <v>Junior</v>
      </c>
    </row>
    <row r="997" spans="1:8" x14ac:dyDescent="0.3">
      <c r="A997" s="7">
        <v>6632</v>
      </c>
      <c r="B997" t="str" cm="1">
        <f t="array" ref="B997">_xlfn.IFS(A997&lt;=8000,"low",A997&lt;15000,"medium",A997&gt;=15000,"high")</f>
        <v>low</v>
      </c>
      <c r="G997" s="2">
        <v>0</v>
      </c>
      <c r="H997" t="str" cm="1">
        <f t="array" ref="H997">_xlfn.IFS(G997&lt;=15,"Junior",G997&lt;=30,"Mid level",G997&gt;30,"Lead")</f>
        <v>Junior</v>
      </c>
    </row>
    <row r="998" spans="1:8" x14ac:dyDescent="0.3">
      <c r="A998" s="8">
        <v>6644</v>
      </c>
      <c r="B998" t="str" cm="1">
        <f t="array" ref="B998">_xlfn.IFS(A998&lt;=8000,"low",A998&lt;15000,"medium",A998&gt;=15000,"high")</f>
        <v>low</v>
      </c>
      <c r="G998" s="1">
        <v>17</v>
      </c>
      <c r="H998" t="str" cm="1">
        <f t="array" ref="H998">_xlfn.IFS(G998&lt;=15,"Junior",G998&lt;=30,"Mid level",G998&gt;30,"Lead")</f>
        <v>Mid level</v>
      </c>
    </row>
    <row r="999" spans="1:8" x14ac:dyDescent="0.3">
      <c r="A999" s="7">
        <v>6646</v>
      </c>
      <c r="B999" t="str" cm="1">
        <f t="array" ref="B999">_xlfn.IFS(A999&lt;=8000,"low",A999&lt;15000,"medium",A999&gt;=15000,"high")</f>
        <v>low</v>
      </c>
      <c r="G999" s="2">
        <v>3</v>
      </c>
      <c r="H999" t="str" cm="1">
        <f t="array" ref="H999">_xlfn.IFS(G999&lt;=15,"Junior",G999&lt;=30,"Mid level",G999&gt;30,"Lead")</f>
        <v>Junior</v>
      </c>
    </row>
    <row r="1000" spans="1:8" x14ac:dyDescent="0.3">
      <c r="A1000" s="8">
        <v>6651</v>
      </c>
      <c r="B1000" t="str" cm="1">
        <f t="array" ref="B1000">_xlfn.IFS(A1000&lt;=8000,"low",A1000&lt;15000,"medium",A1000&gt;=15000,"high")</f>
        <v>low</v>
      </c>
      <c r="G1000" s="1">
        <v>6</v>
      </c>
      <c r="H1000" t="str" cm="1">
        <f t="array" ref="H1000">_xlfn.IFS(G1000&lt;=15,"Junior",G1000&lt;=30,"Mid level",G1000&gt;30,"Lead")</f>
        <v>Junior</v>
      </c>
    </row>
    <row r="1001" spans="1:8" x14ac:dyDescent="0.3">
      <c r="A1001" s="7">
        <v>6652</v>
      </c>
      <c r="B1001" t="str" cm="1">
        <f t="array" ref="B1001">_xlfn.IFS(A1001&lt;=8000,"low",A1001&lt;15000,"medium",A1001&gt;=15000,"high")</f>
        <v>low</v>
      </c>
      <c r="G1001" s="2">
        <v>1</v>
      </c>
      <c r="H1001" t="str" cm="1">
        <f t="array" ref="H1001">_xlfn.IFS(G1001&lt;=15,"Junior",G1001&lt;=30,"Mid level",G1001&gt;30,"Lead")</f>
        <v>Junior</v>
      </c>
    </row>
    <row r="1002" spans="1:8" x14ac:dyDescent="0.3">
      <c r="A1002" s="8">
        <v>6653</v>
      </c>
      <c r="B1002" t="str" cm="1">
        <f t="array" ref="B1002">_xlfn.IFS(A1002&lt;=8000,"low",A1002&lt;15000,"medium",A1002&gt;=15000,"high")</f>
        <v>low</v>
      </c>
      <c r="G1002" s="1">
        <v>5</v>
      </c>
      <c r="H1002" t="str" cm="1">
        <f t="array" ref="H1002">_xlfn.IFS(G1002&lt;=15,"Junior",G1002&lt;=30,"Mid level",G1002&gt;30,"Lead")</f>
        <v>Junior</v>
      </c>
    </row>
    <row r="1003" spans="1:8" x14ac:dyDescent="0.3">
      <c r="A1003" s="7">
        <v>6667</v>
      </c>
      <c r="B1003" t="str" cm="1">
        <f t="array" ref="B1003">_xlfn.IFS(A1003&lt;=8000,"low",A1003&lt;15000,"medium",A1003&gt;=15000,"high")</f>
        <v>low</v>
      </c>
      <c r="G1003" s="2">
        <v>1</v>
      </c>
      <c r="H1003" t="str" cm="1">
        <f t="array" ref="H1003">_xlfn.IFS(G1003&lt;=15,"Junior",G1003&lt;=30,"Mid level",G1003&gt;30,"Lead")</f>
        <v>Junior</v>
      </c>
    </row>
    <row r="1004" spans="1:8" x14ac:dyDescent="0.3">
      <c r="A1004" s="8">
        <v>6673</v>
      </c>
      <c r="B1004" t="str" cm="1">
        <f t="array" ref="B1004">_xlfn.IFS(A1004&lt;=8000,"low",A1004&lt;15000,"medium",A1004&gt;=15000,"high")</f>
        <v>low</v>
      </c>
      <c r="G1004" s="1">
        <v>9</v>
      </c>
      <c r="H1004" t="str" cm="1">
        <f t="array" ref="H1004">_xlfn.IFS(G1004&lt;=15,"Junior",G1004&lt;=30,"Mid level",G1004&gt;30,"Lead")</f>
        <v>Junior</v>
      </c>
    </row>
    <row r="1005" spans="1:8" x14ac:dyDescent="0.3">
      <c r="A1005" s="7">
        <v>6674</v>
      </c>
      <c r="B1005" t="str" cm="1">
        <f t="array" ref="B1005">_xlfn.IFS(A1005&lt;=8000,"low",A1005&lt;15000,"medium",A1005&gt;=15000,"high")</f>
        <v>low</v>
      </c>
      <c r="G1005" s="2">
        <v>14</v>
      </c>
      <c r="H1005" t="str" cm="1">
        <f t="array" ref="H1005">_xlfn.IFS(G1005&lt;=15,"Junior",G1005&lt;=30,"Mid level",G1005&gt;30,"Lead")</f>
        <v>Junior</v>
      </c>
    </row>
    <row r="1006" spans="1:8" x14ac:dyDescent="0.3">
      <c r="A1006" s="8">
        <v>6687</v>
      </c>
      <c r="B1006" t="str" cm="1">
        <f t="array" ref="B1006">_xlfn.IFS(A1006&lt;=8000,"low",A1006&lt;15000,"medium",A1006&gt;=15000,"high")</f>
        <v>low</v>
      </c>
      <c r="G1006" s="1">
        <v>1</v>
      </c>
      <c r="H1006" t="str" cm="1">
        <f t="array" ref="H1006">_xlfn.IFS(G1006&lt;=15,"Junior",G1006&lt;=30,"Mid level",G1006&gt;30,"Lead")</f>
        <v>Junior</v>
      </c>
    </row>
    <row r="1007" spans="1:8" x14ac:dyDescent="0.3">
      <c r="A1007" s="7">
        <v>6694</v>
      </c>
      <c r="B1007" t="str" cm="1">
        <f t="array" ref="B1007">_xlfn.IFS(A1007&lt;=8000,"low",A1007&lt;15000,"medium",A1007&gt;=15000,"high")</f>
        <v>low</v>
      </c>
      <c r="G1007" s="2">
        <v>6</v>
      </c>
      <c r="H1007" t="str" cm="1">
        <f t="array" ref="H1007">_xlfn.IFS(G1007&lt;=15,"Junior",G1007&lt;=30,"Mid level",G1007&gt;30,"Lead")</f>
        <v>Junior</v>
      </c>
    </row>
    <row r="1008" spans="1:8" x14ac:dyDescent="0.3">
      <c r="A1008" s="8">
        <v>6696</v>
      </c>
      <c r="B1008" t="str" cm="1">
        <f t="array" ref="B1008">_xlfn.IFS(A1008&lt;=8000,"low",A1008&lt;15000,"medium",A1008&gt;=15000,"high")</f>
        <v>low</v>
      </c>
      <c r="G1008" s="1">
        <v>8</v>
      </c>
      <c r="H1008" t="str" cm="1">
        <f t="array" ref="H1008">_xlfn.IFS(G1008&lt;=15,"Junior",G1008&lt;=30,"Mid level",G1008&gt;30,"Lead")</f>
        <v>Junior</v>
      </c>
    </row>
    <row r="1009" spans="1:8" x14ac:dyDescent="0.3">
      <c r="A1009" s="7">
        <v>6712</v>
      </c>
      <c r="B1009" t="str" cm="1">
        <f t="array" ref="B1009">_xlfn.IFS(A1009&lt;=8000,"low",A1009&lt;15000,"medium",A1009&gt;=15000,"high")</f>
        <v>low</v>
      </c>
      <c r="G1009" s="2">
        <v>8</v>
      </c>
      <c r="H1009" t="str" cm="1">
        <f t="array" ref="H1009">_xlfn.IFS(G1009&lt;=15,"Junior",G1009&lt;=30,"Mid level",G1009&gt;30,"Lead")</f>
        <v>Junior</v>
      </c>
    </row>
    <row r="1010" spans="1:8" x14ac:dyDescent="0.3">
      <c r="A1010" s="8">
        <v>6725</v>
      </c>
      <c r="B1010" t="str" cm="1">
        <f t="array" ref="B1010">_xlfn.IFS(A1010&lt;=8000,"low",A1010&lt;15000,"medium",A1010&gt;=15000,"high")</f>
        <v>low</v>
      </c>
      <c r="G1010" s="1">
        <v>6</v>
      </c>
      <c r="H1010" t="str" cm="1">
        <f t="array" ref="H1010">_xlfn.IFS(G1010&lt;=15,"Junior",G1010&lt;=30,"Mid level",G1010&gt;30,"Lead")</f>
        <v>Junior</v>
      </c>
    </row>
    <row r="1011" spans="1:8" x14ac:dyDescent="0.3">
      <c r="A1011" s="7">
        <v>6728</v>
      </c>
      <c r="B1011" t="str" cm="1">
        <f t="array" ref="B1011">_xlfn.IFS(A1011&lt;=8000,"low",A1011&lt;15000,"medium",A1011&gt;=15000,"high")</f>
        <v>low</v>
      </c>
      <c r="G1011" s="2">
        <v>0</v>
      </c>
      <c r="H1011" t="str" cm="1">
        <f t="array" ref="H1011">_xlfn.IFS(G1011&lt;=15,"Junior",G1011&lt;=30,"Mid level",G1011&gt;30,"Lead")</f>
        <v>Junior</v>
      </c>
    </row>
    <row r="1012" spans="1:8" x14ac:dyDescent="0.3">
      <c r="A1012" s="8">
        <v>6735</v>
      </c>
      <c r="B1012" t="str" cm="1">
        <f t="array" ref="B1012">_xlfn.IFS(A1012&lt;=8000,"low",A1012&lt;15000,"medium",A1012&gt;=15000,"high")</f>
        <v>low</v>
      </c>
      <c r="G1012" s="1">
        <v>3</v>
      </c>
      <c r="H1012" t="str" cm="1">
        <f t="array" ref="H1012">_xlfn.IFS(G1012&lt;=15,"Junior",G1012&lt;=30,"Mid level",G1012&gt;30,"Lead")</f>
        <v>Junior</v>
      </c>
    </row>
    <row r="1013" spans="1:8" x14ac:dyDescent="0.3">
      <c r="A1013" s="7">
        <v>6755</v>
      </c>
      <c r="B1013" t="str" cm="1">
        <f t="array" ref="B1013">_xlfn.IFS(A1013&lt;=8000,"low",A1013&lt;15000,"medium",A1013&gt;=15000,"high")</f>
        <v>low</v>
      </c>
      <c r="G1013" s="2">
        <v>1</v>
      </c>
      <c r="H1013" t="str" cm="1">
        <f t="array" ref="H1013">_xlfn.IFS(G1013&lt;=15,"Junior",G1013&lt;=30,"Mid level",G1013&gt;30,"Lead")</f>
        <v>Junior</v>
      </c>
    </row>
    <row r="1014" spans="1:8" x14ac:dyDescent="0.3">
      <c r="A1014" s="8">
        <v>6781</v>
      </c>
      <c r="B1014" t="str" cm="1">
        <f t="array" ref="B1014">_xlfn.IFS(A1014&lt;=8000,"low",A1014&lt;15000,"medium",A1014&gt;=15000,"high")</f>
        <v>low</v>
      </c>
      <c r="G1014" s="1">
        <v>5</v>
      </c>
      <c r="H1014" t="str" cm="1">
        <f t="array" ref="H1014">_xlfn.IFS(G1014&lt;=15,"Junior",G1014&lt;=30,"Mid level",G1014&gt;30,"Lead")</f>
        <v>Junior</v>
      </c>
    </row>
    <row r="1015" spans="1:8" x14ac:dyDescent="0.3">
      <c r="A1015" s="7">
        <v>6782</v>
      </c>
      <c r="B1015" t="str" cm="1">
        <f t="array" ref="B1015">_xlfn.IFS(A1015&lt;=8000,"low",A1015&lt;15000,"medium",A1015&gt;=15000,"high")</f>
        <v>low</v>
      </c>
      <c r="G1015" s="2">
        <v>4</v>
      </c>
      <c r="H1015" t="str" cm="1">
        <f t="array" ref="H1015">_xlfn.IFS(G1015&lt;=15,"Junior",G1015&lt;=30,"Mid level",G1015&gt;30,"Lead")</f>
        <v>Junior</v>
      </c>
    </row>
    <row r="1016" spans="1:8" x14ac:dyDescent="0.3">
      <c r="A1016" s="8">
        <v>6796</v>
      </c>
      <c r="B1016" t="str" cm="1">
        <f t="array" ref="B1016">_xlfn.IFS(A1016&lt;=8000,"low",A1016&lt;15000,"medium",A1016&gt;=15000,"high")</f>
        <v>low</v>
      </c>
      <c r="G1016" s="1">
        <v>10</v>
      </c>
      <c r="H1016" t="str" cm="1">
        <f t="array" ref="H1016">_xlfn.IFS(G1016&lt;=15,"Junior",G1016&lt;=30,"Mid level",G1016&gt;30,"Lead")</f>
        <v>Junior</v>
      </c>
    </row>
    <row r="1017" spans="1:8" x14ac:dyDescent="0.3">
      <c r="A1017" s="7">
        <v>6799</v>
      </c>
      <c r="B1017" t="str" cm="1">
        <f t="array" ref="B1017">_xlfn.IFS(A1017&lt;=8000,"low",A1017&lt;15000,"medium",A1017&gt;=15000,"high")</f>
        <v>low</v>
      </c>
      <c r="G1017" s="2">
        <v>7</v>
      </c>
      <c r="H1017" t="str" cm="1">
        <f t="array" ref="H1017">_xlfn.IFS(G1017&lt;=15,"Junior",G1017&lt;=30,"Mid level",G1017&gt;30,"Lead")</f>
        <v>Junior</v>
      </c>
    </row>
    <row r="1018" spans="1:8" x14ac:dyDescent="0.3">
      <c r="A1018" s="8">
        <v>6804</v>
      </c>
      <c r="B1018" t="str" cm="1">
        <f t="array" ref="B1018">_xlfn.IFS(A1018&lt;=8000,"low",A1018&lt;15000,"medium",A1018&gt;=15000,"high")</f>
        <v>low</v>
      </c>
      <c r="G1018" s="1">
        <v>2</v>
      </c>
      <c r="H1018" t="str" cm="1">
        <f t="array" ref="H1018">_xlfn.IFS(G1018&lt;=15,"Junior",G1018&lt;=30,"Mid level",G1018&gt;30,"Lead")</f>
        <v>Junior</v>
      </c>
    </row>
    <row r="1019" spans="1:8" x14ac:dyDescent="0.3">
      <c r="A1019" s="7">
        <v>6804</v>
      </c>
      <c r="B1019" t="str" cm="1">
        <f t="array" ref="B1019">_xlfn.IFS(A1019&lt;=8000,"low",A1019&lt;15000,"medium",A1019&gt;=15000,"high")</f>
        <v>low</v>
      </c>
      <c r="G1019" s="2">
        <v>8</v>
      </c>
      <c r="H1019" t="str" cm="1">
        <f t="array" ref="H1019">_xlfn.IFS(G1019&lt;=15,"Junior",G1019&lt;=30,"Mid level",G1019&gt;30,"Lead")</f>
        <v>Junior</v>
      </c>
    </row>
    <row r="1020" spans="1:8" x14ac:dyDescent="0.3">
      <c r="A1020" s="8">
        <v>6811</v>
      </c>
      <c r="B1020" t="str" cm="1">
        <f t="array" ref="B1020">_xlfn.IFS(A1020&lt;=8000,"low",A1020&lt;15000,"medium",A1020&gt;=15000,"high")</f>
        <v>low</v>
      </c>
      <c r="G1020" s="1">
        <v>7</v>
      </c>
      <c r="H1020" t="str" cm="1">
        <f t="array" ref="H1020">_xlfn.IFS(G1020&lt;=15,"Junior",G1020&lt;=30,"Mid level",G1020&gt;30,"Lead")</f>
        <v>Junior</v>
      </c>
    </row>
    <row r="1021" spans="1:8" x14ac:dyDescent="0.3">
      <c r="A1021" s="7">
        <v>6811</v>
      </c>
      <c r="B1021" t="str" cm="1">
        <f t="array" ref="B1021">_xlfn.IFS(A1021&lt;=8000,"low",A1021&lt;15000,"medium",A1021&gt;=15000,"high")</f>
        <v>low</v>
      </c>
      <c r="G1021" s="2">
        <v>10</v>
      </c>
      <c r="H1021" t="str" cm="1">
        <f t="array" ref="H1021">_xlfn.IFS(G1021&lt;=15,"Junior",G1021&lt;=30,"Mid level",G1021&gt;30,"Lead")</f>
        <v>Junior</v>
      </c>
    </row>
    <row r="1022" spans="1:8" x14ac:dyDescent="0.3">
      <c r="A1022" s="8">
        <v>6812</v>
      </c>
      <c r="B1022" t="str" cm="1">
        <f t="array" ref="B1022">_xlfn.IFS(A1022&lt;=8000,"low",A1022&lt;15000,"medium",A1022&gt;=15000,"high")</f>
        <v>low</v>
      </c>
      <c r="G1022" s="1">
        <v>1</v>
      </c>
      <c r="H1022" t="str" cm="1">
        <f t="array" ref="H1022">_xlfn.IFS(G1022&lt;=15,"Junior",G1022&lt;=30,"Mid level",G1022&gt;30,"Lead")</f>
        <v>Junior</v>
      </c>
    </row>
    <row r="1023" spans="1:8" x14ac:dyDescent="0.3">
      <c r="A1023" s="7">
        <v>6815</v>
      </c>
      <c r="B1023" t="str" cm="1">
        <f t="array" ref="B1023">_xlfn.IFS(A1023&lt;=8000,"low",A1023&lt;15000,"medium",A1023&gt;=15000,"high")</f>
        <v>low</v>
      </c>
      <c r="G1023" s="2">
        <v>9</v>
      </c>
      <c r="H1023" t="str" cm="1">
        <f t="array" ref="H1023">_xlfn.IFS(G1023&lt;=15,"Junior",G1023&lt;=30,"Mid level",G1023&gt;30,"Lead")</f>
        <v>Junior</v>
      </c>
    </row>
    <row r="1024" spans="1:8" x14ac:dyDescent="0.3">
      <c r="A1024" s="8">
        <v>6825</v>
      </c>
      <c r="B1024" t="str" cm="1">
        <f t="array" ref="B1024">_xlfn.IFS(A1024&lt;=8000,"low",A1024&lt;15000,"medium",A1024&gt;=15000,"high")</f>
        <v>low</v>
      </c>
      <c r="G1024" s="1">
        <v>6</v>
      </c>
      <c r="H1024" t="str" cm="1">
        <f t="array" ref="H1024">_xlfn.IFS(G1024&lt;=15,"Junior",G1024&lt;=30,"Mid level",G1024&gt;30,"Lead")</f>
        <v>Junior</v>
      </c>
    </row>
    <row r="1025" spans="1:8" x14ac:dyDescent="0.3">
      <c r="A1025" s="7">
        <v>6833</v>
      </c>
      <c r="B1025" t="str" cm="1">
        <f t="array" ref="B1025">_xlfn.IFS(A1025&lt;=8000,"low",A1025&lt;15000,"medium",A1025&gt;=15000,"high")</f>
        <v>low</v>
      </c>
      <c r="G1025" s="2">
        <v>7</v>
      </c>
      <c r="H1025" t="str" cm="1">
        <f t="array" ref="H1025">_xlfn.IFS(G1025&lt;=15,"Junior",G1025&lt;=30,"Mid level",G1025&gt;30,"Lead")</f>
        <v>Junior</v>
      </c>
    </row>
    <row r="1026" spans="1:8" x14ac:dyDescent="0.3">
      <c r="A1026" s="8">
        <v>6834</v>
      </c>
      <c r="B1026" t="str" cm="1">
        <f t="array" ref="B1026">_xlfn.IFS(A1026&lt;=8000,"low",A1026&lt;15000,"medium",A1026&gt;=15000,"high")</f>
        <v>low</v>
      </c>
      <c r="G1026" s="1">
        <v>5</v>
      </c>
      <c r="H1026" t="str" cm="1">
        <f t="array" ref="H1026">_xlfn.IFS(G1026&lt;=15,"Junior",G1026&lt;=30,"Mid level",G1026&gt;30,"Lead")</f>
        <v>Junior</v>
      </c>
    </row>
    <row r="1027" spans="1:8" x14ac:dyDescent="0.3">
      <c r="A1027" s="7">
        <v>6842</v>
      </c>
      <c r="B1027" t="str" cm="1">
        <f t="array" ref="B1027">_xlfn.IFS(A1027&lt;=8000,"low",A1027&lt;15000,"medium",A1027&gt;=15000,"high")</f>
        <v>low</v>
      </c>
      <c r="G1027" s="2">
        <v>5</v>
      </c>
      <c r="H1027" t="str" cm="1">
        <f t="array" ref="H1027">_xlfn.IFS(G1027&lt;=15,"Junior",G1027&lt;=30,"Mid level",G1027&gt;30,"Lead")</f>
        <v>Junior</v>
      </c>
    </row>
    <row r="1028" spans="1:8" x14ac:dyDescent="0.3">
      <c r="A1028" s="8">
        <v>6852</v>
      </c>
      <c r="B1028" t="str" cm="1">
        <f t="array" ref="B1028">_xlfn.IFS(A1028&lt;=8000,"low",A1028&lt;15000,"medium",A1028&gt;=15000,"high")</f>
        <v>low</v>
      </c>
      <c r="G1028" s="1">
        <v>7</v>
      </c>
      <c r="H1028" t="str" cm="1">
        <f t="array" ref="H1028">_xlfn.IFS(G1028&lt;=15,"Junior",G1028&lt;=30,"Mid level",G1028&gt;30,"Lead")</f>
        <v>Junior</v>
      </c>
    </row>
    <row r="1029" spans="1:8" x14ac:dyDescent="0.3">
      <c r="A1029" s="7">
        <v>6854</v>
      </c>
      <c r="B1029" t="str" cm="1">
        <f t="array" ref="B1029">_xlfn.IFS(A1029&lt;=8000,"low",A1029&lt;15000,"medium",A1029&gt;=15000,"high")</f>
        <v>low</v>
      </c>
      <c r="G1029" s="2">
        <v>1</v>
      </c>
      <c r="H1029" t="str" cm="1">
        <f t="array" ref="H1029">_xlfn.IFS(G1029&lt;=15,"Junior",G1029&lt;=30,"Mid level",G1029&gt;30,"Lead")</f>
        <v>Junior</v>
      </c>
    </row>
    <row r="1030" spans="1:8" x14ac:dyDescent="0.3">
      <c r="A1030" s="8">
        <v>6861</v>
      </c>
      <c r="B1030" t="str" cm="1">
        <f t="array" ref="B1030">_xlfn.IFS(A1030&lt;=8000,"low",A1030&lt;15000,"medium",A1030&gt;=15000,"high")</f>
        <v>low</v>
      </c>
      <c r="G1030" s="1">
        <v>3</v>
      </c>
      <c r="H1030" t="str" cm="1">
        <f t="array" ref="H1030">_xlfn.IFS(G1030&lt;=15,"Junior",G1030&lt;=30,"Mid level",G1030&gt;30,"Lead")</f>
        <v>Junior</v>
      </c>
    </row>
    <row r="1031" spans="1:8" x14ac:dyDescent="0.3">
      <c r="A1031" s="7">
        <v>6870</v>
      </c>
      <c r="B1031" t="str" cm="1">
        <f t="array" ref="B1031">_xlfn.IFS(A1031&lt;=8000,"low",A1031&lt;15000,"medium",A1031&gt;=15000,"high")</f>
        <v>low</v>
      </c>
      <c r="G1031" s="2">
        <v>0</v>
      </c>
      <c r="H1031" t="str" cm="1">
        <f t="array" ref="H1031">_xlfn.IFS(G1031&lt;=15,"Junior",G1031&lt;=30,"Mid level",G1031&gt;30,"Lead")</f>
        <v>Junior</v>
      </c>
    </row>
    <row r="1032" spans="1:8" x14ac:dyDescent="0.3">
      <c r="A1032" s="8">
        <v>6877</v>
      </c>
      <c r="B1032" t="str" cm="1">
        <f t="array" ref="B1032">_xlfn.IFS(A1032&lt;=8000,"low",A1032&lt;15000,"medium",A1032&gt;=15000,"high")</f>
        <v>low</v>
      </c>
      <c r="G1032" s="1">
        <v>7</v>
      </c>
      <c r="H1032" t="str" cm="1">
        <f t="array" ref="H1032">_xlfn.IFS(G1032&lt;=15,"Junior",G1032&lt;=30,"Mid level",G1032&gt;30,"Lead")</f>
        <v>Junior</v>
      </c>
    </row>
    <row r="1033" spans="1:8" x14ac:dyDescent="0.3">
      <c r="A1033" s="7">
        <v>6883</v>
      </c>
      <c r="B1033" t="str" cm="1">
        <f t="array" ref="B1033">_xlfn.IFS(A1033&lt;=8000,"low",A1033&lt;15000,"medium",A1033&gt;=15000,"high")</f>
        <v>low</v>
      </c>
      <c r="G1033" s="2">
        <v>7</v>
      </c>
      <c r="H1033" t="str" cm="1">
        <f t="array" ref="H1033">_xlfn.IFS(G1033&lt;=15,"Junior",G1033&lt;=30,"Mid level",G1033&gt;30,"Lead")</f>
        <v>Junior</v>
      </c>
    </row>
    <row r="1034" spans="1:8" x14ac:dyDescent="0.3">
      <c r="A1034" s="8">
        <v>6893</v>
      </c>
      <c r="B1034" t="str" cm="1">
        <f t="array" ref="B1034">_xlfn.IFS(A1034&lt;=8000,"low",A1034&lt;15000,"medium",A1034&gt;=15000,"high")</f>
        <v>low</v>
      </c>
      <c r="G1034" s="1">
        <v>8</v>
      </c>
      <c r="H1034" t="str" cm="1">
        <f t="array" ref="H1034">_xlfn.IFS(G1034&lt;=15,"Junior",G1034&lt;=30,"Mid level",G1034&gt;30,"Lead")</f>
        <v>Junior</v>
      </c>
    </row>
    <row r="1035" spans="1:8" x14ac:dyDescent="0.3">
      <c r="A1035" s="7">
        <v>6929</v>
      </c>
      <c r="B1035" t="str" cm="1">
        <f t="array" ref="B1035">_xlfn.IFS(A1035&lt;=8000,"low",A1035&lt;15000,"medium",A1035&gt;=15000,"high")</f>
        <v>low</v>
      </c>
      <c r="G1035" s="2">
        <v>3</v>
      </c>
      <c r="H1035" t="str" cm="1">
        <f t="array" ref="H1035">_xlfn.IFS(G1035&lt;=15,"Junior",G1035&lt;=30,"Mid level",G1035&gt;30,"Lead")</f>
        <v>Junior</v>
      </c>
    </row>
    <row r="1036" spans="1:8" x14ac:dyDescent="0.3">
      <c r="A1036" s="8">
        <v>6931</v>
      </c>
      <c r="B1036" t="str" cm="1">
        <f t="array" ref="B1036">_xlfn.IFS(A1036&lt;=8000,"low",A1036&lt;15000,"medium",A1036&gt;=15000,"high")</f>
        <v>low</v>
      </c>
      <c r="G1036" s="1">
        <v>9</v>
      </c>
      <c r="H1036" t="str" cm="1">
        <f t="array" ref="H1036">_xlfn.IFS(G1036&lt;=15,"Junior",G1036&lt;=30,"Mid level",G1036&gt;30,"Lead")</f>
        <v>Junior</v>
      </c>
    </row>
    <row r="1037" spans="1:8" x14ac:dyDescent="0.3">
      <c r="A1037" s="7">
        <v>6932</v>
      </c>
      <c r="B1037" t="str" cm="1">
        <f t="array" ref="B1037">_xlfn.IFS(A1037&lt;=8000,"low",A1037&lt;15000,"medium",A1037&gt;=15000,"high")</f>
        <v>low</v>
      </c>
      <c r="G1037" s="2">
        <v>5</v>
      </c>
      <c r="H1037" t="str" cm="1">
        <f t="array" ref="H1037">_xlfn.IFS(G1037&lt;=15,"Junior",G1037&lt;=30,"Mid level",G1037&gt;30,"Lead")</f>
        <v>Junior</v>
      </c>
    </row>
    <row r="1038" spans="1:8" x14ac:dyDescent="0.3">
      <c r="A1038" s="8">
        <v>6949</v>
      </c>
      <c r="B1038" t="str" cm="1">
        <f t="array" ref="B1038">_xlfn.IFS(A1038&lt;=8000,"low",A1038&lt;15000,"medium",A1038&gt;=15000,"high")</f>
        <v>low</v>
      </c>
      <c r="G1038" s="1">
        <v>1</v>
      </c>
      <c r="H1038" t="str" cm="1">
        <f t="array" ref="H1038">_xlfn.IFS(G1038&lt;=15,"Junior",G1038&lt;=30,"Mid level",G1038&gt;30,"Lead")</f>
        <v>Junior</v>
      </c>
    </row>
    <row r="1039" spans="1:8" x14ac:dyDescent="0.3">
      <c r="A1039" s="7">
        <v>6962</v>
      </c>
      <c r="B1039" t="str" cm="1">
        <f t="array" ref="B1039">_xlfn.IFS(A1039&lt;=8000,"low",A1039&lt;15000,"medium",A1039&gt;=15000,"high")</f>
        <v>low</v>
      </c>
      <c r="G1039" s="2">
        <v>4</v>
      </c>
      <c r="H1039" t="str" cm="1">
        <f t="array" ref="H1039">_xlfn.IFS(G1039&lt;=15,"Junior",G1039&lt;=30,"Mid level",G1039&gt;30,"Lead")</f>
        <v>Junior</v>
      </c>
    </row>
    <row r="1040" spans="1:8" x14ac:dyDescent="0.3">
      <c r="A1040" s="8">
        <v>7005</v>
      </c>
      <c r="B1040" t="str" cm="1">
        <f t="array" ref="B1040">_xlfn.IFS(A1040&lt;=8000,"low",A1040&lt;15000,"medium",A1040&gt;=15000,"high")</f>
        <v>low</v>
      </c>
      <c r="G1040" s="1">
        <v>2</v>
      </c>
      <c r="H1040" t="str" cm="1">
        <f t="array" ref="H1040">_xlfn.IFS(G1040&lt;=15,"Junior",G1040&lt;=30,"Mid level",G1040&gt;30,"Lead")</f>
        <v>Junior</v>
      </c>
    </row>
    <row r="1041" spans="1:8" x14ac:dyDescent="0.3">
      <c r="A1041" s="7">
        <v>7082</v>
      </c>
      <c r="B1041" t="str" cm="1">
        <f t="array" ref="B1041">_xlfn.IFS(A1041&lt;=8000,"low",A1041&lt;15000,"medium",A1041&gt;=15000,"high")</f>
        <v>low</v>
      </c>
      <c r="G1041" s="2">
        <v>10</v>
      </c>
      <c r="H1041" t="str" cm="1">
        <f t="array" ref="H1041">_xlfn.IFS(G1041&lt;=15,"Junior",G1041&lt;=30,"Mid level",G1041&gt;30,"Lead")</f>
        <v>Junior</v>
      </c>
    </row>
    <row r="1042" spans="1:8" x14ac:dyDescent="0.3">
      <c r="A1042" s="8">
        <v>7083</v>
      </c>
      <c r="B1042" t="str" cm="1">
        <f t="array" ref="B1042">_xlfn.IFS(A1042&lt;=8000,"low",A1042&lt;15000,"medium",A1042&gt;=15000,"high")</f>
        <v>low</v>
      </c>
      <c r="G1042" s="1">
        <v>7</v>
      </c>
      <c r="H1042" t="str" cm="1">
        <f t="array" ref="H1042">_xlfn.IFS(G1042&lt;=15,"Junior",G1042&lt;=30,"Mid level",G1042&gt;30,"Lead")</f>
        <v>Junior</v>
      </c>
    </row>
    <row r="1043" spans="1:8" x14ac:dyDescent="0.3">
      <c r="A1043" s="7">
        <v>7094</v>
      </c>
      <c r="B1043" t="str" cm="1">
        <f t="array" ref="B1043">_xlfn.IFS(A1043&lt;=8000,"low",A1043&lt;15000,"medium",A1043&gt;=15000,"high")</f>
        <v>low</v>
      </c>
      <c r="G1043" s="2">
        <v>5</v>
      </c>
      <c r="H1043" t="str" cm="1">
        <f t="array" ref="H1043">_xlfn.IFS(G1043&lt;=15,"Junior",G1043&lt;=30,"Mid level",G1043&gt;30,"Lead")</f>
        <v>Junior</v>
      </c>
    </row>
    <row r="1044" spans="1:8" x14ac:dyDescent="0.3">
      <c r="A1044" s="8">
        <v>7104</v>
      </c>
      <c r="B1044" t="str" cm="1">
        <f t="array" ref="B1044">_xlfn.IFS(A1044&lt;=8000,"low",A1044&lt;15000,"medium",A1044&gt;=15000,"high")</f>
        <v>low</v>
      </c>
      <c r="G1044" s="1">
        <v>3</v>
      </c>
      <c r="H1044" t="str" cm="1">
        <f t="array" ref="H1044">_xlfn.IFS(G1044&lt;=15,"Junior",G1044&lt;=30,"Mid level",G1044&gt;30,"Lead")</f>
        <v>Junior</v>
      </c>
    </row>
    <row r="1045" spans="1:8" x14ac:dyDescent="0.3">
      <c r="A1045" s="7">
        <v>7119</v>
      </c>
      <c r="B1045" t="str" cm="1">
        <f t="array" ref="B1045">_xlfn.IFS(A1045&lt;=8000,"low",A1045&lt;15000,"medium",A1045&gt;=15000,"high")</f>
        <v>low</v>
      </c>
      <c r="G1045" s="2">
        <v>7</v>
      </c>
      <c r="H1045" t="str" cm="1">
        <f t="array" ref="H1045">_xlfn.IFS(G1045&lt;=15,"Junior",G1045&lt;=30,"Mid level",G1045&gt;30,"Lead")</f>
        <v>Junior</v>
      </c>
    </row>
    <row r="1046" spans="1:8" x14ac:dyDescent="0.3">
      <c r="A1046" s="8">
        <v>7140</v>
      </c>
      <c r="B1046" t="str" cm="1">
        <f t="array" ref="B1046">_xlfn.IFS(A1046&lt;=8000,"low",A1046&lt;15000,"medium",A1046&gt;=15000,"high")</f>
        <v>low</v>
      </c>
      <c r="G1046" s="1">
        <v>11</v>
      </c>
      <c r="H1046" t="str" cm="1">
        <f t="array" ref="H1046">_xlfn.IFS(G1046&lt;=15,"Junior",G1046&lt;=30,"Mid level",G1046&gt;30,"Lead")</f>
        <v>Junior</v>
      </c>
    </row>
    <row r="1047" spans="1:8" x14ac:dyDescent="0.3">
      <c r="A1047" s="7">
        <v>7143</v>
      </c>
      <c r="B1047" t="str" cm="1">
        <f t="array" ref="B1047">_xlfn.IFS(A1047&lt;=8000,"low",A1047&lt;15000,"medium",A1047&gt;=15000,"high")</f>
        <v>low</v>
      </c>
      <c r="G1047" s="2">
        <v>6</v>
      </c>
      <c r="H1047" t="str" cm="1">
        <f t="array" ref="H1047">_xlfn.IFS(G1047&lt;=15,"Junior",G1047&lt;=30,"Mid level",G1047&gt;30,"Lead")</f>
        <v>Junior</v>
      </c>
    </row>
    <row r="1048" spans="1:8" x14ac:dyDescent="0.3">
      <c r="A1048" s="8">
        <v>7260</v>
      </c>
      <c r="B1048" t="str" cm="1">
        <f t="array" ref="B1048">_xlfn.IFS(A1048&lt;=8000,"low",A1048&lt;15000,"medium",A1048&gt;=15000,"high")</f>
        <v>low</v>
      </c>
      <c r="G1048" s="1">
        <v>8</v>
      </c>
      <c r="H1048" t="str" cm="1">
        <f t="array" ref="H1048">_xlfn.IFS(G1048&lt;=15,"Junior",G1048&lt;=30,"Mid level",G1048&gt;30,"Lead")</f>
        <v>Junior</v>
      </c>
    </row>
    <row r="1049" spans="1:8" x14ac:dyDescent="0.3">
      <c r="A1049" s="7">
        <v>7264</v>
      </c>
      <c r="B1049" t="str" cm="1">
        <f t="array" ref="B1049">_xlfn.IFS(A1049&lt;=8000,"low",A1049&lt;15000,"medium",A1049&gt;=15000,"high")</f>
        <v>low</v>
      </c>
      <c r="G1049" s="2">
        <v>10</v>
      </c>
      <c r="H1049" t="str" cm="1">
        <f t="array" ref="H1049">_xlfn.IFS(G1049&lt;=15,"Junior",G1049&lt;=30,"Mid level",G1049&gt;30,"Lead")</f>
        <v>Junior</v>
      </c>
    </row>
    <row r="1050" spans="1:8" x14ac:dyDescent="0.3">
      <c r="A1050" s="8">
        <v>7295</v>
      </c>
      <c r="B1050" t="str" cm="1">
        <f t="array" ref="B1050">_xlfn.IFS(A1050&lt;=8000,"low",A1050&lt;15000,"medium",A1050&gt;=15000,"high")</f>
        <v>low</v>
      </c>
      <c r="G1050" s="1">
        <v>8</v>
      </c>
      <c r="H1050" t="str" cm="1">
        <f t="array" ref="H1050">_xlfn.IFS(G1050&lt;=15,"Junior",G1050&lt;=30,"Mid level",G1050&gt;30,"Lead")</f>
        <v>Junior</v>
      </c>
    </row>
    <row r="1051" spans="1:8" x14ac:dyDescent="0.3">
      <c r="A1051" s="7">
        <v>7314</v>
      </c>
      <c r="B1051" t="str" cm="1">
        <f t="array" ref="B1051">_xlfn.IFS(A1051&lt;=8000,"low",A1051&lt;15000,"medium",A1051&gt;=15000,"high")</f>
        <v>low</v>
      </c>
      <c r="G1051" s="2">
        <v>11</v>
      </c>
      <c r="H1051" t="str" cm="1">
        <f t="array" ref="H1051">_xlfn.IFS(G1051&lt;=15,"Junior",G1051&lt;=30,"Mid level",G1051&gt;30,"Lead")</f>
        <v>Junior</v>
      </c>
    </row>
    <row r="1052" spans="1:8" x14ac:dyDescent="0.3">
      <c r="A1052" s="8">
        <v>7336</v>
      </c>
      <c r="B1052" t="str" cm="1">
        <f t="array" ref="B1052">_xlfn.IFS(A1052&lt;=8000,"low",A1052&lt;15000,"medium",A1052&gt;=15000,"high")</f>
        <v>low</v>
      </c>
      <c r="G1052" s="1">
        <v>1</v>
      </c>
      <c r="H1052" t="str" cm="1">
        <f t="array" ref="H1052">_xlfn.IFS(G1052&lt;=15,"Junior",G1052&lt;=30,"Mid level",G1052&gt;30,"Lead")</f>
        <v>Junior</v>
      </c>
    </row>
    <row r="1053" spans="1:8" x14ac:dyDescent="0.3">
      <c r="A1053" s="7">
        <v>7351</v>
      </c>
      <c r="B1053" t="str" cm="1">
        <f t="array" ref="B1053">_xlfn.IFS(A1053&lt;=8000,"low",A1053&lt;15000,"medium",A1053&gt;=15000,"high")</f>
        <v>low</v>
      </c>
      <c r="G1053" s="2">
        <v>6</v>
      </c>
      <c r="H1053" t="str" cm="1">
        <f t="array" ref="H1053">_xlfn.IFS(G1053&lt;=15,"Junior",G1053&lt;=30,"Mid level",G1053&gt;30,"Lead")</f>
        <v>Junior</v>
      </c>
    </row>
    <row r="1054" spans="1:8" x14ac:dyDescent="0.3">
      <c r="A1054" s="8">
        <v>7379</v>
      </c>
      <c r="B1054" t="str" cm="1">
        <f t="array" ref="B1054">_xlfn.IFS(A1054&lt;=8000,"low",A1054&lt;15000,"medium",A1054&gt;=15000,"high")</f>
        <v>low</v>
      </c>
      <c r="G1054" s="1">
        <v>26</v>
      </c>
      <c r="H1054" t="str" cm="1">
        <f t="array" ref="H1054">_xlfn.IFS(G1054&lt;=15,"Junior",G1054&lt;=30,"Mid level",G1054&gt;30,"Lead")</f>
        <v>Mid level</v>
      </c>
    </row>
    <row r="1055" spans="1:8" x14ac:dyDescent="0.3">
      <c r="A1055" s="7">
        <v>7403</v>
      </c>
      <c r="B1055" t="str" cm="1">
        <f t="array" ref="B1055">_xlfn.IFS(A1055&lt;=8000,"low",A1055&lt;15000,"medium",A1055&gt;=15000,"high")</f>
        <v>low</v>
      </c>
      <c r="G1055" s="2">
        <v>10</v>
      </c>
      <c r="H1055" t="str" cm="1">
        <f t="array" ref="H1055">_xlfn.IFS(G1055&lt;=15,"Junior",G1055&lt;=30,"Mid level",G1055&gt;30,"Lead")</f>
        <v>Junior</v>
      </c>
    </row>
    <row r="1056" spans="1:8" x14ac:dyDescent="0.3">
      <c r="A1056" s="8">
        <v>7406</v>
      </c>
      <c r="B1056" t="str" cm="1">
        <f t="array" ref="B1056">_xlfn.IFS(A1056&lt;=8000,"low",A1056&lt;15000,"medium",A1056&gt;=15000,"high")</f>
        <v>low</v>
      </c>
      <c r="G1056" s="1">
        <v>9</v>
      </c>
      <c r="H1056" t="str" cm="1">
        <f t="array" ref="H1056">_xlfn.IFS(G1056&lt;=15,"Junior",G1056&lt;=30,"Mid level",G1056&gt;30,"Lead")</f>
        <v>Junior</v>
      </c>
    </row>
    <row r="1057" spans="1:8" x14ac:dyDescent="0.3">
      <c r="A1057" s="7">
        <v>7412</v>
      </c>
      <c r="B1057" t="str" cm="1">
        <f t="array" ref="B1057">_xlfn.IFS(A1057&lt;=8000,"low",A1057&lt;15000,"medium",A1057&gt;=15000,"high")</f>
        <v>low</v>
      </c>
      <c r="G1057" s="2">
        <v>5</v>
      </c>
      <c r="H1057" t="str" cm="1">
        <f t="array" ref="H1057">_xlfn.IFS(G1057&lt;=15,"Junior",G1057&lt;=30,"Mid level",G1057&gt;30,"Lead")</f>
        <v>Junior</v>
      </c>
    </row>
    <row r="1058" spans="1:8" x14ac:dyDescent="0.3">
      <c r="A1058" s="8">
        <v>7428</v>
      </c>
      <c r="B1058" t="str" cm="1">
        <f t="array" ref="B1058">_xlfn.IFS(A1058&lt;=8000,"low",A1058&lt;15000,"medium",A1058&gt;=15000,"high")</f>
        <v>low</v>
      </c>
      <c r="G1058" s="1">
        <v>10</v>
      </c>
      <c r="H1058" t="str" cm="1">
        <f t="array" ref="H1058">_xlfn.IFS(G1058&lt;=15,"Junior",G1058&lt;=30,"Mid level",G1058&gt;30,"Lead")</f>
        <v>Junior</v>
      </c>
    </row>
    <row r="1059" spans="1:8" x14ac:dyDescent="0.3">
      <c r="A1059" s="7">
        <v>7441</v>
      </c>
      <c r="B1059" t="str" cm="1">
        <f t="array" ref="B1059">_xlfn.IFS(A1059&lt;=8000,"low",A1059&lt;15000,"medium",A1059&gt;=15000,"high")</f>
        <v>low</v>
      </c>
      <c r="G1059" s="2">
        <v>10</v>
      </c>
      <c r="H1059" t="str" cm="1">
        <f t="array" ref="H1059">_xlfn.IFS(G1059&lt;=15,"Junior",G1059&lt;=30,"Mid level",G1059&gt;30,"Lead")</f>
        <v>Junior</v>
      </c>
    </row>
    <row r="1060" spans="1:8" x14ac:dyDescent="0.3">
      <c r="A1060" s="8">
        <v>7446</v>
      </c>
      <c r="B1060" t="str" cm="1">
        <f t="array" ref="B1060">_xlfn.IFS(A1060&lt;=8000,"low",A1060&lt;15000,"medium",A1060&gt;=15000,"high")</f>
        <v>low</v>
      </c>
      <c r="G1060" s="1">
        <v>4</v>
      </c>
      <c r="H1060" t="str" cm="1">
        <f t="array" ref="H1060">_xlfn.IFS(G1060&lt;=15,"Junior",G1060&lt;=30,"Mid level",G1060&gt;30,"Lead")</f>
        <v>Junior</v>
      </c>
    </row>
    <row r="1061" spans="1:8" x14ac:dyDescent="0.3">
      <c r="A1061" s="7">
        <v>7457</v>
      </c>
      <c r="B1061" t="str" cm="1">
        <f t="array" ref="B1061">_xlfn.IFS(A1061&lt;=8000,"low",A1061&lt;15000,"medium",A1061&gt;=15000,"high")</f>
        <v>low</v>
      </c>
      <c r="G1061" s="2">
        <v>13</v>
      </c>
      <c r="H1061" t="str" cm="1">
        <f t="array" ref="H1061">_xlfn.IFS(G1061&lt;=15,"Junior",G1061&lt;=30,"Mid level",G1061&gt;30,"Lead")</f>
        <v>Junior</v>
      </c>
    </row>
    <row r="1062" spans="1:8" x14ac:dyDescent="0.3">
      <c r="A1062" s="8">
        <v>7484</v>
      </c>
      <c r="B1062" t="str" cm="1">
        <f t="array" ref="B1062">_xlfn.IFS(A1062&lt;=8000,"low",A1062&lt;15000,"medium",A1062&gt;=15000,"high")</f>
        <v>low</v>
      </c>
      <c r="G1062" s="1">
        <v>6</v>
      </c>
      <c r="H1062" t="str" cm="1">
        <f t="array" ref="H1062">_xlfn.IFS(G1062&lt;=15,"Junior",G1062&lt;=30,"Mid level",G1062&gt;30,"Lead")</f>
        <v>Junior</v>
      </c>
    </row>
    <row r="1063" spans="1:8" x14ac:dyDescent="0.3">
      <c r="A1063" s="7">
        <v>7491</v>
      </c>
      <c r="B1063" t="str" cm="1">
        <f t="array" ref="B1063">_xlfn.IFS(A1063&lt;=8000,"low",A1063&lt;15000,"medium",A1063&gt;=15000,"high")</f>
        <v>low</v>
      </c>
      <c r="G1063" s="2">
        <v>10</v>
      </c>
      <c r="H1063" t="str" cm="1">
        <f t="array" ref="H1063">_xlfn.IFS(G1063&lt;=15,"Junior",G1063&lt;=30,"Mid level",G1063&gt;30,"Lead")</f>
        <v>Junior</v>
      </c>
    </row>
    <row r="1064" spans="1:8" x14ac:dyDescent="0.3">
      <c r="A1064" s="8">
        <v>7510</v>
      </c>
      <c r="B1064" t="str" cm="1">
        <f t="array" ref="B1064">_xlfn.IFS(A1064&lt;=8000,"low",A1064&lt;15000,"medium",A1064&gt;=15000,"high")</f>
        <v>low</v>
      </c>
      <c r="G1064" s="1">
        <v>15</v>
      </c>
      <c r="H1064" t="str" cm="1">
        <f t="array" ref="H1064">_xlfn.IFS(G1064&lt;=15,"Junior",G1064&lt;=30,"Mid level",G1064&gt;30,"Lead")</f>
        <v>Junior</v>
      </c>
    </row>
    <row r="1065" spans="1:8" x14ac:dyDescent="0.3">
      <c r="A1065" s="7">
        <v>7525</v>
      </c>
      <c r="B1065" t="str" cm="1">
        <f t="array" ref="B1065">_xlfn.IFS(A1065&lt;=8000,"low",A1065&lt;15000,"medium",A1065&gt;=15000,"high")</f>
        <v>low</v>
      </c>
      <c r="G1065" s="2">
        <v>7</v>
      </c>
      <c r="H1065" t="str" cm="1">
        <f t="array" ref="H1065">_xlfn.IFS(G1065&lt;=15,"Junior",G1065&lt;=30,"Mid level",G1065&gt;30,"Lead")</f>
        <v>Junior</v>
      </c>
    </row>
    <row r="1066" spans="1:8" x14ac:dyDescent="0.3">
      <c r="A1066" s="8">
        <v>7547</v>
      </c>
      <c r="B1066" t="str" cm="1">
        <f t="array" ref="B1066">_xlfn.IFS(A1066&lt;=8000,"low",A1066&lt;15000,"medium",A1066&gt;=15000,"high")</f>
        <v>low</v>
      </c>
      <c r="G1066" s="1">
        <v>8</v>
      </c>
      <c r="H1066" t="str" cm="1">
        <f t="array" ref="H1066">_xlfn.IFS(G1066&lt;=15,"Junior",G1066&lt;=30,"Mid level",G1066&gt;30,"Lead")</f>
        <v>Junior</v>
      </c>
    </row>
    <row r="1067" spans="1:8" x14ac:dyDescent="0.3">
      <c r="A1067" s="7">
        <v>7553</v>
      </c>
      <c r="B1067" t="str" cm="1">
        <f t="array" ref="B1067">_xlfn.IFS(A1067&lt;=8000,"low",A1067&lt;15000,"medium",A1067&gt;=15000,"high")</f>
        <v>low</v>
      </c>
      <c r="G1067" s="2">
        <v>10</v>
      </c>
      <c r="H1067" t="str" cm="1">
        <f t="array" ref="H1067">_xlfn.IFS(G1067&lt;=15,"Junior",G1067&lt;=30,"Mid level",G1067&gt;30,"Lead")</f>
        <v>Junior</v>
      </c>
    </row>
    <row r="1068" spans="1:8" x14ac:dyDescent="0.3">
      <c r="A1068" s="8">
        <v>7587</v>
      </c>
      <c r="B1068" t="str" cm="1">
        <f t="array" ref="B1068">_xlfn.IFS(A1068&lt;=8000,"low",A1068&lt;15000,"medium",A1068&gt;=15000,"high")</f>
        <v>low</v>
      </c>
      <c r="G1068" s="1">
        <v>10</v>
      </c>
      <c r="H1068" t="str" cm="1">
        <f t="array" ref="H1068">_xlfn.IFS(G1068&lt;=15,"Junior",G1068&lt;=30,"Mid level",G1068&gt;30,"Lead")</f>
        <v>Junior</v>
      </c>
    </row>
    <row r="1069" spans="1:8" x14ac:dyDescent="0.3">
      <c r="A1069" s="7">
        <v>7596</v>
      </c>
      <c r="B1069" t="str" cm="1">
        <f t="array" ref="B1069">_xlfn.IFS(A1069&lt;=8000,"low",A1069&lt;15000,"medium",A1069&gt;=15000,"high")</f>
        <v>low</v>
      </c>
      <c r="G1069" s="2">
        <v>9</v>
      </c>
      <c r="H1069" t="str" cm="1">
        <f t="array" ref="H1069">_xlfn.IFS(G1069&lt;=15,"Junior",G1069&lt;=30,"Mid level",G1069&gt;30,"Lead")</f>
        <v>Junior</v>
      </c>
    </row>
    <row r="1070" spans="1:8" x14ac:dyDescent="0.3">
      <c r="A1070" s="8">
        <v>7625</v>
      </c>
      <c r="B1070" t="str" cm="1">
        <f t="array" ref="B1070">_xlfn.IFS(A1070&lt;=8000,"low",A1070&lt;15000,"medium",A1070&gt;=15000,"high")</f>
        <v>low</v>
      </c>
      <c r="G1070" s="1">
        <v>8</v>
      </c>
      <c r="H1070" t="str" cm="1">
        <f t="array" ref="H1070">_xlfn.IFS(G1070&lt;=15,"Junior",G1070&lt;=30,"Mid level",G1070&gt;30,"Lead")</f>
        <v>Junior</v>
      </c>
    </row>
    <row r="1071" spans="1:8" x14ac:dyDescent="0.3">
      <c r="A1071" s="7">
        <v>7632</v>
      </c>
      <c r="B1071" t="str" cm="1">
        <f t="array" ref="B1071">_xlfn.IFS(A1071&lt;=8000,"low",A1071&lt;15000,"medium",A1071&gt;=15000,"high")</f>
        <v>low</v>
      </c>
      <c r="G1071" s="2">
        <v>21</v>
      </c>
      <c r="H1071" t="str" cm="1">
        <f t="array" ref="H1071">_xlfn.IFS(G1071&lt;=15,"Junior",G1071&lt;=30,"Mid level",G1071&gt;30,"Lead")</f>
        <v>Mid level</v>
      </c>
    </row>
    <row r="1072" spans="1:8" x14ac:dyDescent="0.3">
      <c r="A1072" s="8">
        <v>7637</v>
      </c>
      <c r="B1072" t="str" cm="1">
        <f t="array" ref="B1072">_xlfn.IFS(A1072&lt;=8000,"low",A1072&lt;15000,"medium",A1072&gt;=15000,"high")</f>
        <v>low</v>
      </c>
      <c r="G1072" s="1">
        <v>10</v>
      </c>
      <c r="H1072" t="str" cm="1">
        <f t="array" ref="H1072">_xlfn.IFS(G1072&lt;=15,"Junior",G1072&lt;=30,"Mid level",G1072&gt;30,"Lead")</f>
        <v>Junior</v>
      </c>
    </row>
    <row r="1073" spans="1:8" x14ac:dyDescent="0.3">
      <c r="A1073" s="7">
        <v>7639</v>
      </c>
      <c r="B1073" t="str" cm="1">
        <f t="array" ref="B1073">_xlfn.IFS(A1073&lt;=8000,"low",A1073&lt;15000,"medium",A1073&gt;=15000,"high")</f>
        <v>low</v>
      </c>
      <c r="G1073" s="2">
        <v>10</v>
      </c>
      <c r="H1073" t="str" cm="1">
        <f t="array" ref="H1073">_xlfn.IFS(G1073&lt;=15,"Junior",G1073&lt;=30,"Mid level",G1073&gt;30,"Lead")</f>
        <v>Junior</v>
      </c>
    </row>
    <row r="1074" spans="1:8" x14ac:dyDescent="0.3">
      <c r="A1074" s="8">
        <v>7642</v>
      </c>
      <c r="B1074" t="str" cm="1">
        <f t="array" ref="B1074">_xlfn.IFS(A1074&lt;=8000,"low",A1074&lt;15000,"medium",A1074&gt;=15000,"high")</f>
        <v>low</v>
      </c>
      <c r="G1074" s="1">
        <v>9</v>
      </c>
      <c r="H1074" t="str" cm="1">
        <f t="array" ref="H1074">_xlfn.IFS(G1074&lt;=15,"Junior",G1074&lt;=30,"Mid level",G1074&gt;30,"Lead")</f>
        <v>Junior</v>
      </c>
    </row>
    <row r="1075" spans="1:8" x14ac:dyDescent="0.3">
      <c r="A1075" s="7">
        <v>7644</v>
      </c>
      <c r="B1075" t="str" cm="1">
        <f t="array" ref="B1075">_xlfn.IFS(A1075&lt;=8000,"low",A1075&lt;15000,"medium",A1075&gt;=15000,"high")</f>
        <v>low</v>
      </c>
      <c r="G1075" s="2">
        <v>9</v>
      </c>
      <c r="H1075" t="str" cm="1">
        <f t="array" ref="H1075">_xlfn.IFS(G1075&lt;=15,"Junior",G1075&lt;=30,"Mid level",G1075&gt;30,"Lead")</f>
        <v>Junior</v>
      </c>
    </row>
    <row r="1076" spans="1:8" x14ac:dyDescent="0.3">
      <c r="A1076" s="8">
        <v>7654</v>
      </c>
      <c r="B1076" t="str" cm="1">
        <f t="array" ref="B1076">_xlfn.IFS(A1076&lt;=8000,"low",A1076&lt;15000,"medium",A1076&gt;=15000,"high")</f>
        <v>low</v>
      </c>
      <c r="G1076" s="1">
        <v>9</v>
      </c>
      <c r="H1076" t="str" cm="1">
        <f t="array" ref="H1076">_xlfn.IFS(G1076&lt;=15,"Junior",G1076&lt;=30,"Mid level",G1076&gt;30,"Lead")</f>
        <v>Junior</v>
      </c>
    </row>
    <row r="1077" spans="1:8" x14ac:dyDescent="0.3">
      <c r="A1077" s="7">
        <v>7655</v>
      </c>
      <c r="B1077" t="str" cm="1">
        <f t="array" ref="B1077">_xlfn.IFS(A1077&lt;=8000,"low",A1077&lt;15000,"medium",A1077&gt;=15000,"high")</f>
        <v>low</v>
      </c>
      <c r="G1077" s="2">
        <v>13</v>
      </c>
      <c r="H1077" t="str" cm="1">
        <f t="array" ref="H1077">_xlfn.IFS(G1077&lt;=15,"Junior",G1077&lt;=30,"Mid level",G1077&gt;30,"Lead")</f>
        <v>Junior</v>
      </c>
    </row>
    <row r="1078" spans="1:8" x14ac:dyDescent="0.3">
      <c r="A1078" s="8">
        <v>7725</v>
      </c>
      <c r="B1078" t="str" cm="1">
        <f t="array" ref="B1078">_xlfn.IFS(A1078&lt;=8000,"low",A1078&lt;15000,"medium",A1078&gt;=15000,"high")</f>
        <v>low</v>
      </c>
      <c r="G1078" s="1">
        <v>6</v>
      </c>
      <c r="H1078" t="str" cm="1">
        <f t="array" ref="H1078">_xlfn.IFS(G1078&lt;=15,"Junior",G1078&lt;=30,"Mid level",G1078&gt;30,"Lead")</f>
        <v>Junior</v>
      </c>
    </row>
    <row r="1079" spans="1:8" x14ac:dyDescent="0.3">
      <c r="A1079" s="7">
        <v>7756</v>
      </c>
      <c r="B1079" t="str" cm="1">
        <f t="array" ref="B1079">_xlfn.IFS(A1079&lt;=8000,"low",A1079&lt;15000,"medium",A1079&gt;=15000,"high")</f>
        <v>low</v>
      </c>
      <c r="G1079" s="2">
        <v>5</v>
      </c>
      <c r="H1079" t="str" cm="1">
        <f t="array" ref="H1079">_xlfn.IFS(G1079&lt;=15,"Junior",G1079&lt;=30,"Mid level",G1079&gt;30,"Lead")</f>
        <v>Junior</v>
      </c>
    </row>
    <row r="1080" spans="1:8" x14ac:dyDescent="0.3">
      <c r="A1080" s="8">
        <v>7756</v>
      </c>
      <c r="B1080" t="str" cm="1">
        <f t="array" ref="B1080">_xlfn.IFS(A1080&lt;=8000,"low",A1080&lt;15000,"medium",A1080&gt;=15000,"high")</f>
        <v>low</v>
      </c>
      <c r="G1080" s="1">
        <v>11</v>
      </c>
      <c r="H1080" t="str" cm="1">
        <f t="array" ref="H1080">_xlfn.IFS(G1080&lt;=15,"Junior",G1080&lt;=30,"Mid level",G1080&gt;30,"Lead")</f>
        <v>Junior</v>
      </c>
    </row>
    <row r="1081" spans="1:8" x14ac:dyDescent="0.3">
      <c r="A1081" s="7">
        <v>7779</v>
      </c>
      <c r="B1081" t="str" cm="1">
        <f t="array" ref="B1081">_xlfn.IFS(A1081&lt;=8000,"low",A1081&lt;15000,"medium",A1081&gt;=15000,"high")</f>
        <v>low</v>
      </c>
      <c r="G1081" s="2">
        <v>10</v>
      </c>
      <c r="H1081" t="str" cm="1">
        <f t="array" ref="H1081">_xlfn.IFS(G1081&lt;=15,"Junior",G1081&lt;=30,"Mid level",G1081&gt;30,"Lead")</f>
        <v>Junior</v>
      </c>
    </row>
    <row r="1082" spans="1:8" x14ac:dyDescent="0.3">
      <c r="A1082" s="8">
        <v>7823</v>
      </c>
      <c r="B1082" t="str" cm="1">
        <f t="array" ref="B1082">_xlfn.IFS(A1082&lt;=8000,"low",A1082&lt;15000,"medium",A1082&gt;=15000,"high")</f>
        <v>low</v>
      </c>
      <c r="G1082" s="1">
        <v>10</v>
      </c>
      <c r="H1082" t="str" cm="1">
        <f t="array" ref="H1082">_xlfn.IFS(G1082&lt;=15,"Junior",G1082&lt;=30,"Mid level",G1082&gt;30,"Lead")</f>
        <v>Junior</v>
      </c>
    </row>
    <row r="1083" spans="1:8" x14ac:dyDescent="0.3">
      <c r="A1083" s="7">
        <v>7847</v>
      </c>
      <c r="B1083" t="str" cm="1">
        <f t="array" ref="B1083">_xlfn.IFS(A1083&lt;=8000,"low",A1083&lt;15000,"medium",A1083&gt;=15000,"high")</f>
        <v>low</v>
      </c>
      <c r="G1083" s="2">
        <v>1</v>
      </c>
      <c r="H1083" t="str" cm="1">
        <f t="array" ref="H1083">_xlfn.IFS(G1083&lt;=15,"Junior",G1083&lt;=30,"Mid level",G1083&gt;30,"Lead")</f>
        <v>Junior</v>
      </c>
    </row>
    <row r="1084" spans="1:8" x14ac:dyDescent="0.3">
      <c r="A1084" s="8">
        <v>7861</v>
      </c>
      <c r="B1084" t="str" cm="1">
        <f t="array" ref="B1084">_xlfn.IFS(A1084&lt;=8000,"low",A1084&lt;15000,"medium",A1084&gt;=15000,"high")</f>
        <v>low</v>
      </c>
      <c r="G1084" s="1">
        <v>8</v>
      </c>
      <c r="H1084" t="str" cm="1">
        <f t="array" ref="H1084">_xlfn.IFS(G1084&lt;=15,"Junior",G1084&lt;=30,"Mid level",G1084&gt;30,"Lead")</f>
        <v>Junior</v>
      </c>
    </row>
    <row r="1085" spans="1:8" x14ac:dyDescent="0.3">
      <c r="A1085" s="7">
        <v>7879</v>
      </c>
      <c r="B1085" t="str" cm="1">
        <f t="array" ref="B1085">_xlfn.IFS(A1085&lt;=8000,"low",A1085&lt;15000,"medium",A1085&gt;=15000,"high")</f>
        <v>low</v>
      </c>
      <c r="G1085" s="2">
        <v>8</v>
      </c>
      <c r="H1085" t="str" cm="1">
        <f t="array" ref="H1085">_xlfn.IFS(G1085&lt;=15,"Junior",G1085&lt;=30,"Mid level",G1085&gt;30,"Lead")</f>
        <v>Junior</v>
      </c>
    </row>
    <row r="1086" spans="1:8" x14ac:dyDescent="0.3">
      <c r="A1086" s="8">
        <v>7880</v>
      </c>
      <c r="B1086" t="str" cm="1">
        <f t="array" ref="B1086">_xlfn.IFS(A1086&lt;=8000,"low",A1086&lt;15000,"medium",A1086&gt;=15000,"high")</f>
        <v>low</v>
      </c>
      <c r="G1086" s="1">
        <v>10</v>
      </c>
      <c r="H1086" t="str" cm="1">
        <f t="array" ref="H1086">_xlfn.IFS(G1086&lt;=15,"Junior",G1086&lt;=30,"Mid level",G1086&gt;30,"Lead")</f>
        <v>Junior</v>
      </c>
    </row>
    <row r="1087" spans="1:8" x14ac:dyDescent="0.3">
      <c r="A1087" s="7">
        <v>7898</v>
      </c>
      <c r="B1087" t="str" cm="1">
        <f t="array" ref="B1087">_xlfn.IFS(A1087&lt;=8000,"low",A1087&lt;15000,"medium",A1087&gt;=15000,"high")</f>
        <v>low</v>
      </c>
      <c r="G1087" s="2">
        <v>11</v>
      </c>
      <c r="H1087" t="str" cm="1">
        <f t="array" ref="H1087">_xlfn.IFS(G1087&lt;=15,"Junior",G1087&lt;=30,"Mid level",G1087&gt;30,"Lead")</f>
        <v>Junior</v>
      </c>
    </row>
    <row r="1088" spans="1:8" x14ac:dyDescent="0.3">
      <c r="A1088" s="8">
        <v>7918</v>
      </c>
      <c r="B1088" t="str" cm="1">
        <f t="array" ref="B1088">_xlfn.IFS(A1088&lt;=8000,"low",A1088&lt;15000,"medium",A1088&gt;=15000,"high")</f>
        <v>low</v>
      </c>
      <c r="G1088" s="1">
        <v>4</v>
      </c>
      <c r="H1088" t="str" cm="1">
        <f t="array" ref="H1088">_xlfn.IFS(G1088&lt;=15,"Junior",G1088&lt;=30,"Mid level",G1088&gt;30,"Lead")</f>
        <v>Junior</v>
      </c>
    </row>
    <row r="1089" spans="1:8" x14ac:dyDescent="0.3">
      <c r="A1089" s="7">
        <v>7945</v>
      </c>
      <c r="B1089" t="str" cm="1">
        <f t="array" ref="B1089">_xlfn.IFS(A1089&lt;=8000,"low",A1089&lt;15000,"medium",A1089&gt;=15000,"high")</f>
        <v>low</v>
      </c>
      <c r="G1089" s="2">
        <v>5</v>
      </c>
      <c r="H1089" t="str" cm="1">
        <f t="array" ref="H1089">_xlfn.IFS(G1089&lt;=15,"Junior",G1089&lt;=30,"Mid level",G1089&gt;30,"Lead")</f>
        <v>Junior</v>
      </c>
    </row>
    <row r="1090" spans="1:8" x14ac:dyDescent="0.3">
      <c r="A1090" s="8">
        <v>7969</v>
      </c>
      <c r="B1090" t="str" cm="1">
        <f t="array" ref="B1090">_xlfn.IFS(A1090&lt;=8000,"low",A1090&lt;15000,"medium",A1090&gt;=15000,"high")</f>
        <v>low</v>
      </c>
      <c r="G1090" s="1">
        <v>10</v>
      </c>
      <c r="H1090" t="str" cm="1">
        <f t="array" ref="H1090">_xlfn.IFS(G1090&lt;=15,"Junior",G1090&lt;=30,"Mid level",G1090&gt;30,"Lead")</f>
        <v>Junior</v>
      </c>
    </row>
    <row r="1091" spans="1:8" x14ac:dyDescent="0.3">
      <c r="A1091" s="7">
        <v>7978</v>
      </c>
      <c r="B1091" t="str" cm="1">
        <f t="array" ref="B1091">_xlfn.IFS(A1091&lt;=8000,"low",A1091&lt;15000,"medium",A1091&gt;=15000,"high")</f>
        <v>low</v>
      </c>
      <c r="G1091" s="2">
        <v>10</v>
      </c>
      <c r="H1091" t="str" cm="1">
        <f t="array" ref="H1091">_xlfn.IFS(G1091&lt;=15,"Junior",G1091&lt;=30,"Mid level",G1091&gt;30,"Lead")</f>
        <v>Junior</v>
      </c>
    </row>
    <row r="1092" spans="1:8" x14ac:dyDescent="0.3">
      <c r="A1092" s="8">
        <v>7988</v>
      </c>
      <c r="B1092" t="str" cm="1">
        <f t="array" ref="B1092">_xlfn.IFS(A1092&lt;=8000,"low",A1092&lt;15000,"medium",A1092&gt;=15000,"high")</f>
        <v>low</v>
      </c>
      <c r="G1092" s="1">
        <v>2</v>
      </c>
      <c r="H1092" t="str" cm="1">
        <f t="array" ref="H1092">_xlfn.IFS(G1092&lt;=15,"Junior",G1092&lt;=30,"Mid level",G1092&gt;30,"Lead")</f>
        <v>Junior</v>
      </c>
    </row>
    <row r="1093" spans="1:8" x14ac:dyDescent="0.3">
      <c r="A1093" s="7">
        <v>7991</v>
      </c>
      <c r="B1093" t="str" cm="1">
        <f t="array" ref="B1093">_xlfn.IFS(A1093&lt;=8000,"low",A1093&lt;15000,"medium",A1093&gt;=15000,"high")</f>
        <v>low</v>
      </c>
      <c r="G1093" s="2">
        <v>3</v>
      </c>
      <c r="H1093" t="str" cm="1">
        <f t="array" ref="H1093">_xlfn.IFS(G1093&lt;=15,"Junior",G1093&lt;=30,"Mid level",G1093&gt;30,"Lead")</f>
        <v>Junior</v>
      </c>
    </row>
    <row r="1094" spans="1:8" x14ac:dyDescent="0.3">
      <c r="A1094" s="8">
        <v>8008</v>
      </c>
      <c r="B1094" t="str" cm="1">
        <f t="array" ref="B1094">_xlfn.IFS(A1094&lt;=8000,"low",A1094&lt;15000,"medium",A1094&gt;=15000,"high")</f>
        <v>medium</v>
      </c>
      <c r="G1094" s="1">
        <v>11</v>
      </c>
      <c r="H1094" t="str" cm="1">
        <f t="array" ref="H1094">_xlfn.IFS(G1094&lt;=15,"Junior",G1094&lt;=30,"Mid level",G1094&gt;30,"Lead")</f>
        <v>Junior</v>
      </c>
    </row>
    <row r="1095" spans="1:8" x14ac:dyDescent="0.3">
      <c r="A1095" s="7">
        <v>8020</v>
      </c>
      <c r="B1095" t="str" cm="1">
        <f t="array" ref="B1095">_xlfn.IFS(A1095&lt;=8000,"low",A1095&lt;15000,"medium",A1095&gt;=15000,"high")</f>
        <v>medium</v>
      </c>
      <c r="G1095" s="2">
        <v>16</v>
      </c>
      <c r="H1095" t="str" cm="1">
        <f t="array" ref="H1095">_xlfn.IFS(G1095&lt;=15,"Junior",G1095&lt;=30,"Mid level",G1095&gt;30,"Lead")</f>
        <v>Mid level</v>
      </c>
    </row>
    <row r="1096" spans="1:8" x14ac:dyDescent="0.3">
      <c r="A1096" s="8">
        <v>8095</v>
      </c>
      <c r="B1096" t="str" cm="1">
        <f t="array" ref="B1096">_xlfn.IFS(A1096&lt;=8000,"low",A1096&lt;15000,"medium",A1096&gt;=15000,"high")</f>
        <v>medium</v>
      </c>
      <c r="G1096" s="1">
        <v>4</v>
      </c>
      <c r="H1096" t="str" cm="1">
        <f t="array" ref="H1096">_xlfn.IFS(G1096&lt;=15,"Junior",G1096&lt;=30,"Mid level",G1096&gt;30,"Lead")</f>
        <v>Junior</v>
      </c>
    </row>
    <row r="1097" spans="1:8" x14ac:dyDescent="0.3">
      <c r="A1097" s="7">
        <v>8103</v>
      </c>
      <c r="B1097" t="str" cm="1">
        <f t="array" ref="B1097">_xlfn.IFS(A1097&lt;=8000,"low",A1097&lt;15000,"medium",A1097&gt;=15000,"high")</f>
        <v>medium</v>
      </c>
      <c r="G1097" s="2">
        <v>2</v>
      </c>
      <c r="H1097" t="str" cm="1">
        <f t="array" ref="H1097">_xlfn.IFS(G1097&lt;=15,"Junior",G1097&lt;=30,"Mid level",G1097&gt;30,"Lead")</f>
        <v>Junior</v>
      </c>
    </row>
    <row r="1098" spans="1:8" x14ac:dyDescent="0.3">
      <c r="A1098" s="8">
        <v>8120</v>
      </c>
      <c r="B1098" t="str" cm="1">
        <f t="array" ref="B1098">_xlfn.IFS(A1098&lt;=8000,"low",A1098&lt;15000,"medium",A1098&gt;=15000,"high")</f>
        <v>medium</v>
      </c>
      <c r="G1098" s="1">
        <v>1</v>
      </c>
      <c r="H1098" t="str" cm="1">
        <f t="array" ref="H1098">_xlfn.IFS(G1098&lt;=15,"Junior",G1098&lt;=30,"Mid level",G1098&gt;30,"Lead")</f>
        <v>Junior</v>
      </c>
    </row>
    <row r="1099" spans="1:8" x14ac:dyDescent="0.3">
      <c r="A1099" s="7">
        <v>8161</v>
      </c>
      <c r="B1099" t="str" cm="1">
        <f t="array" ref="B1099">_xlfn.IFS(A1099&lt;=8000,"low",A1099&lt;15000,"medium",A1099&gt;=15000,"high")</f>
        <v>medium</v>
      </c>
      <c r="G1099" s="2">
        <v>9</v>
      </c>
      <c r="H1099" t="str" cm="1">
        <f t="array" ref="H1099">_xlfn.IFS(G1099&lt;=15,"Junior",G1099&lt;=30,"Mid level",G1099&gt;30,"Lead")</f>
        <v>Junior</v>
      </c>
    </row>
    <row r="1100" spans="1:8" x14ac:dyDescent="0.3">
      <c r="A1100" s="8">
        <v>8189</v>
      </c>
      <c r="B1100" t="str" cm="1">
        <f t="array" ref="B1100">_xlfn.IFS(A1100&lt;=8000,"low",A1100&lt;15000,"medium",A1100&gt;=15000,"high")</f>
        <v>medium</v>
      </c>
      <c r="G1100" s="1">
        <v>5</v>
      </c>
      <c r="H1100" t="str" cm="1">
        <f t="array" ref="H1100">_xlfn.IFS(G1100&lt;=15,"Junior",G1100&lt;=30,"Mid level",G1100&gt;30,"Lead")</f>
        <v>Junior</v>
      </c>
    </row>
    <row r="1101" spans="1:8" x14ac:dyDescent="0.3">
      <c r="A1101" s="7">
        <v>8224</v>
      </c>
      <c r="B1101" t="str" cm="1">
        <f t="array" ref="B1101">_xlfn.IFS(A1101&lt;=8000,"low",A1101&lt;15000,"medium",A1101&gt;=15000,"high")</f>
        <v>medium</v>
      </c>
      <c r="G1101" s="2">
        <v>7</v>
      </c>
      <c r="H1101" t="str" cm="1">
        <f t="array" ref="H1101">_xlfn.IFS(G1101&lt;=15,"Junior",G1101&lt;=30,"Mid level",G1101&gt;30,"Lead")</f>
        <v>Junior</v>
      </c>
    </row>
    <row r="1102" spans="1:8" x14ac:dyDescent="0.3">
      <c r="A1102" s="8">
        <v>8237</v>
      </c>
      <c r="B1102" t="str" cm="1">
        <f t="array" ref="B1102">_xlfn.IFS(A1102&lt;=8000,"low",A1102&lt;15000,"medium",A1102&gt;=15000,"high")</f>
        <v>medium</v>
      </c>
      <c r="G1102" s="1">
        <v>7</v>
      </c>
      <c r="H1102" t="str" cm="1">
        <f t="array" ref="H1102">_xlfn.IFS(G1102&lt;=15,"Junior",G1102&lt;=30,"Mid level",G1102&gt;30,"Lead")</f>
        <v>Junior</v>
      </c>
    </row>
    <row r="1103" spans="1:8" x14ac:dyDescent="0.3">
      <c r="A1103" s="7">
        <v>8268</v>
      </c>
      <c r="B1103" t="str" cm="1">
        <f t="array" ref="B1103">_xlfn.IFS(A1103&lt;=8000,"low",A1103&lt;15000,"medium",A1103&gt;=15000,"high")</f>
        <v>medium</v>
      </c>
      <c r="G1103" s="2">
        <v>12</v>
      </c>
      <c r="H1103" t="str" cm="1">
        <f t="array" ref="H1103">_xlfn.IFS(G1103&lt;=15,"Junior",G1103&lt;=30,"Mid level",G1103&gt;30,"Lead")</f>
        <v>Junior</v>
      </c>
    </row>
    <row r="1104" spans="1:8" x14ac:dyDescent="0.3">
      <c r="A1104" s="8">
        <v>8321</v>
      </c>
      <c r="B1104" t="str" cm="1">
        <f t="array" ref="B1104">_xlfn.IFS(A1104&lt;=8000,"low",A1104&lt;15000,"medium",A1104&gt;=15000,"high")</f>
        <v>medium</v>
      </c>
      <c r="G1104" s="1">
        <v>5</v>
      </c>
      <c r="H1104" t="str" cm="1">
        <f t="array" ref="H1104">_xlfn.IFS(G1104&lt;=15,"Junior",G1104&lt;=30,"Mid level",G1104&gt;30,"Lead")</f>
        <v>Junior</v>
      </c>
    </row>
    <row r="1105" spans="1:8" x14ac:dyDescent="0.3">
      <c r="A1105" s="7">
        <v>8346</v>
      </c>
      <c r="B1105" t="str" cm="1">
        <f t="array" ref="B1105">_xlfn.IFS(A1105&lt;=8000,"low",A1105&lt;15000,"medium",A1105&gt;=15000,"high")</f>
        <v>medium</v>
      </c>
      <c r="G1105" s="2">
        <v>2</v>
      </c>
      <c r="H1105" t="str" cm="1">
        <f t="array" ref="H1105">_xlfn.IFS(G1105&lt;=15,"Junior",G1105&lt;=30,"Mid level",G1105&gt;30,"Lead")</f>
        <v>Junior</v>
      </c>
    </row>
    <row r="1106" spans="1:8" x14ac:dyDescent="0.3">
      <c r="A1106" s="8">
        <v>8376</v>
      </c>
      <c r="B1106" t="str" cm="1">
        <f t="array" ref="B1106">_xlfn.IFS(A1106&lt;=8000,"low",A1106&lt;15000,"medium",A1106&gt;=15000,"high")</f>
        <v>medium</v>
      </c>
      <c r="G1106" s="1">
        <v>9</v>
      </c>
      <c r="H1106" t="str" cm="1">
        <f t="array" ref="H1106">_xlfn.IFS(G1106&lt;=15,"Junior",G1106&lt;=30,"Mid level",G1106&gt;30,"Lead")</f>
        <v>Junior</v>
      </c>
    </row>
    <row r="1107" spans="1:8" x14ac:dyDescent="0.3">
      <c r="A1107" s="7">
        <v>8380</v>
      </c>
      <c r="B1107" t="str" cm="1">
        <f t="array" ref="B1107">_xlfn.IFS(A1107&lt;=8000,"low",A1107&lt;15000,"medium",A1107&gt;=15000,"high")</f>
        <v>medium</v>
      </c>
      <c r="G1107" s="2">
        <v>14</v>
      </c>
      <c r="H1107" t="str" cm="1">
        <f t="array" ref="H1107">_xlfn.IFS(G1107&lt;=15,"Junior",G1107&lt;=30,"Mid level",G1107&gt;30,"Lead")</f>
        <v>Junior</v>
      </c>
    </row>
    <row r="1108" spans="1:8" x14ac:dyDescent="0.3">
      <c r="A1108" s="8">
        <v>8381</v>
      </c>
      <c r="B1108" t="str" cm="1">
        <f t="array" ref="B1108">_xlfn.IFS(A1108&lt;=8000,"low",A1108&lt;15000,"medium",A1108&gt;=15000,"high")</f>
        <v>medium</v>
      </c>
      <c r="G1108" s="1">
        <v>10</v>
      </c>
      <c r="H1108" t="str" cm="1">
        <f t="array" ref="H1108">_xlfn.IFS(G1108&lt;=15,"Junior",G1108&lt;=30,"Mid level",G1108&gt;30,"Lead")</f>
        <v>Junior</v>
      </c>
    </row>
    <row r="1109" spans="1:8" x14ac:dyDescent="0.3">
      <c r="A1109" s="7">
        <v>8392</v>
      </c>
      <c r="B1109" t="str" cm="1">
        <f t="array" ref="B1109">_xlfn.IFS(A1109&lt;=8000,"low",A1109&lt;15000,"medium",A1109&gt;=15000,"high")</f>
        <v>medium</v>
      </c>
      <c r="G1109" s="2">
        <v>7</v>
      </c>
      <c r="H1109" t="str" cm="1">
        <f t="array" ref="H1109">_xlfn.IFS(G1109&lt;=15,"Junior",G1109&lt;=30,"Mid level",G1109&gt;30,"Lead")</f>
        <v>Junior</v>
      </c>
    </row>
    <row r="1110" spans="1:8" x14ac:dyDescent="0.3">
      <c r="A1110" s="8">
        <v>8396</v>
      </c>
      <c r="B1110" t="str" cm="1">
        <f t="array" ref="B1110">_xlfn.IFS(A1110&lt;=8000,"low",A1110&lt;15000,"medium",A1110&gt;=15000,"high")</f>
        <v>medium</v>
      </c>
      <c r="G1110" s="1">
        <v>9</v>
      </c>
      <c r="H1110" t="str" cm="1">
        <f t="array" ref="H1110">_xlfn.IFS(G1110&lt;=15,"Junior",G1110&lt;=30,"Mid level",G1110&gt;30,"Lead")</f>
        <v>Junior</v>
      </c>
    </row>
    <row r="1111" spans="1:8" x14ac:dyDescent="0.3">
      <c r="A1111" s="7">
        <v>8412</v>
      </c>
      <c r="B1111" t="str" cm="1">
        <f t="array" ref="B1111">_xlfn.IFS(A1111&lt;=8000,"low",A1111&lt;15000,"medium",A1111&gt;=15000,"high")</f>
        <v>medium</v>
      </c>
      <c r="G1111" s="2">
        <v>8</v>
      </c>
      <c r="H1111" t="str" cm="1">
        <f t="array" ref="H1111">_xlfn.IFS(G1111&lt;=15,"Junior",G1111&lt;=30,"Mid level",G1111&gt;30,"Lead")</f>
        <v>Junior</v>
      </c>
    </row>
    <row r="1112" spans="1:8" x14ac:dyDescent="0.3">
      <c r="A1112" s="8">
        <v>8446</v>
      </c>
      <c r="B1112" t="str" cm="1">
        <f t="array" ref="B1112">_xlfn.IFS(A1112&lt;=8000,"low",A1112&lt;15000,"medium",A1112&gt;=15000,"high")</f>
        <v>medium</v>
      </c>
      <c r="G1112" s="1">
        <v>5</v>
      </c>
      <c r="H1112" t="str" cm="1">
        <f t="array" ref="H1112">_xlfn.IFS(G1112&lt;=15,"Junior",G1112&lt;=30,"Mid level",G1112&gt;30,"Lead")</f>
        <v>Junior</v>
      </c>
    </row>
    <row r="1113" spans="1:8" x14ac:dyDescent="0.3">
      <c r="A1113" s="7">
        <v>8463</v>
      </c>
      <c r="B1113" t="str" cm="1">
        <f t="array" ref="B1113">_xlfn.IFS(A1113&lt;=8000,"low",A1113&lt;15000,"medium",A1113&gt;=15000,"high")</f>
        <v>medium</v>
      </c>
      <c r="G1113" s="2">
        <v>11</v>
      </c>
      <c r="H1113" t="str" cm="1">
        <f t="array" ref="H1113">_xlfn.IFS(G1113&lt;=15,"Junior",G1113&lt;=30,"Mid level",G1113&gt;30,"Lead")</f>
        <v>Junior</v>
      </c>
    </row>
    <row r="1114" spans="1:8" x14ac:dyDescent="0.3">
      <c r="A1114" s="8">
        <v>8474</v>
      </c>
      <c r="B1114" t="str" cm="1">
        <f t="array" ref="B1114">_xlfn.IFS(A1114&lt;=8000,"low",A1114&lt;15000,"medium",A1114&gt;=15000,"high")</f>
        <v>medium</v>
      </c>
      <c r="G1114" s="1">
        <v>9</v>
      </c>
      <c r="H1114" t="str" cm="1">
        <f t="array" ref="H1114">_xlfn.IFS(G1114&lt;=15,"Junior",G1114&lt;=30,"Mid level",G1114&gt;30,"Lead")</f>
        <v>Junior</v>
      </c>
    </row>
    <row r="1115" spans="1:8" x14ac:dyDescent="0.3">
      <c r="A1115" s="7">
        <v>8500</v>
      </c>
      <c r="B1115" t="str" cm="1">
        <f t="array" ref="B1115">_xlfn.IFS(A1115&lt;=8000,"low",A1115&lt;15000,"medium",A1115&gt;=15000,"high")</f>
        <v>medium</v>
      </c>
      <c r="G1115" s="2">
        <v>0</v>
      </c>
      <c r="H1115" t="str" cm="1">
        <f t="array" ref="H1115">_xlfn.IFS(G1115&lt;=15,"Junior",G1115&lt;=30,"Mid level",G1115&gt;30,"Lead")</f>
        <v>Junior</v>
      </c>
    </row>
    <row r="1116" spans="1:8" x14ac:dyDescent="0.3">
      <c r="A1116" s="8">
        <v>8564</v>
      </c>
      <c r="B1116" t="str" cm="1">
        <f t="array" ref="B1116">_xlfn.IFS(A1116&lt;=8000,"low",A1116&lt;15000,"medium",A1116&gt;=15000,"high")</f>
        <v>medium</v>
      </c>
      <c r="G1116" s="1">
        <v>9</v>
      </c>
      <c r="H1116" t="str" cm="1">
        <f t="array" ref="H1116">_xlfn.IFS(G1116&lt;=15,"Junior",G1116&lt;=30,"Mid level",G1116&gt;30,"Lead")</f>
        <v>Junior</v>
      </c>
    </row>
    <row r="1117" spans="1:8" x14ac:dyDescent="0.3">
      <c r="A1117" s="7">
        <v>8578</v>
      </c>
      <c r="B1117" t="str" cm="1">
        <f t="array" ref="B1117">_xlfn.IFS(A1117&lt;=8000,"low",A1117&lt;15000,"medium",A1117&gt;=15000,"high")</f>
        <v>medium</v>
      </c>
      <c r="G1117" s="2">
        <v>11</v>
      </c>
      <c r="H1117" t="str" cm="1">
        <f t="array" ref="H1117">_xlfn.IFS(G1117&lt;=15,"Junior",G1117&lt;=30,"Mid level",G1117&gt;30,"Lead")</f>
        <v>Junior</v>
      </c>
    </row>
    <row r="1118" spans="1:8" x14ac:dyDescent="0.3">
      <c r="A1118" s="8">
        <v>8606</v>
      </c>
      <c r="B1118" t="str" cm="1">
        <f t="array" ref="B1118">_xlfn.IFS(A1118&lt;=8000,"low",A1118&lt;15000,"medium",A1118&gt;=15000,"high")</f>
        <v>medium</v>
      </c>
      <c r="G1118" s="1">
        <v>10</v>
      </c>
      <c r="H1118" t="str" cm="1">
        <f t="array" ref="H1118">_xlfn.IFS(G1118&lt;=15,"Junior",G1118&lt;=30,"Mid level",G1118&gt;30,"Lead")</f>
        <v>Junior</v>
      </c>
    </row>
    <row r="1119" spans="1:8" x14ac:dyDescent="0.3">
      <c r="A1119" s="7">
        <v>8620</v>
      </c>
      <c r="B1119" t="str" cm="1">
        <f t="array" ref="B1119">_xlfn.IFS(A1119&lt;=8000,"low",A1119&lt;15000,"medium",A1119&gt;=15000,"high")</f>
        <v>medium</v>
      </c>
      <c r="G1119" s="2">
        <v>8</v>
      </c>
      <c r="H1119" t="str" cm="1">
        <f t="array" ref="H1119">_xlfn.IFS(G1119&lt;=15,"Junior",G1119&lt;=30,"Mid level",G1119&gt;30,"Lead")</f>
        <v>Junior</v>
      </c>
    </row>
    <row r="1120" spans="1:8" x14ac:dyDescent="0.3">
      <c r="A1120" s="8">
        <v>8621</v>
      </c>
      <c r="B1120" t="str" cm="1">
        <f t="array" ref="B1120">_xlfn.IFS(A1120&lt;=8000,"low",A1120&lt;15000,"medium",A1120&gt;=15000,"high")</f>
        <v>medium</v>
      </c>
      <c r="G1120" s="1">
        <v>8</v>
      </c>
      <c r="H1120" t="str" cm="1">
        <f t="array" ref="H1120">_xlfn.IFS(G1120&lt;=15,"Junior",G1120&lt;=30,"Mid level",G1120&gt;30,"Lead")</f>
        <v>Junior</v>
      </c>
    </row>
    <row r="1121" spans="1:8" x14ac:dyDescent="0.3">
      <c r="A1121" s="7">
        <v>8628</v>
      </c>
      <c r="B1121" t="str" cm="1">
        <f t="array" ref="B1121">_xlfn.IFS(A1121&lt;=8000,"low",A1121&lt;15000,"medium",A1121&gt;=15000,"high")</f>
        <v>medium</v>
      </c>
      <c r="G1121" s="2">
        <v>17</v>
      </c>
      <c r="H1121" t="str" cm="1">
        <f t="array" ref="H1121">_xlfn.IFS(G1121&lt;=15,"Junior",G1121&lt;=30,"Mid level",G1121&gt;30,"Lead")</f>
        <v>Mid level</v>
      </c>
    </row>
    <row r="1122" spans="1:8" x14ac:dyDescent="0.3">
      <c r="A1122" s="8">
        <v>8633</v>
      </c>
      <c r="B1122" t="str" cm="1">
        <f t="array" ref="B1122">_xlfn.IFS(A1122&lt;=8000,"low",A1122&lt;15000,"medium",A1122&gt;=15000,"high")</f>
        <v>medium</v>
      </c>
      <c r="G1122" s="1">
        <v>2</v>
      </c>
      <c r="H1122" t="str" cm="1">
        <f t="array" ref="H1122">_xlfn.IFS(G1122&lt;=15,"Junior",G1122&lt;=30,"Mid level",G1122&gt;30,"Lead")</f>
        <v>Junior</v>
      </c>
    </row>
    <row r="1123" spans="1:8" x14ac:dyDescent="0.3">
      <c r="A1123" s="7">
        <v>8639</v>
      </c>
      <c r="B1123" t="str" cm="1">
        <f t="array" ref="B1123">_xlfn.IFS(A1123&lt;=8000,"low",A1123&lt;15000,"medium",A1123&gt;=15000,"high")</f>
        <v>medium</v>
      </c>
      <c r="G1123" s="2">
        <v>8</v>
      </c>
      <c r="H1123" t="str" cm="1">
        <f t="array" ref="H1123">_xlfn.IFS(G1123&lt;=15,"Junior",G1123&lt;=30,"Mid level",G1123&gt;30,"Lead")</f>
        <v>Junior</v>
      </c>
    </row>
    <row r="1124" spans="1:8" x14ac:dyDescent="0.3">
      <c r="A1124" s="8">
        <v>8686</v>
      </c>
      <c r="B1124" t="str" cm="1">
        <f t="array" ref="B1124">_xlfn.IFS(A1124&lt;=8000,"low",A1124&lt;15000,"medium",A1124&gt;=15000,"high")</f>
        <v>medium</v>
      </c>
      <c r="G1124" s="1">
        <v>10</v>
      </c>
      <c r="H1124" t="str" cm="1">
        <f t="array" ref="H1124">_xlfn.IFS(G1124&lt;=15,"Junior",G1124&lt;=30,"Mid level",G1124&gt;30,"Lead")</f>
        <v>Junior</v>
      </c>
    </row>
    <row r="1125" spans="1:8" x14ac:dyDescent="0.3">
      <c r="A1125" s="7">
        <v>8722</v>
      </c>
      <c r="B1125" t="str" cm="1">
        <f t="array" ref="B1125">_xlfn.IFS(A1125&lt;=8000,"low",A1125&lt;15000,"medium",A1125&gt;=15000,"high")</f>
        <v>medium</v>
      </c>
      <c r="G1125" s="2">
        <v>9</v>
      </c>
      <c r="H1125" t="str" cm="1">
        <f t="array" ref="H1125">_xlfn.IFS(G1125&lt;=15,"Junior",G1125&lt;=30,"Mid level",G1125&gt;30,"Lead")</f>
        <v>Junior</v>
      </c>
    </row>
    <row r="1126" spans="1:8" x14ac:dyDescent="0.3">
      <c r="A1126" s="8">
        <v>8726</v>
      </c>
      <c r="B1126" t="str" cm="1">
        <f t="array" ref="B1126">_xlfn.IFS(A1126&lt;=8000,"low",A1126&lt;15000,"medium",A1126&gt;=15000,"high")</f>
        <v>medium</v>
      </c>
      <c r="G1126" s="1">
        <v>8</v>
      </c>
      <c r="H1126" t="str" cm="1">
        <f t="array" ref="H1126">_xlfn.IFS(G1126&lt;=15,"Junior",G1126&lt;=30,"Mid level",G1126&gt;30,"Lead")</f>
        <v>Junior</v>
      </c>
    </row>
    <row r="1127" spans="1:8" x14ac:dyDescent="0.3">
      <c r="A1127" s="7">
        <v>8740</v>
      </c>
      <c r="B1127" t="str" cm="1">
        <f t="array" ref="B1127">_xlfn.IFS(A1127&lt;=8000,"low",A1127&lt;15000,"medium",A1127&gt;=15000,"high")</f>
        <v>medium</v>
      </c>
      <c r="G1127" s="2">
        <v>10</v>
      </c>
      <c r="H1127" t="str" cm="1">
        <f t="array" ref="H1127">_xlfn.IFS(G1127&lt;=15,"Junior",G1127&lt;=30,"Mid level",G1127&gt;30,"Lead")</f>
        <v>Junior</v>
      </c>
    </row>
    <row r="1128" spans="1:8" x14ac:dyDescent="0.3">
      <c r="A1128" s="8">
        <v>8789</v>
      </c>
      <c r="B1128" t="str" cm="1">
        <f t="array" ref="B1128">_xlfn.IFS(A1128&lt;=8000,"low",A1128&lt;15000,"medium",A1128&gt;=15000,"high")</f>
        <v>medium</v>
      </c>
      <c r="G1128" s="1">
        <v>9</v>
      </c>
      <c r="H1128" t="str" cm="1">
        <f t="array" ref="H1128">_xlfn.IFS(G1128&lt;=15,"Junior",G1128&lt;=30,"Mid level",G1128&gt;30,"Lead")</f>
        <v>Junior</v>
      </c>
    </row>
    <row r="1129" spans="1:8" x14ac:dyDescent="0.3">
      <c r="A1129" s="7">
        <v>8793</v>
      </c>
      <c r="B1129" t="str" cm="1">
        <f t="array" ref="B1129">_xlfn.IFS(A1129&lt;=8000,"low",A1129&lt;15000,"medium",A1129&gt;=15000,"high")</f>
        <v>medium</v>
      </c>
      <c r="G1129" s="2">
        <v>19</v>
      </c>
      <c r="H1129" t="str" cm="1">
        <f t="array" ref="H1129">_xlfn.IFS(G1129&lt;=15,"Junior",G1129&lt;=30,"Mid level",G1129&gt;30,"Lead")</f>
        <v>Mid level</v>
      </c>
    </row>
    <row r="1130" spans="1:8" x14ac:dyDescent="0.3">
      <c r="A1130" s="8">
        <v>8823</v>
      </c>
      <c r="B1130" t="str" cm="1">
        <f t="array" ref="B1130">_xlfn.IFS(A1130&lt;=8000,"low",A1130&lt;15000,"medium",A1130&gt;=15000,"high")</f>
        <v>medium</v>
      </c>
      <c r="G1130" s="1">
        <v>9</v>
      </c>
      <c r="H1130" t="str" cm="1">
        <f t="array" ref="H1130">_xlfn.IFS(G1130&lt;=15,"Junior",G1130&lt;=30,"Mid level",G1130&gt;30,"Lead")</f>
        <v>Junior</v>
      </c>
    </row>
    <row r="1131" spans="1:8" x14ac:dyDescent="0.3">
      <c r="A1131" s="7">
        <v>8834</v>
      </c>
      <c r="B1131" t="str" cm="1">
        <f t="array" ref="B1131">_xlfn.IFS(A1131&lt;=8000,"low",A1131&lt;15000,"medium",A1131&gt;=15000,"high")</f>
        <v>medium</v>
      </c>
      <c r="G1131" s="2">
        <v>9</v>
      </c>
      <c r="H1131" t="str" cm="1">
        <f t="array" ref="H1131">_xlfn.IFS(G1131&lt;=15,"Junior",G1131&lt;=30,"Mid level",G1131&gt;30,"Lead")</f>
        <v>Junior</v>
      </c>
    </row>
    <row r="1132" spans="1:8" x14ac:dyDescent="0.3">
      <c r="A1132" s="8">
        <v>8837</v>
      </c>
      <c r="B1132" t="str" cm="1">
        <f t="array" ref="B1132">_xlfn.IFS(A1132&lt;=8000,"low",A1132&lt;15000,"medium",A1132&gt;=15000,"high")</f>
        <v>medium</v>
      </c>
      <c r="G1132" s="1">
        <v>3</v>
      </c>
      <c r="H1132" t="str" cm="1">
        <f t="array" ref="H1132">_xlfn.IFS(G1132&lt;=15,"Junior",G1132&lt;=30,"Mid level",G1132&gt;30,"Lead")</f>
        <v>Junior</v>
      </c>
    </row>
    <row r="1133" spans="1:8" x14ac:dyDescent="0.3">
      <c r="A1133" s="7">
        <v>8847</v>
      </c>
      <c r="B1133" t="str" cm="1">
        <f t="array" ref="B1133">_xlfn.IFS(A1133&lt;=8000,"low",A1133&lt;15000,"medium",A1133&gt;=15000,"high")</f>
        <v>medium</v>
      </c>
      <c r="G1133" s="2">
        <v>6</v>
      </c>
      <c r="H1133" t="str" cm="1">
        <f t="array" ref="H1133">_xlfn.IFS(G1133&lt;=15,"Junior",G1133&lt;=30,"Mid level",G1133&gt;30,"Lead")</f>
        <v>Junior</v>
      </c>
    </row>
    <row r="1134" spans="1:8" x14ac:dyDescent="0.3">
      <c r="A1134" s="8">
        <v>8853</v>
      </c>
      <c r="B1134" t="str" cm="1">
        <f t="array" ref="B1134">_xlfn.IFS(A1134&lt;=8000,"low",A1134&lt;15000,"medium",A1134&gt;=15000,"high")</f>
        <v>medium</v>
      </c>
      <c r="G1134" s="1">
        <v>14</v>
      </c>
      <c r="H1134" t="str" cm="1">
        <f t="array" ref="H1134">_xlfn.IFS(G1134&lt;=15,"Junior",G1134&lt;=30,"Mid level",G1134&gt;30,"Lead")</f>
        <v>Junior</v>
      </c>
    </row>
    <row r="1135" spans="1:8" x14ac:dyDescent="0.3">
      <c r="A1135" s="7">
        <v>8858</v>
      </c>
      <c r="B1135" t="str" cm="1">
        <f t="array" ref="B1135">_xlfn.IFS(A1135&lt;=8000,"low",A1135&lt;15000,"medium",A1135&gt;=15000,"high")</f>
        <v>medium</v>
      </c>
      <c r="G1135" s="2">
        <v>19</v>
      </c>
      <c r="H1135" t="str" cm="1">
        <f t="array" ref="H1135">_xlfn.IFS(G1135&lt;=15,"Junior",G1135&lt;=30,"Mid level",G1135&gt;30,"Lead")</f>
        <v>Mid level</v>
      </c>
    </row>
    <row r="1136" spans="1:8" x14ac:dyDescent="0.3">
      <c r="A1136" s="8">
        <v>8865</v>
      </c>
      <c r="B1136" t="str" cm="1">
        <f t="array" ref="B1136">_xlfn.IFS(A1136&lt;=8000,"low",A1136&lt;15000,"medium",A1136&gt;=15000,"high")</f>
        <v>medium</v>
      </c>
      <c r="G1136" s="1">
        <v>9</v>
      </c>
      <c r="H1136" t="str" cm="1">
        <f t="array" ref="H1136">_xlfn.IFS(G1136&lt;=15,"Junior",G1136&lt;=30,"Mid level",G1136&gt;30,"Lead")</f>
        <v>Junior</v>
      </c>
    </row>
    <row r="1137" spans="1:8" x14ac:dyDescent="0.3">
      <c r="A1137" s="7">
        <v>8926</v>
      </c>
      <c r="B1137" t="str" cm="1">
        <f t="array" ref="B1137">_xlfn.IFS(A1137&lt;=8000,"low",A1137&lt;15000,"medium",A1137&gt;=15000,"high")</f>
        <v>medium</v>
      </c>
      <c r="G1137" s="2">
        <v>5</v>
      </c>
      <c r="H1137" t="str" cm="1">
        <f t="array" ref="H1137">_xlfn.IFS(G1137&lt;=15,"Junior",G1137&lt;=30,"Mid level",G1137&gt;30,"Lead")</f>
        <v>Junior</v>
      </c>
    </row>
    <row r="1138" spans="1:8" x14ac:dyDescent="0.3">
      <c r="A1138" s="8">
        <v>8938</v>
      </c>
      <c r="B1138" t="str" cm="1">
        <f t="array" ref="B1138">_xlfn.IFS(A1138&lt;=8000,"low",A1138&lt;15000,"medium",A1138&gt;=15000,"high")</f>
        <v>medium</v>
      </c>
      <c r="G1138" s="1">
        <v>10</v>
      </c>
      <c r="H1138" t="str" cm="1">
        <f t="array" ref="H1138">_xlfn.IFS(G1138&lt;=15,"Junior",G1138&lt;=30,"Mid level",G1138&gt;30,"Lead")</f>
        <v>Junior</v>
      </c>
    </row>
    <row r="1139" spans="1:8" x14ac:dyDescent="0.3">
      <c r="A1139" s="7">
        <v>8943</v>
      </c>
      <c r="B1139" t="str" cm="1">
        <f t="array" ref="B1139">_xlfn.IFS(A1139&lt;=8000,"low",A1139&lt;15000,"medium",A1139&gt;=15000,"high")</f>
        <v>medium</v>
      </c>
      <c r="G1139" s="2">
        <v>7</v>
      </c>
      <c r="H1139" t="str" cm="1">
        <f t="array" ref="H1139">_xlfn.IFS(G1139&lt;=15,"Junior",G1139&lt;=30,"Mid level",G1139&gt;30,"Lead")</f>
        <v>Junior</v>
      </c>
    </row>
    <row r="1140" spans="1:8" x14ac:dyDescent="0.3">
      <c r="A1140" s="8">
        <v>8966</v>
      </c>
      <c r="B1140" t="str" cm="1">
        <f t="array" ref="B1140">_xlfn.IFS(A1140&lt;=8000,"low",A1140&lt;15000,"medium",A1140&gt;=15000,"high")</f>
        <v>medium</v>
      </c>
      <c r="G1140" s="1">
        <v>9</v>
      </c>
      <c r="H1140" t="str" cm="1">
        <f t="array" ref="H1140">_xlfn.IFS(G1140&lt;=15,"Junior",G1140&lt;=30,"Mid level",G1140&gt;30,"Lead")</f>
        <v>Junior</v>
      </c>
    </row>
    <row r="1141" spans="1:8" x14ac:dyDescent="0.3">
      <c r="A1141" s="7">
        <v>8998</v>
      </c>
      <c r="B1141" t="str" cm="1">
        <f t="array" ref="B1141">_xlfn.IFS(A1141&lt;=8000,"low",A1141&lt;15000,"medium",A1141&gt;=15000,"high")</f>
        <v>medium</v>
      </c>
      <c r="G1141" s="2">
        <v>9</v>
      </c>
      <c r="H1141" t="str" cm="1">
        <f t="array" ref="H1141">_xlfn.IFS(G1141&lt;=15,"Junior",G1141&lt;=30,"Mid level",G1141&gt;30,"Lead")</f>
        <v>Junior</v>
      </c>
    </row>
    <row r="1142" spans="1:8" x14ac:dyDescent="0.3">
      <c r="A1142" s="8">
        <v>9069</v>
      </c>
      <c r="B1142" t="str" cm="1">
        <f t="array" ref="B1142">_xlfn.IFS(A1142&lt;=8000,"low",A1142&lt;15000,"medium",A1142&gt;=15000,"high")</f>
        <v>medium</v>
      </c>
      <c r="G1142" s="1">
        <v>3</v>
      </c>
      <c r="H1142" t="str" cm="1">
        <f t="array" ref="H1142">_xlfn.IFS(G1142&lt;=15,"Junior",G1142&lt;=30,"Mid level",G1142&gt;30,"Lead")</f>
        <v>Junior</v>
      </c>
    </row>
    <row r="1143" spans="1:8" x14ac:dyDescent="0.3">
      <c r="A1143" s="7">
        <v>9071</v>
      </c>
      <c r="B1143" t="str" cm="1">
        <f t="array" ref="B1143">_xlfn.IFS(A1143&lt;=8000,"low",A1143&lt;15000,"medium",A1143&gt;=15000,"high")</f>
        <v>medium</v>
      </c>
      <c r="G1143" s="2">
        <v>5</v>
      </c>
      <c r="H1143" t="str" cm="1">
        <f t="array" ref="H1143">_xlfn.IFS(G1143&lt;=15,"Junior",G1143&lt;=30,"Mid level",G1143&gt;30,"Lead")</f>
        <v>Junior</v>
      </c>
    </row>
    <row r="1144" spans="1:8" x14ac:dyDescent="0.3">
      <c r="A1144" s="8">
        <v>9094</v>
      </c>
      <c r="B1144" t="str" cm="1">
        <f t="array" ref="B1144">_xlfn.IFS(A1144&lt;=8000,"low",A1144&lt;15000,"medium",A1144&gt;=15000,"high")</f>
        <v>medium</v>
      </c>
      <c r="G1144" s="1">
        <v>4</v>
      </c>
      <c r="H1144" t="str" cm="1">
        <f t="array" ref="H1144">_xlfn.IFS(G1144&lt;=15,"Junior",G1144&lt;=30,"Mid level",G1144&gt;30,"Lead")</f>
        <v>Junior</v>
      </c>
    </row>
    <row r="1145" spans="1:8" x14ac:dyDescent="0.3">
      <c r="A1145" s="7">
        <v>9204</v>
      </c>
      <c r="B1145" t="str" cm="1">
        <f t="array" ref="B1145">_xlfn.IFS(A1145&lt;=8000,"low",A1145&lt;15000,"medium",A1145&gt;=15000,"high")</f>
        <v>medium</v>
      </c>
      <c r="G1145" s="2">
        <v>2</v>
      </c>
      <c r="H1145" t="str" cm="1">
        <f t="array" ref="H1145">_xlfn.IFS(G1145&lt;=15,"Junior",G1145&lt;=30,"Mid level",G1145&gt;30,"Lead")</f>
        <v>Junior</v>
      </c>
    </row>
    <row r="1146" spans="1:8" x14ac:dyDescent="0.3">
      <c r="A1146" s="8">
        <v>9208</v>
      </c>
      <c r="B1146" t="str" cm="1">
        <f t="array" ref="B1146">_xlfn.IFS(A1146&lt;=8000,"low",A1146&lt;15000,"medium",A1146&gt;=15000,"high")</f>
        <v>medium</v>
      </c>
      <c r="G1146" s="1">
        <v>10</v>
      </c>
      <c r="H1146" t="str" cm="1">
        <f t="array" ref="H1146">_xlfn.IFS(G1146&lt;=15,"Junior",G1146&lt;=30,"Mid level",G1146&gt;30,"Lead")</f>
        <v>Junior</v>
      </c>
    </row>
    <row r="1147" spans="1:8" x14ac:dyDescent="0.3">
      <c r="A1147" s="7">
        <v>9241</v>
      </c>
      <c r="B1147" t="str" cm="1">
        <f t="array" ref="B1147">_xlfn.IFS(A1147&lt;=8000,"low",A1147&lt;15000,"medium",A1147&gt;=15000,"high")</f>
        <v>medium</v>
      </c>
      <c r="G1147" s="2">
        <v>4</v>
      </c>
      <c r="H1147" t="str" cm="1">
        <f t="array" ref="H1147">_xlfn.IFS(G1147&lt;=15,"Junior",G1147&lt;=30,"Mid level",G1147&gt;30,"Lead")</f>
        <v>Junior</v>
      </c>
    </row>
    <row r="1148" spans="1:8" x14ac:dyDescent="0.3">
      <c r="A1148" s="8">
        <v>9250</v>
      </c>
      <c r="B1148" t="str" cm="1">
        <f t="array" ref="B1148">_xlfn.IFS(A1148&lt;=8000,"low",A1148&lt;15000,"medium",A1148&gt;=15000,"high")</f>
        <v>medium</v>
      </c>
      <c r="G1148" s="1">
        <v>5</v>
      </c>
      <c r="H1148" t="str" cm="1">
        <f t="array" ref="H1148">_xlfn.IFS(G1148&lt;=15,"Junior",G1148&lt;=30,"Mid level",G1148&gt;30,"Lead")</f>
        <v>Junior</v>
      </c>
    </row>
    <row r="1149" spans="1:8" x14ac:dyDescent="0.3">
      <c r="A1149" s="7">
        <v>9278</v>
      </c>
      <c r="B1149" t="str" cm="1">
        <f t="array" ref="B1149">_xlfn.IFS(A1149&lt;=8000,"low",A1149&lt;15000,"medium",A1149&gt;=15000,"high")</f>
        <v>medium</v>
      </c>
      <c r="G1149" s="2">
        <v>8</v>
      </c>
      <c r="H1149" t="str" cm="1">
        <f t="array" ref="H1149">_xlfn.IFS(G1149&lt;=15,"Junior",G1149&lt;=30,"Mid level",G1149&gt;30,"Lead")</f>
        <v>Junior</v>
      </c>
    </row>
    <row r="1150" spans="1:8" x14ac:dyDescent="0.3">
      <c r="A1150" s="8">
        <v>9355</v>
      </c>
      <c r="B1150" t="str" cm="1">
        <f t="array" ref="B1150">_xlfn.IFS(A1150&lt;=8000,"low",A1150&lt;15000,"medium",A1150&gt;=15000,"high")</f>
        <v>medium</v>
      </c>
      <c r="G1150" s="1">
        <v>2</v>
      </c>
      <c r="H1150" t="str" cm="1">
        <f t="array" ref="H1150">_xlfn.IFS(G1150&lt;=15,"Junior",G1150&lt;=30,"Mid level",G1150&gt;30,"Lead")</f>
        <v>Junior</v>
      </c>
    </row>
    <row r="1151" spans="1:8" x14ac:dyDescent="0.3">
      <c r="A1151" s="7">
        <v>9362</v>
      </c>
      <c r="B1151" t="str" cm="1">
        <f t="array" ref="B1151">_xlfn.IFS(A1151&lt;=8000,"low",A1151&lt;15000,"medium",A1151&gt;=15000,"high")</f>
        <v>medium</v>
      </c>
      <c r="G1151" s="2">
        <v>3</v>
      </c>
      <c r="H1151" t="str" cm="1">
        <f t="array" ref="H1151">_xlfn.IFS(G1151&lt;=15,"Junior",G1151&lt;=30,"Mid level",G1151&gt;30,"Lead")</f>
        <v>Junior</v>
      </c>
    </row>
    <row r="1152" spans="1:8" x14ac:dyDescent="0.3">
      <c r="A1152" s="8">
        <v>9380</v>
      </c>
      <c r="B1152" t="str" cm="1">
        <f t="array" ref="B1152">_xlfn.IFS(A1152&lt;=8000,"low",A1152&lt;15000,"medium",A1152&gt;=15000,"high")</f>
        <v>medium</v>
      </c>
      <c r="G1152" s="1">
        <v>4</v>
      </c>
      <c r="H1152" t="str" cm="1">
        <f t="array" ref="H1152">_xlfn.IFS(G1152&lt;=15,"Junior",G1152&lt;=30,"Mid level",G1152&gt;30,"Lead")</f>
        <v>Junior</v>
      </c>
    </row>
    <row r="1153" spans="1:8" x14ac:dyDescent="0.3">
      <c r="A1153" s="7">
        <v>9396</v>
      </c>
      <c r="B1153" t="str" cm="1">
        <f t="array" ref="B1153">_xlfn.IFS(A1153&lt;=8000,"low",A1153&lt;15000,"medium",A1153&gt;=15000,"high")</f>
        <v>medium</v>
      </c>
      <c r="G1153" s="2">
        <v>10</v>
      </c>
      <c r="H1153" t="str" cm="1">
        <f t="array" ref="H1153">_xlfn.IFS(G1153&lt;=15,"Junior",G1153&lt;=30,"Mid level",G1153&gt;30,"Lead")</f>
        <v>Junior</v>
      </c>
    </row>
    <row r="1154" spans="1:8" x14ac:dyDescent="0.3">
      <c r="A1154" s="8">
        <v>9419</v>
      </c>
      <c r="B1154" t="str" cm="1">
        <f t="array" ref="B1154">_xlfn.IFS(A1154&lt;=8000,"low",A1154&lt;15000,"medium",A1154&gt;=15000,"high")</f>
        <v>medium</v>
      </c>
      <c r="G1154" s="1">
        <v>10</v>
      </c>
      <c r="H1154" t="str" cm="1">
        <f t="array" ref="H1154">_xlfn.IFS(G1154&lt;=15,"Junior",G1154&lt;=30,"Mid level",G1154&gt;30,"Lead")</f>
        <v>Junior</v>
      </c>
    </row>
    <row r="1155" spans="1:8" x14ac:dyDescent="0.3">
      <c r="A1155" s="7">
        <v>9434</v>
      </c>
      <c r="B1155" t="str" cm="1">
        <f t="array" ref="B1155">_xlfn.IFS(A1155&lt;=8000,"low",A1155&lt;15000,"medium",A1155&gt;=15000,"high")</f>
        <v>medium</v>
      </c>
      <c r="G1155" s="2">
        <v>5</v>
      </c>
      <c r="H1155" t="str" cm="1">
        <f t="array" ref="H1155">_xlfn.IFS(G1155&lt;=15,"Junior",G1155&lt;=30,"Mid level",G1155&gt;30,"Lead")</f>
        <v>Junior</v>
      </c>
    </row>
    <row r="1156" spans="1:8" x14ac:dyDescent="0.3">
      <c r="A1156" s="8">
        <v>9439</v>
      </c>
      <c r="B1156" t="str" cm="1">
        <f t="array" ref="B1156">_xlfn.IFS(A1156&lt;=8000,"low",A1156&lt;15000,"medium",A1156&gt;=15000,"high")</f>
        <v>medium</v>
      </c>
      <c r="G1156" s="1">
        <v>6</v>
      </c>
      <c r="H1156" t="str" cm="1">
        <f t="array" ref="H1156">_xlfn.IFS(G1156&lt;=15,"Junior",G1156&lt;=30,"Mid level",G1156&gt;30,"Lead")</f>
        <v>Junior</v>
      </c>
    </row>
    <row r="1157" spans="1:8" x14ac:dyDescent="0.3">
      <c r="A1157" s="7">
        <v>9525</v>
      </c>
      <c r="B1157" t="str" cm="1">
        <f t="array" ref="B1157">_xlfn.IFS(A1157&lt;=8000,"low",A1157&lt;15000,"medium",A1157&gt;=15000,"high")</f>
        <v>medium</v>
      </c>
      <c r="G1157" s="2">
        <v>9</v>
      </c>
      <c r="H1157" t="str" cm="1">
        <f t="array" ref="H1157">_xlfn.IFS(G1157&lt;=15,"Junior",G1157&lt;=30,"Mid level",G1157&gt;30,"Lead")</f>
        <v>Junior</v>
      </c>
    </row>
    <row r="1158" spans="1:8" x14ac:dyDescent="0.3">
      <c r="A1158" s="8">
        <v>9526</v>
      </c>
      <c r="B1158" t="str" cm="1">
        <f t="array" ref="B1158">_xlfn.IFS(A1158&lt;=8000,"low",A1158&lt;15000,"medium",A1158&gt;=15000,"high")</f>
        <v>medium</v>
      </c>
      <c r="G1158" s="1">
        <v>10</v>
      </c>
      <c r="H1158" t="str" cm="1">
        <f t="array" ref="H1158">_xlfn.IFS(G1158&lt;=15,"Junior",G1158&lt;=30,"Mid level",G1158&gt;30,"Lead")</f>
        <v>Junior</v>
      </c>
    </row>
    <row r="1159" spans="1:8" x14ac:dyDescent="0.3">
      <c r="A1159" s="7">
        <v>9547</v>
      </c>
      <c r="B1159" t="str" cm="1">
        <f t="array" ref="B1159">_xlfn.IFS(A1159&lt;=8000,"low",A1159&lt;15000,"medium",A1159&gt;=15000,"high")</f>
        <v>medium</v>
      </c>
      <c r="G1159" s="2">
        <v>8</v>
      </c>
      <c r="H1159" t="str" cm="1">
        <f t="array" ref="H1159">_xlfn.IFS(G1159&lt;=15,"Junior",G1159&lt;=30,"Mid level",G1159&gt;30,"Lead")</f>
        <v>Junior</v>
      </c>
    </row>
    <row r="1160" spans="1:8" x14ac:dyDescent="0.3">
      <c r="A1160" s="8">
        <v>9582</v>
      </c>
      <c r="B1160" t="str" cm="1">
        <f t="array" ref="B1160">_xlfn.IFS(A1160&lt;=8000,"low",A1160&lt;15000,"medium",A1160&gt;=15000,"high")</f>
        <v>medium</v>
      </c>
      <c r="G1160" s="1">
        <v>3</v>
      </c>
      <c r="H1160" t="str" cm="1">
        <f t="array" ref="H1160">_xlfn.IFS(G1160&lt;=15,"Junior",G1160&lt;=30,"Mid level",G1160&gt;30,"Lead")</f>
        <v>Junior</v>
      </c>
    </row>
    <row r="1161" spans="1:8" x14ac:dyDescent="0.3">
      <c r="A1161" s="7">
        <v>9602</v>
      </c>
      <c r="B1161" t="str" cm="1">
        <f t="array" ref="B1161">_xlfn.IFS(A1161&lt;=8000,"low",A1161&lt;15000,"medium",A1161&gt;=15000,"high")</f>
        <v>medium</v>
      </c>
      <c r="G1161" s="2">
        <v>4</v>
      </c>
      <c r="H1161" t="str" cm="1">
        <f t="array" ref="H1161">_xlfn.IFS(G1161&lt;=15,"Junior",G1161&lt;=30,"Mid level",G1161&gt;30,"Lead")</f>
        <v>Junior</v>
      </c>
    </row>
    <row r="1162" spans="1:8" x14ac:dyDescent="0.3">
      <c r="A1162" s="8">
        <v>9610</v>
      </c>
      <c r="B1162" t="str" cm="1">
        <f t="array" ref="B1162">_xlfn.IFS(A1162&lt;=8000,"low",A1162&lt;15000,"medium",A1162&gt;=15000,"high")</f>
        <v>medium</v>
      </c>
      <c r="G1162" s="1">
        <v>18</v>
      </c>
      <c r="H1162" t="str" cm="1">
        <f t="array" ref="H1162">_xlfn.IFS(G1162&lt;=15,"Junior",G1162&lt;=30,"Mid level",G1162&gt;30,"Lead")</f>
        <v>Mid level</v>
      </c>
    </row>
    <row r="1163" spans="1:8" x14ac:dyDescent="0.3">
      <c r="A1163" s="7">
        <v>9613</v>
      </c>
      <c r="B1163" t="str" cm="1">
        <f t="array" ref="B1163">_xlfn.IFS(A1163&lt;=8000,"low",A1163&lt;15000,"medium",A1163&gt;=15000,"high")</f>
        <v>medium</v>
      </c>
      <c r="G1163" s="2">
        <v>9</v>
      </c>
      <c r="H1163" t="str" cm="1">
        <f t="array" ref="H1163">_xlfn.IFS(G1163&lt;=15,"Junior",G1163&lt;=30,"Mid level",G1163&gt;30,"Lead")</f>
        <v>Junior</v>
      </c>
    </row>
    <row r="1164" spans="1:8" x14ac:dyDescent="0.3">
      <c r="A1164" s="8">
        <v>9619</v>
      </c>
      <c r="B1164" t="str" cm="1">
        <f t="array" ref="B1164">_xlfn.IFS(A1164&lt;=8000,"low",A1164&lt;15000,"medium",A1164&gt;=15000,"high")</f>
        <v>medium</v>
      </c>
      <c r="G1164" s="1">
        <v>3</v>
      </c>
      <c r="H1164" t="str" cm="1">
        <f t="array" ref="H1164">_xlfn.IFS(G1164&lt;=15,"Junior",G1164&lt;=30,"Mid level",G1164&gt;30,"Lead")</f>
        <v>Junior</v>
      </c>
    </row>
    <row r="1165" spans="1:8" x14ac:dyDescent="0.3">
      <c r="A1165" s="7">
        <v>9637</v>
      </c>
      <c r="B1165" t="str" cm="1">
        <f t="array" ref="B1165">_xlfn.IFS(A1165&lt;=8000,"low",A1165&lt;15000,"medium",A1165&gt;=15000,"high")</f>
        <v>medium</v>
      </c>
      <c r="G1165" s="2">
        <v>7</v>
      </c>
      <c r="H1165" t="str" cm="1">
        <f t="array" ref="H1165">_xlfn.IFS(G1165&lt;=15,"Junior",G1165&lt;=30,"Mid level",G1165&gt;30,"Lead")</f>
        <v>Junior</v>
      </c>
    </row>
    <row r="1166" spans="1:8" x14ac:dyDescent="0.3">
      <c r="A1166" s="8">
        <v>9667</v>
      </c>
      <c r="B1166" t="str" cm="1">
        <f t="array" ref="B1166">_xlfn.IFS(A1166&lt;=8000,"low",A1166&lt;15000,"medium",A1166&gt;=15000,"high")</f>
        <v>medium</v>
      </c>
      <c r="G1166" s="1">
        <v>1</v>
      </c>
      <c r="H1166" t="str" cm="1">
        <f t="array" ref="H1166">_xlfn.IFS(G1166&lt;=15,"Junior",G1166&lt;=30,"Mid level",G1166&gt;30,"Lead")</f>
        <v>Junior</v>
      </c>
    </row>
    <row r="1167" spans="1:8" x14ac:dyDescent="0.3">
      <c r="A1167" s="7">
        <v>9679</v>
      </c>
      <c r="B1167" t="str" cm="1">
        <f t="array" ref="B1167">_xlfn.IFS(A1167&lt;=8000,"low",A1167&lt;15000,"medium",A1167&gt;=15000,"high")</f>
        <v>medium</v>
      </c>
      <c r="G1167" s="2">
        <v>13</v>
      </c>
      <c r="H1167" t="str" cm="1">
        <f t="array" ref="H1167">_xlfn.IFS(G1167&lt;=15,"Junior",G1167&lt;=30,"Mid level",G1167&gt;30,"Lead")</f>
        <v>Junior</v>
      </c>
    </row>
    <row r="1168" spans="1:8" x14ac:dyDescent="0.3">
      <c r="A1168" s="8">
        <v>9699</v>
      </c>
      <c r="B1168" t="str" cm="1">
        <f t="array" ref="B1168">_xlfn.IFS(A1168&lt;=8000,"low",A1168&lt;15000,"medium",A1168&gt;=15000,"high")</f>
        <v>medium</v>
      </c>
      <c r="G1168" s="1">
        <v>1</v>
      </c>
      <c r="H1168" t="str" cm="1">
        <f t="array" ref="H1168">_xlfn.IFS(G1168&lt;=15,"Junior",G1168&lt;=30,"Mid level",G1168&gt;30,"Lead")</f>
        <v>Junior</v>
      </c>
    </row>
    <row r="1169" spans="1:8" x14ac:dyDescent="0.3">
      <c r="A1169" s="7">
        <v>9705</v>
      </c>
      <c r="B1169" t="str" cm="1">
        <f t="array" ref="B1169">_xlfn.IFS(A1169&lt;=8000,"low",A1169&lt;15000,"medium",A1169&gt;=15000,"high")</f>
        <v>medium</v>
      </c>
      <c r="G1169" s="2">
        <v>5</v>
      </c>
      <c r="H1169" t="str" cm="1">
        <f t="array" ref="H1169">_xlfn.IFS(G1169&lt;=15,"Junior",G1169&lt;=30,"Mid level",G1169&gt;30,"Lead")</f>
        <v>Junior</v>
      </c>
    </row>
    <row r="1170" spans="1:8" x14ac:dyDescent="0.3">
      <c r="A1170" s="8">
        <v>9713</v>
      </c>
      <c r="B1170" t="str" cm="1">
        <f t="array" ref="B1170">_xlfn.IFS(A1170&lt;=8000,"low",A1170&lt;15000,"medium",A1170&gt;=15000,"high")</f>
        <v>medium</v>
      </c>
      <c r="G1170" s="1">
        <v>10</v>
      </c>
      <c r="H1170" t="str" cm="1">
        <f t="array" ref="H1170">_xlfn.IFS(G1170&lt;=15,"Junior",G1170&lt;=30,"Mid level",G1170&gt;30,"Lead")</f>
        <v>Junior</v>
      </c>
    </row>
    <row r="1171" spans="1:8" x14ac:dyDescent="0.3">
      <c r="A1171" s="7">
        <v>9714</v>
      </c>
      <c r="B1171" t="str" cm="1">
        <f t="array" ref="B1171">_xlfn.IFS(A1171&lt;=8000,"low",A1171&lt;15000,"medium",A1171&gt;=15000,"high")</f>
        <v>medium</v>
      </c>
      <c r="G1171" s="2">
        <v>7</v>
      </c>
      <c r="H1171" t="str" cm="1">
        <f t="array" ref="H1171">_xlfn.IFS(G1171&lt;=15,"Junior",G1171&lt;=30,"Mid level",G1171&gt;30,"Lead")</f>
        <v>Junior</v>
      </c>
    </row>
    <row r="1172" spans="1:8" x14ac:dyDescent="0.3">
      <c r="A1172" s="8">
        <v>9715</v>
      </c>
      <c r="B1172" t="str" cm="1">
        <f t="array" ref="B1172">_xlfn.IFS(A1172&lt;=8000,"low",A1172&lt;15000,"medium",A1172&gt;=15000,"high")</f>
        <v>medium</v>
      </c>
      <c r="G1172" s="1">
        <v>1</v>
      </c>
      <c r="H1172" t="str" cm="1">
        <f t="array" ref="H1172">_xlfn.IFS(G1172&lt;=15,"Junior",G1172&lt;=30,"Mid level",G1172&gt;30,"Lead")</f>
        <v>Junior</v>
      </c>
    </row>
    <row r="1173" spans="1:8" x14ac:dyDescent="0.3">
      <c r="A1173" s="7">
        <v>9724</v>
      </c>
      <c r="B1173" t="str" cm="1">
        <f t="array" ref="B1173">_xlfn.IFS(A1173&lt;=8000,"low",A1173&lt;15000,"medium",A1173&gt;=15000,"high")</f>
        <v>medium</v>
      </c>
      <c r="G1173" s="2">
        <v>15</v>
      </c>
      <c r="H1173" t="str" cm="1">
        <f t="array" ref="H1173">_xlfn.IFS(G1173&lt;=15,"Junior",G1173&lt;=30,"Mid level",G1173&gt;30,"Lead")</f>
        <v>Junior</v>
      </c>
    </row>
    <row r="1174" spans="1:8" x14ac:dyDescent="0.3">
      <c r="A1174" s="8">
        <v>9725</v>
      </c>
      <c r="B1174" t="str" cm="1">
        <f t="array" ref="B1174">_xlfn.IFS(A1174&lt;=8000,"low",A1174&lt;15000,"medium",A1174&gt;=15000,"high")</f>
        <v>medium</v>
      </c>
      <c r="G1174" s="1">
        <v>9</v>
      </c>
      <c r="H1174" t="str" cm="1">
        <f t="array" ref="H1174">_xlfn.IFS(G1174&lt;=15,"Junior",G1174&lt;=30,"Mid level",G1174&gt;30,"Lead")</f>
        <v>Junior</v>
      </c>
    </row>
    <row r="1175" spans="1:8" x14ac:dyDescent="0.3">
      <c r="A1175" s="7">
        <v>9738</v>
      </c>
      <c r="B1175" t="str" cm="1">
        <f t="array" ref="B1175">_xlfn.IFS(A1175&lt;=8000,"low",A1175&lt;15000,"medium",A1175&gt;=15000,"high")</f>
        <v>medium</v>
      </c>
      <c r="G1175" s="2">
        <v>5</v>
      </c>
      <c r="H1175" t="str" cm="1">
        <f t="array" ref="H1175">_xlfn.IFS(G1175&lt;=15,"Junior",G1175&lt;=30,"Mid level",G1175&gt;30,"Lead")</f>
        <v>Junior</v>
      </c>
    </row>
    <row r="1176" spans="1:8" x14ac:dyDescent="0.3">
      <c r="A1176" s="8">
        <v>9756</v>
      </c>
      <c r="B1176" t="str" cm="1">
        <f t="array" ref="B1176">_xlfn.IFS(A1176&lt;=8000,"low",A1176&lt;15000,"medium",A1176&gt;=15000,"high")</f>
        <v>medium</v>
      </c>
      <c r="G1176" s="1">
        <v>1</v>
      </c>
      <c r="H1176" t="str" cm="1">
        <f t="array" ref="H1176">_xlfn.IFS(G1176&lt;=15,"Junior",G1176&lt;=30,"Mid level",G1176&gt;30,"Lead")</f>
        <v>Junior</v>
      </c>
    </row>
    <row r="1177" spans="1:8" x14ac:dyDescent="0.3">
      <c r="A1177" s="7">
        <v>9824</v>
      </c>
      <c r="B1177" t="str" cm="1">
        <f t="array" ref="B1177">_xlfn.IFS(A1177&lt;=8000,"low",A1177&lt;15000,"medium",A1177&gt;=15000,"high")</f>
        <v>medium</v>
      </c>
      <c r="G1177" s="2">
        <v>1</v>
      </c>
      <c r="H1177" t="str" cm="1">
        <f t="array" ref="H1177">_xlfn.IFS(G1177&lt;=15,"Junior",G1177&lt;=30,"Mid level",G1177&gt;30,"Lead")</f>
        <v>Junior</v>
      </c>
    </row>
    <row r="1178" spans="1:8" x14ac:dyDescent="0.3">
      <c r="A1178" s="8">
        <v>9824</v>
      </c>
      <c r="B1178" t="str" cm="1">
        <f t="array" ref="B1178">_xlfn.IFS(A1178&lt;=8000,"low",A1178&lt;15000,"medium",A1178&gt;=15000,"high")</f>
        <v>medium</v>
      </c>
      <c r="G1178" s="1">
        <v>10</v>
      </c>
      <c r="H1178" t="str" cm="1">
        <f t="array" ref="H1178">_xlfn.IFS(G1178&lt;=15,"Junior",G1178&lt;=30,"Mid level",G1178&gt;30,"Lead")</f>
        <v>Junior</v>
      </c>
    </row>
    <row r="1179" spans="1:8" x14ac:dyDescent="0.3">
      <c r="A1179" s="7">
        <v>9852</v>
      </c>
      <c r="B1179" t="str" cm="1">
        <f t="array" ref="B1179">_xlfn.IFS(A1179&lt;=8000,"low",A1179&lt;15000,"medium",A1179&gt;=15000,"high")</f>
        <v>medium</v>
      </c>
      <c r="G1179" s="2">
        <v>2</v>
      </c>
      <c r="H1179" t="str" cm="1">
        <f t="array" ref="H1179">_xlfn.IFS(G1179&lt;=15,"Junior",G1179&lt;=30,"Mid level",G1179&gt;30,"Lead")</f>
        <v>Junior</v>
      </c>
    </row>
    <row r="1180" spans="1:8" x14ac:dyDescent="0.3">
      <c r="A1180" s="8">
        <v>9854</v>
      </c>
      <c r="B1180" t="str" cm="1">
        <f t="array" ref="B1180">_xlfn.IFS(A1180&lt;=8000,"low",A1180&lt;15000,"medium",A1180&gt;=15000,"high")</f>
        <v>medium</v>
      </c>
      <c r="G1180" s="1">
        <v>4</v>
      </c>
      <c r="H1180" t="str" cm="1">
        <f t="array" ref="H1180">_xlfn.IFS(G1180&lt;=15,"Junior",G1180&lt;=30,"Mid level",G1180&gt;30,"Lead")</f>
        <v>Junior</v>
      </c>
    </row>
    <row r="1181" spans="1:8" x14ac:dyDescent="0.3">
      <c r="A1181" s="7">
        <v>9884</v>
      </c>
      <c r="B1181" t="str" cm="1">
        <f t="array" ref="B1181">_xlfn.IFS(A1181&lt;=8000,"low",A1181&lt;15000,"medium",A1181&gt;=15000,"high")</f>
        <v>medium</v>
      </c>
      <c r="G1181" s="2">
        <v>14</v>
      </c>
      <c r="H1181" t="str" cm="1">
        <f t="array" ref="H1181">_xlfn.IFS(G1181&lt;=15,"Junior",G1181&lt;=30,"Mid level",G1181&gt;30,"Lead")</f>
        <v>Junior</v>
      </c>
    </row>
    <row r="1182" spans="1:8" x14ac:dyDescent="0.3">
      <c r="A1182" s="8">
        <v>9888</v>
      </c>
      <c r="B1182" t="str" cm="1">
        <f t="array" ref="B1182">_xlfn.IFS(A1182&lt;=8000,"low",A1182&lt;15000,"medium",A1182&gt;=15000,"high")</f>
        <v>medium</v>
      </c>
      <c r="G1182" s="1">
        <v>2</v>
      </c>
      <c r="H1182" t="str" cm="1">
        <f t="array" ref="H1182">_xlfn.IFS(G1182&lt;=15,"Junior",G1182&lt;=30,"Mid level",G1182&gt;30,"Lead")</f>
        <v>Junior</v>
      </c>
    </row>
    <row r="1183" spans="1:8" x14ac:dyDescent="0.3">
      <c r="A1183" s="7">
        <v>9907</v>
      </c>
      <c r="B1183" t="str" cm="1">
        <f t="array" ref="B1183">_xlfn.IFS(A1183&lt;=8000,"low",A1183&lt;15000,"medium",A1183&gt;=15000,"high")</f>
        <v>medium</v>
      </c>
      <c r="G1183" s="2">
        <v>9</v>
      </c>
      <c r="H1183" t="str" cm="1">
        <f t="array" ref="H1183">_xlfn.IFS(G1183&lt;=15,"Junior",G1183&lt;=30,"Mid level",G1183&gt;30,"Lead")</f>
        <v>Junior</v>
      </c>
    </row>
    <row r="1184" spans="1:8" x14ac:dyDescent="0.3">
      <c r="A1184" s="8">
        <v>9924</v>
      </c>
      <c r="B1184" t="str" cm="1">
        <f t="array" ref="B1184">_xlfn.IFS(A1184&lt;=8000,"low",A1184&lt;15000,"medium",A1184&gt;=15000,"high")</f>
        <v>medium</v>
      </c>
      <c r="G1184" s="1">
        <v>9</v>
      </c>
      <c r="H1184" t="str" cm="1">
        <f t="array" ref="H1184">_xlfn.IFS(G1184&lt;=15,"Junior",G1184&lt;=30,"Mid level",G1184&gt;30,"Lead")</f>
        <v>Junior</v>
      </c>
    </row>
    <row r="1185" spans="1:8" x14ac:dyDescent="0.3">
      <c r="A1185" s="7">
        <v>9936</v>
      </c>
      <c r="B1185" t="str" cm="1">
        <f t="array" ref="B1185">_xlfn.IFS(A1185&lt;=8000,"low",A1185&lt;15000,"medium",A1185&gt;=15000,"high")</f>
        <v>medium</v>
      </c>
      <c r="G1185" s="2">
        <v>3</v>
      </c>
      <c r="H1185" t="str" cm="1">
        <f t="array" ref="H1185">_xlfn.IFS(G1185&lt;=15,"Junior",G1185&lt;=30,"Mid level",G1185&gt;30,"Lead")</f>
        <v>Junior</v>
      </c>
    </row>
    <row r="1186" spans="1:8" x14ac:dyDescent="0.3">
      <c r="A1186" s="8">
        <v>9950</v>
      </c>
      <c r="B1186" t="str" cm="1">
        <f t="array" ref="B1186">_xlfn.IFS(A1186&lt;=8000,"low",A1186&lt;15000,"medium",A1186&gt;=15000,"high")</f>
        <v>medium</v>
      </c>
      <c r="G1186" s="1">
        <v>6</v>
      </c>
      <c r="H1186" t="str" cm="1">
        <f t="array" ref="H1186">_xlfn.IFS(G1186&lt;=15,"Junior",G1186&lt;=30,"Mid level",G1186&gt;30,"Lead")</f>
        <v>Junior</v>
      </c>
    </row>
    <row r="1187" spans="1:8" x14ac:dyDescent="0.3">
      <c r="A1187" s="7">
        <v>9957</v>
      </c>
      <c r="B1187" t="str" cm="1">
        <f t="array" ref="B1187">_xlfn.IFS(A1187&lt;=8000,"low",A1187&lt;15000,"medium",A1187&gt;=15000,"high")</f>
        <v>medium</v>
      </c>
      <c r="G1187" s="2">
        <v>10</v>
      </c>
      <c r="H1187" t="str" cm="1">
        <f t="array" ref="H1187">_xlfn.IFS(G1187&lt;=15,"Junior",G1187&lt;=30,"Mid level",G1187&gt;30,"Lead")</f>
        <v>Junior</v>
      </c>
    </row>
    <row r="1188" spans="1:8" x14ac:dyDescent="0.3">
      <c r="A1188" s="8">
        <v>9980</v>
      </c>
      <c r="B1188" t="str" cm="1">
        <f t="array" ref="B1188">_xlfn.IFS(A1188&lt;=8000,"low",A1188&lt;15000,"medium",A1188&gt;=15000,"high")</f>
        <v>medium</v>
      </c>
      <c r="G1188" s="1">
        <v>10</v>
      </c>
      <c r="H1188" t="str" cm="1">
        <f t="array" ref="H1188">_xlfn.IFS(G1188&lt;=15,"Junior",G1188&lt;=30,"Mid level",G1188&gt;30,"Lead")</f>
        <v>Junior</v>
      </c>
    </row>
    <row r="1189" spans="1:8" x14ac:dyDescent="0.3">
      <c r="A1189" s="7">
        <v>9980</v>
      </c>
      <c r="B1189" t="str" cm="1">
        <f t="array" ref="B1189">_xlfn.IFS(A1189&lt;=8000,"low",A1189&lt;15000,"medium",A1189&gt;=15000,"high")</f>
        <v>medium</v>
      </c>
      <c r="G1189" s="2">
        <v>7</v>
      </c>
      <c r="H1189" t="str" cm="1">
        <f t="array" ref="H1189">_xlfn.IFS(G1189&lt;=15,"Junior",G1189&lt;=30,"Mid level",G1189&gt;30,"Lead")</f>
        <v>Junior</v>
      </c>
    </row>
    <row r="1190" spans="1:8" x14ac:dyDescent="0.3">
      <c r="A1190" s="8">
        <v>9981</v>
      </c>
      <c r="B1190" t="str" cm="1">
        <f t="array" ref="B1190">_xlfn.IFS(A1190&lt;=8000,"low",A1190&lt;15000,"medium",A1190&gt;=15000,"high")</f>
        <v>medium</v>
      </c>
      <c r="G1190" s="1">
        <v>1</v>
      </c>
      <c r="H1190" t="str" cm="1">
        <f t="array" ref="H1190">_xlfn.IFS(G1190&lt;=15,"Junior",G1190&lt;=30,"Mid level",G1190&gt;30,"Lead")</f>
        <v>Junior</v>
      </c>
    </row>
    <row r="1191" spans="1:8" x14ac:dyDescent="0.3">
      <c r="A1191" s="7">
        <v>9985</v>
      </c>
      <c r="B1191" t="str" cm="1">
        <f t="array" ref="B1191">_xlfn.IFS(A1191&lt;=8000,"low",A1191&lt;15000,"medium",A1191&gt;=15000,"high")</f>
        <v>medium</v>
      </c>
      <c r="G1191" s="2">
        <v>7</v>
      </c>
      <c r="H1191" t="str" cm="1">
        <f t="array" ref="H1191">_xlfn.IFS(G1191&lt;=15,"Junior",G1191&lt;=30,"Mid level",G1191&gt;30,"Lead")</f>
        <v>Junior</v>
      </c>
    </row>
    <row r="1192" spans="1:8" x14ac:dyDescent="0.3">
      <c r="A1192" s="8">
        <v>9991</v>
      </c>
      <c r="B1192" t="str" cm="1">
        <f t="array" ref="B1192">_xlfn.IFS(A1192&lt;=8000,"low",A1192&lt;15000,"medium",A1192&gt;=15000,"high")</f>
        <v>medium</v>
      </c>
      <c r="G1192" s="1">
        <v>5</v>
      </c>
      <c r="H1192" t="str" cm="1">
        <f t="array" ref="H1192">_xlfn.IFS(G1192&lt;=15,"Junior",G1192&lt;=30,"Mid level",G1192&gt;30,"Lead")</f>
        <v>Junior</v>
      </c>
    </row>
    <row r="1193" spans="1:8" x14ac:dyDescent="0.3">
      <c r="A1193" s="7">
        <v>9998</v>
      </c>
      <c r="B1193" t="str" cm="1">
        <f t="array" ref="B1193">_xlfn.IFS(A1193&lt;=8000,"low",A1193&lt;15000,"medium",A1193&gt;=15000,"high")</f>
        <v>medium</v>
      </c>
      <c r="G1193" s="2">
        <v>10</v>
      </c>
      <c r="H1193" t="str" cm="1">
        <f t="array" ref="H1193">_xlfn.IFS(G1193&lt;=15,"Junior",G1193&lt;=30,"Mid level",G1193&gt;30,"Lead")</f>
        <v>Junior</v>
      </c>
    </row>
    <row r="1194" spans="1:8" x14ac:dyDescent="0.3">
      <c r="A1194" s="8">
        <v>10008</v>
      </c>
      <c r="B1194" t="str" cm="1">
        <f t="array" ref="B1194">_xlfn.IFS(A1194&lt;=8000,"low",A1194&lt;15000,"medium",A1194&gt;=15000,"high")</f>
        <v>medium</v>
      </c>
      <c r="G1194" s="1">
        <v>1</v>
      </c>
      <c r="H1194" t="str" cm="1">
        <f t="array" ref="H1194">_xlfn.IFS(G1194&lt;=15,"Junior",G1194&lt;=30,"Mid level",G1194&gt;30,"Lead")</f>
        <v>Junior</v>
      </c>
    </row>
    <row r="1195" spans="1:8" x14ac:dyDescent="0.3">
      <c r="A1195" s="7">
        <v>10048</v>
      </c>
      <c r="B1195" t="str" cm="1">
        <f t="array" ref="B1195">_xlfn.IFS(A1195&lt;=8000,"low",A1195&lt;15000,"medium",A1195&gt;=15000,"high")</f>
        <v>medium</v>
      </c>
      <c r="G1195" s="2">
        <v>17</v>
      </c>
      <c r="H1195" t="str" cm="1">
        <f t="array" ref="H1195">_xlfn.IFS(G1195&lt;=15,"Junior",G1195&lt;=30,"Mid level",G1195&gt;30,"Lead")</f>
        <v>Mid level</v>
      </c>
    </row>
    <row r="1196" spans="1:8" x14ac:dyDescent="0.3">
      <c r="A1196" s="8">
        <v>10096</v>
      </c>
      <c r="B1196" t="str" cm="1">
        <f t="array" ref="B1196">_xlfn.IFS(A1196&lt;=8000,"low",A1196&lt;15000,"medium",A1196&gt;=15000,"high")</f>
        <v>medium</v>
      </c>
      <c r="G1196" s="1">
        <v>7</v>
      </c>
      <c r="H1196" t="str" cm="1">
        <f t="array" ref="H1196">_xlfn.IFS(G1196&lt;=15,"Junior",G1196&lt;=30,"Mid level",G1196&gt;30,"Lead")</f>
        <v>Junior</v>
      </c>
    </row>
    <row r="1197" spans="1:8" x14ac:dyDescent="0.3">
      <c r="A1197" s="7">
        <v>10096</v>
      </c>
      <c r="B1197" t="str" cm="1">
        <f t="array" ref="B1197">_xlfn.IFS(A1197&lt;=8000,"low",A1197&lt;15000,"medium",A1197&gt;=15000,"high")</f>
        <v>medium</v>
      </c>
      <c r="G1197" s="2">
        <v>20</v>
      </c>
      <c r="H1197" t="str" cm="1">
        <f t="array" ref="H1197">_xlfn.IFS(G1197&lt;=15,"Junior",G1197&lt;=30,"Mid level",G1197&gt;30,"Lead")</f>
        <v>Mid level</v>
      </c>
    </row>
    <row r="1198" spans="1:8" x14ac:dyDescent="0.3">
      <c r="A1198" s="8">
        <v>10124</v>
      </c>
      <c r="B1198" t="str" cm="1">
        <f t="array" ref="B1198">_xlfn.IFS(A1198&lt;=8000,"low",A1198&lt;15000,"medium",A1198&gt;=15000,"high")</f>
        <v>medium</v>
      </c>
      <c r="G1198" s="1">
        <v>33</v>
      </c>
      <c r="H1198" t="str" cm="1">
        <f t="array" ref="H1198">_xlfn.IFS(G1198&lt;=15,"Junior",G1198&lt;=30,"Mid level",G1198&gt;30,"Lead")</f>
        <v>Lead</v>
      </c>
    </row>
    <row r="1199" spans="1:8" x14ac:dyDescent="0.3">
      <c r="A1199" s="7">
        <v>10169</v>
      </c>
      <c r="B1199" t="str" cm="1">
        <f t="array" ref="B1199">_xlfn.IFS(A1199&lt;=8000,"low",A1199&lt;15000,"medium",A1199&gt;=15000,"high")</f>
        <v>medium</v>
      </c>
      <c r="G1199" s="2">
        <v>2</v>
      </c>
      <c r="H1199" t="str" cm="1">
        <f t="array" ref="H1199">_xlfn.IFS(G1199&lt;=15,"Junior",G1199&lt;=30,"Mid level",G1199&gt;30,"Lead")</f>
        <v>Junior</v>
      </c>
    </row>
    <row r="1200" spans="1:8" x14ac:dyDescent="0.3">
      <c r="A1200" s="8">
        <v>10209</v>
      </c>
      <c r="B1200" t="str" cm="1">
        <f t="array" ref="B1200">_xlfn.IFS(A1200&lt;=8000,"low",A1200&lt;15000,"medium",A1200&gt;=15000,"high")</f>
        <v>medium</v>
      </c>
      <c r="G1200" s="1">
        <v>8</v>
      </c>
      <c r="H1200" t="str" cm="1">
        <f t="array" ref="H1200">_xlfn.IFS(G1200&lt;=15,"Junior",G1200&lt;=30,"Mid level",G1200&gt;30,"Lead")</f>
        <v>Junior</v>
      </c>
    </row>
    <row r="1201" spans="1:8" x14ac:dyDescent="0.3">
      <c r="A1201" s="7">
        <v>10221</v>
      </c>
      <c r="B1201" t="str" cm="1">
        <f t="array" ref="B1201">_xlfn.IFS(A1201&lt;=8000,"low",A1201&lt;15000,"medium",A1201&gt;=15000,"high")</f>
        <v>medium</v>
      </c>
      <c r="G1201" s="2">
        <v>21</v>
      </c>
      <c r="H1201" t="str" cm="1">
        <f t="array" ref="H1201">_xlfn.IFS(G1201&lt;=15,"Junior",G1201&lt;=30,"Mid level",G1201&gt;30,"Lead")</f>
        <v>Mid level</v>
      </c>
    </row>
    <row r="1202" spans="1:8" x14ac:dyDescent="0.3">
      <c r="A1202" s="8">
        <v>10231</v>
      </c>
      <c r="B1202" t="str" cm="1">
        <f t="array" ref="B1202">_xlfn.IFS(A1202&lt;=8000,"low",A1202&lt;15000,"medium",A1202&gt;=15000,"high")</f>
        <v>medium</v>
      </c>
      <c r="G1202" s="1">
        <v>1</v>
      </c>
      <c r="H1202" t="str" cm="1">
        <f t="array" ref="H1202">_xlfn.IFS(G1202&lt;=15,"Junior",G1202&lt;=30,"Mid level",G1202&gt;30,"Lead")</f>
        <v>Junior</v>
      </c>
    </row>
    <row r="1203" spans="1:8" x14ac:dyDescent="0.3">
      <c r="A1203" s="7">
        <v>10239</v>
      </c>
      <c r="B1203" t="str" cm="1">
        <f t="array" ref="B1203">_xlfn.IFS(A1203&lt;=8000,"low",A1203&lt;15000,"medium",A1203&gt;=15000,"high")</f>
        <v>medium</v>
      </c>
      <c r="G1203" s="2">
        <v>22</v>
      </c>
      <c r="H1203" t="str" cm="1">
        <f t="array" ref="H1203">_xlfn.IFS(G1203&lt;=15,"Junior",G1203&lt;=30,"Mid level",G1203&gt;30,"Lead")</f>
        <v>Mid level</v>
      </c>
    </row>
    <row r="1204" spans="1:8" x14ac:dyDescent="0.3">
      <c r="A1204" s="8">
        <v>10248</v>
      </c>
      <c r="B1204" t="str" cm="1">
        <f t="array" ref="B1204">_xlfn.IFS(A1204&lt;=8000,"low",A1204&lt;15000,"medium",A1204&gt;=15000,"high")</f>
        <v>medium</v>
      </c>
      <c r="G1204" s="1">
        <v>7</v>
      </c>
      <c r="H1204" t="str" cm="1">
        <f t="array" ref="H1204">_xlfn.IFS(G1204&lt;=15,"Junior",G1204&lt;=30,"Mid level",G1204&gt;30,"Lead")</f>
        <v>Junior</v>
      </c>
    </row>
    <row r="1205" spans="1:8" x14ac:dyDescent="0.3">
      <c r="A1205" s="7">
        <v>10252</v>
      </c>
      <c r="B1205" t="str" cm="1">
        <f t="array" ref="B1205">_xlfn.IFS(A1205&lt;=8000,"low",A1205&lt;15000,"medium",A1205&gt;=15000,"high")</f>
        <v>medium</v>
      </c>
      <c r="G1205" s="2">
        <v>18</v>
      </c>
      <c r="H1205" t="str" cm="1">
        <f t="array" ref="H1205">_xlfn.IFS(G1205&lt;=15,"Junior",G1205&lt;=30,"Mid level",G1205&gt;30,"Lead")</f>
        <v>Mid level</v>
      </c>
    </row>
    <row r="1206" spans="1:8" x14ac:dyDescent="0.3">
      <c r="A1206" s="8">
        <v>10266</v>
      </c>
      <c r="B1206" t="str" cm="1">
        <f t="array" ref="B1206">_xlfn.IFS(A1206&lt;=8000,"low",A1206&lt;15000,"medium",A1206&gt;=15000,"high")</f>
        <v>medium</v>
      </c>
      <c r="G1206" s="1">
        <v>7</v>
      </c>
      <c r="H1206" t="str" cm="1">
        <f t="array" ref="H1206">_xlfn.IFS(G1206&lt;=15,"Junior",G1206&lt;=30,"Mid level",G1206&gt;30,"Lead")</f>
        <v>Junior</v>
      </c>
    </row>
    <row r="1207" spans="1:8" x14ac:dyDescent="0.3">
      <c r="A1207" s="7">
        <v>10274</v>
      </c>
      <c r="B1207" t="str" cm="1">
        <f t="array" ref="B1207">_xlfn.IFS(A1207&lt;=8000,"low",A1207&lt;15000,"medium",A1207&gt;=15000,"high")</f>
        <v>medium</v>
      </c>
      <c r="G1207" s="2">
        <v>13</v>
      </c>
      <c r="H1207" t="str" cm="1">
        <f t="array" ref="H1207">_xlfn.IFS(G1207&lt;=15,"Junior",G1207&lt;=30,"Mid level",G1207&gt;30,"Lead")</f>
        <v>Junior</v>
      </c>
    </row>
    <row r="1208" spans="1:8" x14ac:dyDescent="0.3">
      <c r="A1208" s="8">
        <v>10306</v>
      </c>
      <c r="B1208" t="str" cm="1">
        <f t="array" ref="B1208">_xlfn.IFS(A1208&lt;=8000,"low",A1208&lt;15000,"medium",A1208&gt;=15000,"high")</f>
        <v>medium</v>
      </c>
      <c r="G1208" s="1">
        <v>40</v>
      </c>
      <c r="H1208" t="str" cm="1">
        <f t="array" ref="H1208">_xlfn.IFS(G1208&lt;=15,"Junior",G1208&lt;=30,"Mid level",G1208&gt;30,"Lead")</f>
        <v>Lead</v>
      </c>
    </row>
    <row r="1209" spans="1:8" x14ac:dyDescent="0.3">
      <c r="A1209" s="7">
        <v>10312</v>
      </c>
      <c r="B1209" t="str" cm="1">
        <f t="array" ref="B1209">_xlfn.IFS(A1209&lt;=8000,"low",A1209&lt;15000,"medium",A1209&gt;=15000,"high")</f>
        <v>medium</v>
      </c>
      <c r="G1209" s="2">
        <v>11</v>
      </c>
      <c r="H1209" t="str" cm="1">
        <f t="array" ref="H1209">_xlfn.IFS(G1209&lt;=15,"Junior",G1209&lt;=30,"Mid level",G1209&gt;30,"Lead")</f>
        <v>Junior</v>
      </c>
    </row>
    <row r="1210" spans="1:8" x14ac:dyDescent="0.3">
      <c r="A1210" s="8">
        <v>10322</v>
      </c>
      <c r="B1210" t="str" cm="1">
        <f t="array" ref="B1210">_xlfn.IFS(A1210&lt;=8000,"low",A1210&lt;15000,"medium",A1210&gt;=15000,"high")</f>
        <v>medium</v>
      </c>
      <c r="G1210" s="1">
        <v>16</v>
      </c>
      <c r="H1210" t="str" cm="1">
        <f t="array" ref="H1210">_xlfn.IFS(G1210&lt;=15,"Junior",G1210&lt;=30,"Mid level",G1210&gt;30,"Lead")</f>
        <v>Mid level</v>
      </c>
    </row>
    <row r="1211" spans="1:8" x14ac:dyDescent="0.3">
      <c r="A1211" s="7">
        <v>10325</v>
      </c>
      <c r="B1211" t="str" cm="1">
        <f t="array" ref="B1211">_xlfn.IFS(A1211&lt;=8000,"low",A1211&lt;15000,"medium",A1211&gt;=15000,"high")</f>
        <v>medium</v>
      </c>
      <c r="G1211" s="2">
        <v>22</v>
      </c>
      <c r="H1211" t="str" cm="1">
        <f t="array" ref="H1211">_xlfn.IFS(G1211&lt;=15,"Junior",G1211&lt;=30,"Mid level",G1211&gt;30,"Lead")</f>
        <v>Mid level</v>
      </c>
    </row>
    <row r="1212" spans="1:8" x14ac:dyDescent="0.3">
      <c r="A1212" s="8">
        <v>10333</v>
      </c>
      <c r="B1212" t="str" cm="1">
        <f t="array" ref="B1212">_xlfn.IFS(A1212&lt;=8000,"low",A1212&lt;15000,"medium",A1212&gt;=15000,"high")</f>
        <v>medium</v>
      </c>
      <c r="G1212" s="1">
        <v>10</v>
      </c>
      <c r="H1212" t="str" cm="1">
        <f t="array" ref="H1212">_xlfn.IFS(G1212&lt;=15,"Junior",G1212&lt;=30,"Mid level",G1212&gt;30,"Lead")</f>
        <v>Junior</v>
      </c>
    </row>
    <row r="1213" spans="1:8" x14ac:dyDescent="0.3">
      <c r="A1213" s="7">
        <v>10368</v>
      </c>
      <c r="B1213" t="str" cm="1">
        <f t="array" ref="B1213">_xlfn.IFS(A1213&lt;=8000,"low",A1213&lt;15000,"medium",A1213&gt;=15000,"high")</f>
        <v>medium</v>
      </c>
      <c r="G1213" s="2">
        <v>13</v>
      </c>
      <c r="H1213" t="str" cm="1">
        <f t="array" ref="H1213">_xlfn.IFS(G1213&lt;=15,"Junior",G1213&lt;=30,"Mid level",G1213&gt;30,"Lead")</f>
        <v>Junior</v>
      </c>
    </row>
    <row r="1214" spans="1:8" x14ac:dyDescent="0.3">
      <c r="A1214" s="8">
        <v>10377</v>
      </c>
      <c r="B1214" t="str" cm="1">
        <f t="array" ref="B1214">_xlfn.IFS(A1214&lt;=8000,"low",A1214&lt;15000,"medium",A1214&gt;=15000,"high")</f>
        <v>medium</v>
      </c>
      <c r="G1214" s="1">
        <v>16</v>
      </c>
      <c r="H1214" t="str" cm="1">
        <f t="array" ref="H1214">_xlfn.IFS(G1214&lt;=15,"Junior",G1214&lt;=30,"Mid level",G1214&gt;30,"Lead")</f>
        <v>Mid level</v>
      </c>
    </row>
    <row r="1215" spans="1:8" x14ac:dyDescent="0.3">
      <c r="A1215" s="7">
        <v>10388</v>
      </c>
      <c r="B1215" t="str" cm="1">
        <f t="array" ref="B1215">_xlfn.IFS(A1215&lt;=8000,"low",A1215&lt;15000,"medium",A1215&gt;=15000,"high")</f>
        <v>medium</v>
      </c>
      <c r="G1215" s="2">
        <v>14</v>
      </c>
      <c r="H1215" t="str" cm="1">
        <f t="array" ref="H1215">_xlfn.IFS(G1215&lt;=15,"Junior",G1215&lt;=30,"Mid level",G1215&gt;30,"Lead")</f>
        <v>Junior</v>
      </c>
    </row>
    <row r="1216" spans="1:8" x14ac:dyDescent="0.3">
      <c r="A1216" s="8">
        <v>10400</v>
      </c>
      <c r="B1216" t="str" cm="1">
        <f t="array" ref="B1216">_xlfn.IFS(A1216&lt;=8000,"low",A1216&lt;15000,"medium",A1216&gt;=15000,"high")</f>
        <v>medium</v>
      </c>
      <c r="G1216" s="1">
        <v>14</v>
      </c>
      <c r="H1216" t="str" cm="1">
        <f t="array" ref="H1216">_xlfn.IFS(G1216&lt;=15,"Junior",G1216&lt;=30,"Mid level",G1216&gt;30,"Lead")</f>
        <v>Junior</v>
      </c>
    </row>
    <row r="1217" spans="1:8" x14ac:dyDescent="0.3">
      <c r="A1217" s="7">
        <v>10422</v>
      </c>
      <c r="B1217" t="str" cm="1">
        <f t="array" ref="B1217">_xlfn.IFS(A1217&lt;=8000,"low",A1217&lt;15000,"medium",A1217&gt;=15000,"high")</f>
        <v>medium</v>
      </c>
      <c r="G1217" s="2">
        <v>18</v>
      </c>
      <c r="H1217" t="str" cm="1">
        <f t="array" ref="H1217">_xlfn.IFS(G1217&lt;=15,"Junior",G1217&lt;=30,"Mid level",G1217&gt;30,"Lead")</f>
        <v>Mid level</v>
      </c>
    </row>
    <row r="1218" spans="1:8" x14ac:dyDescent="0.3">
      <c r="A1218" s="8">
        <v>10435</v>
      </c>
      <c r="B1218" t="str" cm="1">
        <f t="array" ref="B1218">_xlfn.IFS(A1218&lt;=8000,"low",A1218&lt;15000,"medium",A1218&gt;=15000,"high")</f>
        <v>medium</v>
      </c>
      <c r="G1218" s="1">
        <v>8</v>
      </c>
      <c r="H1218" t="str" cm="1">
        <f t="array" ref="H1218">_xlfn.IFS(G1218&lt;=15,"Junior",G1218&lt;=30,"Mid level",G1218&gt;30,"Lead")</f>
        <v>Junior</v>
      </c>
    </row>
    <row r="1219" spans="1:8" x14ac:dyDescent="0.3">
      <c r="A1219" s="7">
        <v>10445</v>
      </c>
      <c r="B1219" t="str" cm="1">
        <f t="array" ref="B1219">_xlfn.IFS(A1219&lt;=8000,"low",A1219&lt;15000,"medium",A1219&gt;=15000,"high")</f>
        <v>medium</v>
      </c>
      <c r="G1219" s="2">
        <v>22</v>
      </c>
      <c r="H1219" t="str" cm="1">
        <f t="array" ref="H1219">_xlfn.IFS(G1219&lt;=15,"Junior",G1219&lt;=30,"Mid level",G1219&gt;30,"Lead")</f>
        <v>Mid level</v>
      </c>
    </row>
    <row r="1220" spans="1:8" x14ac:dyDescent="0.3">
      <c r="A1220" s="8">
        <v>10447</v>
      </c>
      <c r="B1220" t="str" cm="1">
        <f t="array" ref="B1220">_xlfn.IFS(A1220&lt;=8000,"low",A1220&lt;15000,"medium",A1220&gt;=15000,"high")</f>
        <v>medium</v>
      </c>
      <c r="G1220" s="1">
        <v>2</v>
      </c>
      <c r="H1220" t="str" cm="1">
        <f t="array" ref="H1220">_xlfn.IFS(G1220&lt;=15,"Junior",G1220&lt;=30,"Mid level",G1220&gt;30,"Lead")</f>
        <v>Junior</v>
      </c>
    </row>
    <row r="1221" spans="1:8" x14ac:dyDescent="0.3">
      <c r="A1221" s="7">
        <v>10448</v>
      </c>
      <c r="B1221" t="str" cm="1">
        <f t="array" ref="B1221">_xlfn.IFS(A1221&lt;=8000,"low",A1221&lt;15000,"medium",A1221&gt;=15000,"high")</f>
        <v>medium</v>
      </c>
      <c r="G1221" s="2">
        <v>24</v>
      </c>
      <c r="H1221" t="str" cm="1">
        <f t="array" ref="H1221">_xlfn.IFS(G1221&lt;=15,"Junior",G1221&lt;=30,"Mid level",G1221&gt;30,"Lead")</f>
        <v>Mid level</v>
      </c>
    </row>
    <row r="1222" spans="1:8" x14ac:dyDescent="0.3">
      <c r="A1222" s="8">
        <v>10453</v>
      </c>
      <c r="B1222" t="str" cm="1">
        <f t="array" ref="B1222">_xlfn.IFS(A1222&lt;=8000,"low",A1222&lt;15000,"medium",A1222&gt;=15000,"high")</f>
        <v>medium</v>
      </c>
      <c r="G1222" s="1">
        <v>8</v>
      </c>
      <c r="H1222" t="str" cm="1">
        <f t="array" ref="H1222">_xlfn.IFS(G1222&lt;=15,"Junior",G1222&lt;=30,"Mid level",G1222&gt;30,"Lead")</f>
        <v>Junior</v>
      </c>
    </row>
    <row r="1223" spans="1:8" x14ac:dyDescent="0.3">
      <c r="A1223" s="7">
        <v>10466</v>
      </c>
      <c r="B1223" t="str" cm="1">
        <f t="array" ref="B1223">_xlfn.IFS(A1223&lt;=8000,"low",A1223&lt;15000,"medium",A1223&gt;=15000,"high")</f>
        <v>medium</v>
      </c>
      <c r="G1223" s="2">
        <v>18</v>
      </c>
      <c r="H1223" t="str" cm="1">
        <f t="array" ref="H1223">_xlfn.IFS(G1223&lt;=15,"Junior",G1223&lt;=30,"Mid level",G1223&gt;30,"Lead")</f>
        <v>Mid level</v>
      </c>
    </row>
    <row r="1224" spans="1:8" x14ac:dyDescent="0.3">
      <c r="A1224" s="8">
        <v>10475</v>
      </c>
      <c r="B1224" t="str" cm="1">
        <f t="array" ref="B1224">_xlfn.IFS(A1224&lt;=8000,"low",A1224&lt;15000,"medium",A1224&gt;=15000,"high")</f>
        <v>medium</v>
      </c>
      <c r="G1224" s="1">
        <v>20</v>
      </c>
      <c r="H1224" t="str" cm="1">
        <f t="array" ref="H1224">_xlfn.IFS(G1224&lt;=15,"Junior",G1224&lt;=30,"Mid level",G1224&gt;30,"Lead")</f>
        <v>Mid level</v>
      </c>
    </row>
    <row r="1225" spans="1:8" x14ac:dyDescent="0.3">
      <c r="A1225" s="7">
        <v>10482</v>
      </c>
      <c r="B1225" t="str" cm="1">
        <f t="array" ref="B1225">_xlfn.IFS(A1225&lt;=8000,"low",A1225&lt;15000,"medium",A1225&gt;=15000,"high")</f>
        <v>medium</v>
      </c>
      <c r="G1225" s="2">
        <v>4</v>
      </c>
      <c r="H1225" t="str" cm="1">
        <f t="array" ref="H1225">_xlfn.IFS(G1225&lt;=15,"Junior",G1225&lt;=30,"Mid level",G1225&gt;30,"Lead")</f>
        <v>Junior</v>
      </c>
    </row>
    <row r="1226" spans="1:8" x14ac:dyDescent="0.3">
      <c r="A1226" s="8">
        <v>10496</v>
      </c>
      <c r="B1226" t="str" cm="1">
        <f t="array" ref="B1226">_xlfn.IFS(A1226&lt;=8000,"low",A1226&lt;15000,"medium",A1226&gt;=15000,"high")</f>
        <v>medium</v>
      </c>
      <c r="G1226" s="1">
        <v>5</v>
      </c>
      <c r="H1226" t="str" cm="1">
        <f t="array" ref="H1226">_xlfn.IFS(G1226&lt;=15,"Junior",G1226&lt;=30,"Mid level",G1226&gt;30,"Lead")</f>
        <v>Junior</v>
      </c>
    </row>
    <row r="1227" spans="1:8" x14ac:dyDescent="0.3">
      <c r="A1227" s="7">
        <v>10502</v>
      </c>
      <c r="B1227" t="str" cm="1">
        <f t="array" ref="B1227">_xlfn.IFS(A1227&lt;=8000,"low",A1227&lt;15000,"medium",A1227&gt;=15000,"high")</f>
        <v>medium</v>
      </c>
      <c r="G1227" s="2">
        <v>9</v>
      </c>
      <c r="H1227" t="str" cm="1">
        <f t="array" ref="H1227">_xlfn.IFS(G1227&lt;=15,"Junior",G1227&lt;=30,"Mid level",G1227&gt;30,"Lead")</f>
        <v>Junior</v>
      </c>
    </row>
    <row r="1228" spans="1:8" x14ac:dyDescent="0.3">
      <c r="A1228" s="8">
        <v>10512</v>
      </c>
      <c r="B1228" t="str" cm="1">
        <f t="array" ref="B1228">_xlfn.IFS(A1228&lt;=8000,"low",A1228&lt;15000,"medium",A1228&gt;=15000,"high")</f>
        <v>medium</v>
      </c>
      <c r="G1228" s="1">
        <v>2</v>
      </c>
      <c r="H1228" t="str" cm="1">
        <f t="array" ref="H1228">_xlfn.IFS(G1228&lt;=15,"Junior",G1228&lt;=30,"Mid level",G1228&gt;30,"Lead")</f>
        <v>Junior</v>
      </c>
    </row>
    <row r="1229" spans="1:8" x14ac:dyDescent="0.3">
      <c r="A1229" s="7">
        <v>10527</v>
      </c>
      <c r="B1229" t="str" cm="1">
        <f t="array" ref="B1229">_xlfn.IFS(A1229&lt;=8000,"low",A1229&lt;15000,"medium",A1229&gt;=15000,"high")</f>
        <v>medium</v>
      </c>
      <c r="G1229" s="2">
        <v>6</v>
      </c>
      <c r="H1229" t="str" cm="1">
        <f t="array" ref="H1229">_xlfn.IFS(G1229&lt;=15,"Junior",G1229&lt;=30,"Mid level",G1229&gt;30,"Lead")</f>
        <v>Junior</v>
      </c>
    </row>
    <row r="1230" spans="1:8" x14ac:dyDescent="0.3">
      <c r="A1230" s="8">
        <v>10552</v>
      </c>
      <c r="B1230" t="str" cm="1">
        <f t="array" ref="B1230">_xlfn.IFS(A1230&lt;=8000,"low",A1230&lt;15000,"medium",A1230&gt;=15000,"high")</f>
        <v>medium</v>
      </c>
      <c r="G1230" s="1">
        <v>4</v>
      </c>
      <c r="H1230" t="str" cm="1">
        <f t="array" ref="H1230">_xlfn.IFS(G1230&lt;=15,"Junior",G1230&lt;=30,"Mid level",G1230&gt;30,"Lead")</f>
        <v>Junior</v>
      </c>
    </row>
    <row r="1231" spans="1:8" x14ac:dyDescent="0.3">
      <c r="A1231" s="7">
        <v>10596</v>
      </c>
      <c r="B1231" t="str" cm="1">
        <f t="array" ref="B1231">_xlfn.IFS(A1231&lt;=8000,"low",A1231&lt;15000,"medium",A1231&gt;=15000,"high")</f>
        <v>medium</v>
      </c>
      <c r="G1231" s="2">
        <v>16</v>
      </c>
      <c r="H1231" t="str" cm="1">
        <f t="array" ref="H1231">_xlfn.IFS(G1231&lt;=15,"Junior",G1231&lt;=30,"Mid level",G1231&gt;30,"Lead")</f>
        <v>Mid level</v>
      </c>
    </row>
    <row r="1232" spans="1:8" x14ac:dyDescent="0.3">
      <c r="A1232" s="8">
        <v>10609</v>
      </c>
      <c r="B1232" t="str" cm="1">
        <f t="array" ref="B1232">_xlfn.IFS(A1232&lt;=8000,"low",A1232&lt;15000,"medium",A1232&gt;=15000,"high")</f>
        <v>medium</v>
      </c>
      <c r="G1232" s="1">
        <v>14</v>
      </c>
      <c r="H1232" t="str" cm="1">
        <f t="array" ref="H1232">_xlfn.IFS(G1232&lt;=15,"Junior",G1232&lt;=30,"Mid level",G1232&gt;30,"Lead")</f>
        <v>Junior</v>
      </c>
    </row>
    <row r="1233" spans="1:8" x14ac:dyDescent="0.3">
      <c r="A1233" s="7">
        <v>10609</v>
      </c>
      <c r="B1233" t="str" cm="1">
        <f t="array" ref="B1233">_xlfn.IFS(A1233&lt;=8000,"low",A1233&lt;15000,"medium",A1233&gt;=15000,"high")</f>
        <v>medium</v>
      </c>
      <c r="G1233" s="2">
        <v>13</v>
      </c>
      <c r="H1233" t="str" cm="1">
        <f t="array" ref="H1233">_xlfn.IFS(G1233&lt;=15,"Junior",G1233&lt;=30,"Mid level",G1233&gt;30,"Lead")</f>
        <v>Junior</v>
      </c>
    </row>
    <row r="1234" spans="1:8" x14ac:dyDescent="0.3">
      <c r="A1234" s="8">
        <v>10648</v>
      </c>
      <c r="B1234" t="str" cm="1">
        <f t="array" ref="B1234">_xlfn.IFS(A1234&lt;=8000,"low",A1234&lt;15000,"medium",A1234&gt;=15000,"high")</f>
        <v>medium</v>
      </c>
      <c r="G1234" s="1">
        <v>4</v>
      </c>
      <c r="H1234" t="str" cm="1">
        <f t="array" ref="H1234">_xlfn.IFS(G1234&lt;=15,"Junior",G1234&lt;=30,"Mid level",G1234&gt;30,"Lead")</f>
        <v>Junior</v>
      </c>
    </row>
    <row r="1235" spans="1:8" x14ac:dyDescent="0.3">
      <c r="A1235" s="7">
        <v>10650</v>
      </c>
      <c r="B1235" t="str" cm="1">
        <f t="array" ref="B1235">_xlfn.IFS(A1235&lt;=8000,"low",A1235&lt;15000,"medium",A1235&gt;=15000,"high")</f>
        <v>medium</v>
      </c>
      <c r="G1235" s="2">
        <v>10</v>
      </c>
      <c r="H1235" t="str" cm="1">
        <f t="array" ref="H1235">_xlfn.IFS(G1235&lt;=15,"Junior",G1235&lt;=30,"Mid level",G1235&gt;30,"Lead")</f>
        <v>Junior</v>
      </c>
    </row>
    <row r="1236" spans="1:8" x14ac:dyDescent="0.3">
      <c r="A1236" s="8">
        <v>10673</v>
      </c>
      <c r="B1236" t="str" cm="1">
        <f t="array" ref="B1236">_xlfn.IFS(A1236&lt;=8000,"low",A1236&lt;15000,"medium",A1236&gt;=15000,"high")</f>
        <v>medium</v>
      </c>
      <c r="G1236" s="1">
        <v>17</v>
      </c>
      <c r="H1236" t="str" cm="1">
        <f t="array" ref="H1236">_xlfn.IFS(G1236&lt;=15,"Junior",G1236&lt;=30,"Mid level",G1236&gt;30,"Lead")</f>
        <v>Mid level</v>
      </c>
    </row>
    <row r="1237" spans="1:8" x14ac:dyDescent="0.3">
      <c r="A1237" s="7">
        <v>10685</v>
      </c>
      <c r="B1237" t="str" cm="1">
        <f t="array" ref="B1237">_xlfn.IFS(A1237&lt;=8000,"low",A1237&lt;15000,"medium",A1237&gt;=15000,"high")</f>
        <v>medium</v>
      </c>
      <c r="G1237" s="2">
        <v>9</v>
      </c>
      <c r="H1237" t="str" cm="1">
        <f t="array" ref="H1237">_xlfn.IFS(G1237&lt;=15,"Junior",G1237&lt;=30,"Mid level",G1237&gt;30,"Lead")</f>
        <v>Junior</v>
      </c>
    </row>
    <row r="1238" spans="1:8" x14ac:dyDescent="0.3">
      <c r="A1238" s="8">
        <v>10686</v>
      </c>
      <c r="B1238" t="str" cm="1">
        <f t="array" ref="B1238">_xlfn.IFS(A1238&lt;=8000,"low",A1238&lt;15000,"medium",A1238&gt;=15000,"high")</f>
        <v>medium</v>
      </c>
      <c r="G1238" s="1">
        <v>9</v>
      </c>
      <c r="H1238" t="str" cm="1">
        <f t="array" ref="H1238">_xlfn.IFS(G1238&lt;=15,"Junior",G1238&lt;=30,"Mid level",G1238&gt;30,"Lead")</f>
        <v>Junior</v>
      </c>
    </row>
    <row r="1239" spans="1:8" x14ac:dyDescent="0.3">
      <c r="A1239" s="7">
        <v>10725</v>
      </c>
      <c r="B1239" t="str" cm="1">
        <f t="array" ref="B1239">_xlfn.IFS(A1239&lt;=8000,"low",A1239&lt;15000,"medium",A1239&gt;=15000,"high")</f>
        <v>medium</v>
      </c>
      <c r="G1239" s="2">
        <v>10</v>
      </c>
      <c r="H1239" t="str" cm="1">
        <f t="array" ref="H1239">_xlfn.IFS(G1239&lt;=15,"Junior",G1239&lt;=30,"Mid level",G1239&gt;30,"Lead")</f>
        <v>Junior</v>
      </c>
    </row>
    <row r="1240" spans="1:8" x14ac:dyDescent="0.3">
      <c r="A1240" s="8">
        <v>10739</v>
      </c>
      <c r="B1240" t="str" cm="1">
        <f t="array" ref="B1240">_xlfn.IFS(A1240&lt;=8000,"low",A1240&lt;15000,"medium",A1240&gt;=15000,"high")</f>
        <v>medium</v>
      </c>
      <c r="G1240" s="1">
        <v>23</v>
      </c>
      <c r="H1240" t="str" cm="1">
        <f t="array" ref="H1240">_xlfn.IFS(G1240&lt;=15,"Junior",G1240&lt;=30,"Mid level",G1240&gt;30,"Lead")</f>
        <v>Mid level</v>
      </c>
    </row>
    <row r="1241" spans="1:8" x14ac:dyDescent="0.3">
      <c r="A1241" s="7">
        <v>10748</v>
      </c>
      <c r="B1241" t="str" cm="1">
        <f t="array" ref="B1241">_xlfn.IFS(A1241&lt;=8000,"low",A1241&lt;15000,"medium",A1241&gt;=15000,"high")</f>
        <v>medium</v>
      </c>
      <c r="G1241" s="2">
        <v>5</v>
      </c>
      <c r="H1241" t="str" cm="1">
        <f t="array" ref="H1241">_xlfn.IFS(G1241&lt;=15,"Junior",G1241&lt;=30,"Mid level",G1241&gt;30,"Lead")</f>
        <v>Junior</v>
      </c>
    </row>
    <row r="1242" spans="1:8" x14ac:dyDescent="0.3">
      <c r="A1242" s="8">
        <v>10761</v>
      </c>
      <c r="B1242" t="str" cm="1">
        <f t="array" ref="B1242">_xlfn.IFS(A1242&lt;=8000,"low",A1242&lt;15000,"medium",A1242&gt;=15000,"high")</f>
        <v>medium</v>
      </c>
      <c r="G1242" s="1">
        <v>13</v>
      </c>
      <c r="H1242" t="str" cm="1">
        <f t="array" ref="H1242">_xlfn.IFS(G1242&lt;=15,"Junior",G1242&lt;=30,"Mid level",G1242&gt;30,"Lead")</f>
        <v>Junior</v>
      </c>
    </row>
    <row r="1243" spans="1:8" x14ac:dyDescent="0.3">
      <c r="A1243" s="7">
        <v>10793</v>
      </c>
      <c r="B1243" t="str" cm="1">
        <f t="array" ref="B1243">_xlfn.IFS(A1243&lt;=8000,"low",A1243&lt;15000,"medium",A1243&gt;=15000,"high")</f>
        <v>medium</v>
      </c>
      <c r="G1243" s="2">
        <v>1</v>
      </c>
      <c r="H1243" t="str" cm="1">
        <f t="array" ref="H1243">_xlfn.IFS(G1243&lt;=15,"Junior",G1243&lt;=30,"Mid level",G1243&gt;30,"Lead")</f>
        <v>Junior</v>
      </c>
    </row>
    <row r="1244" spans="1:8" x14ac:dyDescent="0.3">
      <c r="A1244" s="8">
        <v>10798</v>
      </c>
      <c r="B1244" t="str" cm="1">
        <f t="array" ref="B1244">_xlfn.IFS(A1244&lt;=8000,"low",A1244&lt;15000,"medium",A1244&gt;=15000,"high")</f>
        <v>medium</v>
      </c>
      <c r="G1244" s="1">
        <v>8</v>
      </c>
      <c r="H1244" t="str" cm="1">
        <f t="array" ref="H1244">_xlfn.IFS(G1244&lt;=15,"Junior",G1244&lt;=30,"Mid level",G1244&gt;30,"Lead")</f>
        <v>Junior</v>
      </c>
    </row>
    <row r="1245" spans="1:8" x14ac:dyDescent="0.3">
      <c r="A1245" s="7">
        <v>10820</v>
      </c>
      <c r="B1245" t="str" cm="1">
        <f t="array" ref="B1245">_xlfn.IFS(A1245&lt;=8000,"low",A1245&lt;15000,"medium",A1245&gt;=15000,"high")</f>
        <v>medium</v>
      </c>
      <c r="G1245" s="2">
        <v>8</v>
      </c>
      <c r="H1245" t="str" cm="1">
        <f t="array" ref="H1245">_xlfn.IFS(G1245&lt;=15,"Junior",G1245&lt;=30,"Mid level",G1245&gt;30,"Lead")</f>
        <v>Junior</v>
      </c>
    </row>
    <row r="1246" spans="1:8" x14ac:dyDescent="0.3">
      <c r="A1246" s="8">
        <v>10845</v>
      </c>
      <c r="B1246" t="str" cm="1">
        <f t="array" ref="B1246">_xlfn.IFS(A1246&lt;=8000,"low",A1246&lt;15000,"medium",A1246&gt;=15000,"high")</f>
        <v>medium</v>
      </c>
      <c r="G1246" s="1">
        <v>7</v>
      </c>
      <c r="H1246" t="str" cm="1">
        <f t="array" ref="H1246">_xlfn.IFS(G1246&lt;=15,"Junior",G1246&lt;=30,"Mid level",G1246&gt;30,"Lead")</f>
        <v>Junior</v>
      </c>
    </row>
    <row r="1247" spans="1:8" x14ac:dyDescent="0.3">
      <c r="A1247" s="7">
        <v>10851</v>
      </c>
      <c r="B1247" t="str" cm="1">
        <f t="array" ref="B1247">_xlfn.IFS(A1247&lt;=8000,"low",A1247&lt;15000,"medium",A1247&gt;=15000,"high")</f>
        <v>medium</v>
      </c>
      <c r="G1247" s="2">
        <v>3</v>
      </c>
      <c r="H1247" t="str" cm="1">
        <f t="array" ref="H1247">_xlfn.IFS(G1247&lt;=15,"Junior",G1247&lt;=30,"Mid level",G1247&gt;30,"Lead")</f>
        <v>Junior</v>
      </c>
    </row>
    <row r="1248" spans="1:8" x14ac:dyDescent="0.3">
      <c r="A1248" s="8">
        <v>10854</v>
      </c>
      <c r="B1248" t="str" cm="1">
        <f t="array" ref="B1248">_xlfn.IFS(A1248&lt;=8000,"low",A1248&lt;15000,"medium",A1248&gt;=15000,"high")</f>
        <v>medium</v>
      </c>
      <c r="G1248" s="1">
        <v>12</v>
      </c>
      <c r="H1248" t="str" cm="1">
        <f t="array" ref="H1248">_xlfn.IFS(G1248&lt;=15,"Junior",G1248&lt;=30,"Mid level",G1248&gt;30,"Lead")</f>
        <v>Junior</v>
      </c>
    </row>
    <row r="1249" spans="1:8" x14ac:dyDescent="0.3">
      <c r="A1249" s="7">
        <v>10855</v>
      </c>
      <c r="B1249" t="str" cm="1">
        <f t="array" ref="B1249">_xlfn.IFS(A1249&lt;=8000,"low",A1249&lt;15000,"medium",A1249&gt;=15000,"high")</f>
        <v>medium</v>
      </c>
      <c r="G1249" s="2">
        <v>21</v>
      </c>
      <c r="H1249" t="str" cm="1">
        <f t="array" ref="H1249">_xlfn.IFS(G1249&lt;=15,"Junior",G1249&lt;=30,"Mid level",G1249&gt;30,"Lead")</f>
        <v>Mid level</v>
      </c>
    </row>
    <row r="1250" spans="1:8" x14ac:dyDescent="0.3">
      <c r="A1250" s="8">
        <v>10880</v>
      </c>
      <c r="B1250" t="str" cm="1">
        <f t="array" ref="B1250">_xlfn.IFS(A1250&lt;=8000,"low",A1250&lt;15000,"medium",A1250&gt;=15000,"high")</f>
        <v>medium</v>
      </c>
      <c r="G1250" s="1">
        <v>1</v>
      </c>
      <c r="H1250" t="str" cm="1">
        <f t="array" ref="H1250">_xlfn.IFS(G1250&lt;=15,"Junior",G1250&lt;=30,"Mid level",G1250&gt;30,"Lead")</f>
        <v>Junior</v>
      </c>
    </row>
    <row r="1251" spans="1:8" x14ac:dyDescent="0.3">
      <c r="A1251" s="7">
        <v>10883</v>
      </c>
      <c r="B1251" t="str" cm="1">
        <f t="array" ref="B1251">_xlfn.IFS(A1251&lt;=8000,"low",A1251&lt;15000,"medium",A1251&gt;=15000,"high")</f>
        <v>medium</v>
      </c>
      <c r="G1251" s="2">
        <v>13</v>
      </c>
      <c r="H1251" t="str" cm="1">
        <f t="array" ref="H1251">_xlfn.IFS(G1251&lt;=15,"Junior",G1251&lt;=30,"Mid level",G1251&gt;30,"Lead")</f>
        <v>Junior</v>
      </c>
    </row>
    <row r="1252" spans="1:8" x14ac:dyDescent="0.3">
      <c r="A1252" s="8">
        <v>10903</v>
      </c>
      <c r="B1252" t="str" cm="1">
        <f t="array" ref="B1252">_xlfn.IFS(A1252&lt;=8000,"low",A1252&lt;15000,"medium",A1252&gt;=15000,"high")</f>
        <v>medium</v>
      </c>
      <c r="G1252" s="1">
        <v>6</v>
      </c>
      <c r="H1252" t="str" cm="1">
        <f t="array" ref="H1252">_xlfn.IFS(G1252&lt;=15,"Junior",G1252&lt;=30,"Mid level",G1252&gt;30,"Lead")</f>
        <v>Junior</v>
      </c>
    </row>
    <row r="1253" spans="1:8" x14ac:dyDescent="0.3">
      <c r="A1253" s="7">
        <v>10920</v>
      </c>
      <c r="B1253" t="str" cm="1">
        <f t="array" ref="B1253">_xlfn.IFS(A1253&lt;=8000,"low",A1253&lt;15000,"medium",A1253&gt;=15000,"high")</f>
        <v>medium</v>
      </c>
      <c r="G1253" s="2">
        <v>1</v>
      </c>
      <c r="H1253" t="str" cm="1">
        <f t="array" ref="H1253">_xlfn.IFS(G1253&lt;=15,"Junior",G1253&lt;=30,"Mid level",G1253&gt;30,"Lead")</f>
        <v>Junior</v>
      </c>
    </row>
    <row r="1254" spans="1:8" x14ac:dyDescent="0.3">
      <c r="A1254" s="8">
        <v>10932</v>
      </c>
      <c r="B1254" t="str" cm="1">
        <f t="array" ref="B1254">_xlfn.IFS(A1254&lt;=8000,"low",A1254&lt;15000,"medium",A1254&gt;=15000,"high")</f>
        <v>medium</v>
      </c>
      <c r="G1254" s="1">
        <v>5</v>
      </c>
      <c r="H1254" t="str" cm="1">
        <f t="array" ref="H1254">_xlfn.IFS(G1254&lt;=15,"Junior",G1254&lt;=30,"Mid level",G1254&gt;30,"Lead")</f>
        <v>Junior</v>
      </c>
    </row>
    <row r="1255" spans="1:8" x14ac:dyDescent="0.3">
      <c r="A1255" s="7">
        <v>10934</v>
      </c>
      <c r="B1255" t="str" cm="1">
        <f t="array" ref="B1255">_xlfn.IFS(A1255&lt;=8000,"low",A1255&lt;15000,"medium",A1255&gt;=15000,"high")</f>
        <v>medium</v>
      </c>
      <c r="G1255" s="2">
        <v>19</v>
      </c>
      <c r="H1255" t="str" cm="1">
        <f t="array" ref="H1255">_xlfn.IFS(G1255&lt;=15,"Junior",G1255&lt;=30,"Mid level",G1255&gt;30,"Lead")</f>
        <v>Mid level</v>
      </c>
    </row>
    <row r="1256" spans="1:8" x14ac:dyDescent="0.3">
      <c r="A1256" s="8">
        <v>10938</v>
      </c>
      <c r="B1256" t="str" cm="1">
        <f t="array" ref="B1256">_xlfn.IFS(A1256&lt;=8000,"low",A1256&lt;15000,"medium",A1256&gt;=15000,"high")</f>
        <v>medium</v>
      </c>
      <c r="G1256" s="1">
        <v>5</v>
      </c>
      <c r="H1256" t="str" cm="1">
        <f t="array" ref="H1256">_xlfn.IFS(G1256&lt;=15,"Junior",G1256&lt;=30,"Mid level",G1256&gt;30,"Lead")</f>
        <v>Junior</v>
      </c>
    </row>
    <row r="1257" spans="1:8" x14ac:dyDescent="0.3">
      <c r="A1257" s="7">
        <v>10965</v>
      </c>
      <c r="B1257" t="str" cm="1">
        <f t="array" ref="B1257">_xlfn.IFS(A1257&lt;=8000,"low",A1257&lt;15000,"medium",A1257&gt;=15000,"high")</f>
        <v>medium</v>
      </c>
      <c r="G1257" s="2">
        <v>3</v>
      </c>
      <c r="H1257" t="str" cm="1">
        <f t="array" ref="H1257">_xlfn.IFS(G1257&lt;=15,"Junior",G1257&lt;=30,"Mid level",G1257&gt;30,"Lead")</f>
        <v>Junior</v>
      </c>
    </row>
    <row r="1258" spans="1:8" x14ac:dyDescent="0.3">
      <c r="A1258" s="8">
        <v>10976</v>
      </c>
      <c r="B1258" t="str" cm="1">
        <f t="array" ref="B1258">_xlfn.IFS(A1258&lt;=8000,"low",A1258&lt;15000,"medium",A1258&gt;=15000,"high")</f>
        <v>medium</v>
      </c>
      <c r="G1258" s="1">
        <v>15</v>
      </c>
      <c r="H1258" t="str" cm="1">
        <f t="array" ref="H1258">_xlfn.IFS(G1258&lt;=15,"Junior",G1258&lt;=30,"Mid level",G1258&gt;30,"Lead")</f>
        <v>Junior</v>
      </c>
    </row>
    <row r="1259" spans="1:8" x14ac:dyDescent="0.3">
      <c r="A1259" s="7">
        <v>10999</v>
      </c>
      <c r="B1259" t="str" cm="1">
        <f t="array" ref="B1259">_xlfn.IFS(A1259&lt;=8000,"low",A1259&lt;15000,"medium",A1259&gt;=15000,"high")</f>
        <v>medium</v>
      </c>
      <c r="G1259" s="2">
        <v>11</v>
      </c>
      <c r="H1259" t="str" cm="1">
        <f t="array" ref="H1259">_xlfn.IFS(G1259&lt;=15,"Junior",G1259&lt;=30,"Mid level",G1259&gt;30,"Lead")</f>
        <v>Junior</v>
      </c>
    </row>
    <row r="1260" spans="1:8" x14ac:dyDescent="0.3">
      <c r="A1260" s="8">
        <v>11031</v>
      </c>
      <c r="B1260" t="str" cm="1">
        <f t="array" ref="B1260">_xlfn.IFS(A1260&lt;=8000,"low",A1260&lt;15000,"medium",A1260&gt;=15000,"high")</f>
        <v>medium</v>
      </c>
      <c r="G1260" s="1">
        <v>10</v>
      </c>
      <c r="H1260" t="str" cm="1">
        <f t="array" ref="H1260">_xlfn.IFS(G1260&lt;=15,"Junior",G1260&lt;=30,"Mid level",G1260&gt;30,"Lead")</f>
        <v>Junior</v>
      </c>
    </row>
    <row r="1261" spans="1:8" x14ac:dyDescent="0.3">
      <c r="A1261" s="7">
        <v>11103</v>
      </c>
      <c r="B1261" t="str" cm="1">
        <f t="array" ref="B1261">_xlfn.IFS(A1261&lt;=8000,"low",A1261&lt;15000,"medium",A1261&gt;=15000,"high")</f>
        <v>medium</v>
      </c>
      <c r="G1261" s="2">
        <v>7</v>
      </c>
      <c r="H1261" t="str" cm="1">
        <f t="array" ref="H1261">_xlfn.IFS(G1261&lt;=15,"Junior",G1261&lt;=30,"Mid level",G1261&gt;30,"Lead")</f>
        <v>Junior</v>
      </c>
    </row>
    <row r="1262" spans="1:8" x14ac:dyDescent="0.3">
      <c r="A1262" s="8">
        <v>11159</v>
      </c>
      <c r="B1262" t="str" cm="1">
        <f t="array" ref="B1262">_xlfn.IFS(A1262&lt;=8000,"low",A1262&lt;15000,"medium",A1262&gt;=15000,"high")</f>
        <v>medium</v>
      </c>
      <c r="G1262" s="1">
        <v>5</v>
      </c>
      <c r="H1262" t="str" cm="1">
        <f t="array" ref="H1262">_xlfn.IFS(G1262&lt;=15,"Junior",G1262&lt;=30,"Mid level",G1262&gt;30,"Lead")</f>
        <v>Junior</v>
      </c>
    </row>
    <row r="1263" spans="1:8" x14ac:dyDescent="0.3">
      <c r="A1263" s="7">
        <v>11244</v>
      </c>
      <c r="B1263" t="str" cm="1">
        <f t="array" ref="B1263">_xlfn.IFS(A1263&lt;=8000,"low",A1263&lt;15000,"medium",A1263&gt;=15000,"high")</f>
        <v>medium</v>
      </c>
      <c r="G1263" s="2">
        <v>30</v>
      </c>
      <c r="H1263" t="str" cm="1">
        <f t="array" ref="H1263">_xlfn.IFS(G1263&lt;=15,"Junior",G1263&lt;=30,"Mid level",G1263&gt;30,"Lead")</f>
        <v>Mid level</v>
      </c>
    </row>
    <row r="1264" spans="1:8" x14ac:dyDescent="0.3">
      <c r="A1264" s="8">
        <v>11245</v>
      </c>
      <c r="B1264" t="str" cm="1">
        <f t="array" ref="B1264">_xlfn.IFS(A1264&lt;=8000,"low",A1264&lt;15000,"medium",A1264&gt;=15000,"high")</f>
        <v>medium</v>
      </c>
      <c r="G1264" s="1">
        <v>8</v>
      </c>
      <c r="H1264" t="str" cm="1">
        <f t="array" ref="H1264">_xlfn.IFS(G1264&lt;=15,"Junior",G1264&lt;=30,"Mid level",G1264&gt;30,"Lead")</f>
        <v>Junior</v>
      </c>
    </row>
    <row r="1265" spans="1:8" x14ac:dyDescent="0.3">
      <c r="A1265" s="7">
        <v>11416</v>
      </c>
      <c r="B1265" t="str" cm="1">
        <f t="array" ref="B1265">_xlfn.IFS(A1265&lt;=8000,"low",A1265&lt;15000,"medium",A1265&gt;=15000,"high")</f>
        <v>medium</v>
      </c>
      <c r="G1265" s="2">
        <v>11</v>
      </c>
      <c r="H1265" t="str" cm="1">
        <f t="array" ref="H1265">_xlfn.IFS(G1265&lt;=15,"Junior",G1265&lt;=30,"Mid level",G1265&gt;30,"Lead")</f>
        <v>Junior</v>
      </c>
    </row>
    <row r="1266" spans="1:8" x14ac:dyDescent="0.3">
      <c r="A1266" s="8">
        <v>11510</v>
      </c>
      <c r="B1266" t="str" cm="1">
        <f t="array" ref="B1266">_xlfn.IFS(A1266&lt;=8000,"low",A1266&lt;15000,"medium",A1266&gt;=15000,"high")</f>
        <v>medium</v>
      </c>
      <c r="G1266" s="1">
        <v>5</v>
      </c>
      <c r="H1266" t="str" cm="1">
        <f t="array" ref="H1266">_xlfn.IFS(G1266&lt;=15,"Junior",G1266&lt;=30,"Mid level",G1266&gt;30,"Lead")</f>
        <v>Junior</v>
      </c>
    </row>
    <row r="1267" spans="1:8" x14ac:dyDescent="0.3">
      <c r="A1267" s="7">
        <v>11557</v>
      </c>
      <c r="B1267" t="str" cm="1">
        <f t="array" ref="B1267">_xlfn.IFS(A1267&lt;=8000,"low",A1267&lt;15000,"medium",A1267&gt;=15000,"high")</f>
        <v>medium</v>
      </c>
      <c r="G1267" s="2">
        <v>11</v>
      </c>
      <c r="H1267" t="str" cm="1">
        <f t="array" ref="H1267">_xlfn.IFS(G1267&lt;=15,"Junior",G1267&lt;=30,"Mid level",G1267&gt;30,"Lead")</f>
        <v>Junior</v>
      </c>
    </row>
    <row r="1268" spans="1:8" x14ac:dyDescent="0.3">
      <c r="A1268" s="8">
        <v>11631</v>
      </c>
      <c r="B1268" t="str" cm="1">
        <f t="array" ref="B1268">_xlfn.IFS(A1268&lt;=8000,"low",A1268&lt;15000,"medium",A1268&gt;=15000,"high")</f>
        <v>medium</v>
      </c>
      <c r="G1268" s="1">
        <v>13</v>
      </c>
      <c r="H1268" t="str" cm="1">
        <f t="array" ref="H1268">_xlfn.IFS(G1268&lt;=15,"Junior",G1268&lt;=30,"Mid level",G1268&gt;30,"Lead")</f>
        <v>Junior</v>
      </c>
    </row>
    <row r="1269" spans="1:8" x14ac:dyDescent="0.3">
      <c r="A1269" s="7">
        <v>11691</v>
      </c>
      <c r="B1269" t="str" cm="1">
        <f t="array" ref="B1269">_xlfn.IFS(A1269&lt;=8000,"low",A1269&lt;15000,"medium",A1269&gt;=15000,"high")</f>
        <v>medium</v>
      </c>
      <c r="G1269" s="2">
        <v>8</v>
      </c>
      <c r="H1269" t="str" cm="1">
        <f t="array" ref="H1269">_xlfn.IFS(G1269&lt;=15,"Junior",G1269&lt;=30,"Mid level",G1269&gt;30,"Lead")</f>
        <v>Junior</v>
      </c>
    </row>
    <row r="1270" spans="1:8" x14ac:dyDescent="0.3">
      <c r="A1270" s="8">
        <v>11713</v>
      </c>
      <c r="B1270" t="str" cm="1">
        <f t="array" ref="B1270">_xlfn.IFS(A1270&lt;=8000,"low",A1270&lt;15000,"medium",A1270&gt;=15000,"high")</f>
        <v>medium</v>
      </c>
      <c r="G1270" s="1">
        <v>2</v>
      </c>
      <c r="H1270" t="str" cm="1">
        <f t="array" ref="H1270">_xlfn.IFS(G1270&lt;=15,"Junior",G1270&lt;=30,"Mid level",G1270&gt;30,"Lead")</f>
        <v>Junior</v>
      </c>
    </row>
    <row r="1271" spans="1:8" x14ac:dyDescent="0.3">
      <c r="A1271" s="7">
        <v>11836</v>
      </c>
      <c r="B1271" t="str" cm="1">
        <f t="array" ref="B1271">_xlfn.IFS(A1271&lt;=8000,"low",A1271&lt;15000,"medium",A1271&gt;=15000,"high")</f>
        <v>medium</v>
      </c>
      <c r="G1271" s="2">
        <v>10</v>
      </c>
      <c r="H1271" t="str" cm="1">
        <f t="array" ref="H1271">_xlfn.IFS(G1271&lt;=15,"Junior",G1271&lt;=30,"Mid level",G1271&gt;30,"Lead")</f>
        <v>Junior</v>
      </c>
    </row>
    <row r="1272" spans="1:8" x14ac:dyDescent="0.3">
      <c r="A1272" s="8">
        <v>11849</v>
      </c>
      <c r="B1272" t="str" cm="1">
        <f t="array" ref="B1272">_xlfn.IFS(A1272&lt;=8000,"low",A1272&lt;15000,"medium",A1272&gt;=15000,"high")</f>
        <v>medium</v>
      </c>
      <c r="G1272" s="1">
        <v>10</v>
      </c>
      <c r="H1272" t="str" cm="1">
        <f t="array" ref="H1272">_xlfn.IFS(G1272&lt;=15,"Junior",G1272&lt;=30,"Mid level",G1272&gt;30,"Lead")</f>
        <v>Junior</v>
      </c>
    </row>
    <row r="1273" spans="1:8" x14ac:dyDescent="0.3">
      <c r="A1273" s="7">
        <v>11878</v>
      </c>
      <c r="B1273" t="str" cm="1">
        <f t="array" ref="B1273">_xlfn.IFS(A1273&lt;=8000,"low",A1273&lt;15000,"medium",A1273&gt;=15000,"high")</f>
        <v>medium</v>
      </c>
      <c r="G1273" s="2">
        <v>6</v>
      </c>
      <c r="H1273" t="str" cm="1">
        <f t="array" ref="H1273">_xlfn.IFS(G1273&lt;=15,"Junior",G1273&lt;=30,"Mid level",G1273&gt;30,"Lead")</f>
        <v>Junior</v>
      </c>
    </row>
    <row r="1274" spans="1:8" x14ac:dyDescent="0.3">
      <c r="A1274" s="8">
        <v>11904</v>
      </c>
      <c r="B1274" t="str" cm="1">
        <f t="array" ref="B1274">_xlfn.IFS(A1274&lt;=8000,"low",A1274&lt;15000,"medium",A1274&gt;=15000,"high")</f>
        <v>medium</v>
      </c>
      <c r="G1274" s="1">
        <v>9</v>
      </c>
      <c r="H1274" t="str" cm="1">
        <f t="array" ref="H1274">_xlfn.IFS(G1274&lt;=15,"Junior",G1274&lt;=30,"Mid level",G1274&gt;30,"Lead")</f>
        <v>Junior</v>
      </c>
    </row>
    <row r="1275" spans="1:8" x14ac:dyDescent="0.3">
      <c r="A1275" s="7">
        <v>11916</v>
      </c>
      <c r="B1275" t="str" cm="1">
        <f t="array" ref="B1275">_xlfn.IFS(A1275&lt;=8000,"low",A1275&lt;15000,"medium",A1275&gt;=15000,"high")</f>
        <v>medium</v>
      </c>
      <c r="G1275" s="2">
        <v>10</v>
      </c>
      <c r="H1275" t="str" cm="1">
        <f t="array" ref="H1275">_xlfn.IFS(G1275&lt;=15,"Junior",G1275&lt;=30,"Mid level",G1275&gt;30,"Lead")</f>
        <v>Junior</v>
      </c>
    </row>
    <row r="1276" spans="1:8" x14ac:dyDescent="0.3">
      <c r="A1276" s="8">
        <v>11935</v>
      </c>
      <c r="B1276" t="str" cm="1">
        <f t="array" ref="B1276">_xlfn.IFS(A1276&lt;=8000,"low",A1276&lt;15000,"medium",A1276&gt;=15000,"high")</f>
        <v>medium</v>
      </c>
      <c r="G1276" s="1">
        <v>13</v>
      </c>
      <c r="H1276" t="str" cm="1">
        <f t="array" ref="H1276">_xlfn.IFS(G1276&lt;=15,"Junior",G1276&lt;=30,"Mid level",G1276&gt;30,"Lead")</f>
        <v>Junior</v>
      </c>
    </row>
    <row r="1277" spans="1:8" x14ac:dyDescent="0.3">
      <c r="A1277" s="7">
        <v>11957</v>
      </c>
      <c r="B1277" t="str" cm="1">
        <f t="array" ref="B1277">_xlfn.IFS(A1277&lt;=8000,"low",A1277&lt;15000,"medium",A1277&gt;=15000,"high")</f>
        <v>medium</v>
      </c>
      <c r="G1277" s="2">
        <v>12</v>
      </c>
      <c r="H1277" t="str" cm="1">
        <f t="array" ref="H1277">_xlfn.IFS(G1277&lt;=15,"Junior",G1277&lt;=30,"Mid level",G1277&gt;30,"Lead")</f>
        <v>Junior</v>
      </c>
    </row>
    <row r="1278" spans="1:8" x14ac:dyDescent="0.3">
      <c r="A1278" s="8">
        <v>11994</v>
      </c>
      <c r="B1278" t="str" cm="1">
        <f t="array" ref="B1278">_xlfn.IFS(A1278&lt;=8000,"low",A1278&lt;15000,"medium",A1278&gt;=15000,"high")</f>
        <v>medium</v>
      </c>
      <c r="G1278" s="1">
        <v>7</v>
      </c>
      <c r="H1278" t="str" cm="1">
        <f t="array" ref="H1278">_xlfn.IFS(G1278&lt;=15,"Junior",G1278&lt;=30,"Mid level",G1278&gt;30,"Lead")</f>
        <v>Junior</v>
      </c>
    </row>
    <row r="1279" spans="1:8" x14ac:dyDescent="0.3">
      <c r="A1279" s="7">
        <v>11996</v>
      </c>
      <c r="B1279" t="str" cm="1">
        <f t="array" ref="B1279">_xlfn.IFS(A1279&lt;=8000,"low",A1279&lt;15000,"medium",A1279&gt;=15000,"high")</f>
        <v>medium</v>
      </c>
      <c r="G1279" s="2">
        <v>20</v>
      </c>
      <c r="H1279" t="str" cm="1">
        <f t="array" ref="H1279">_xlfn.IFS(G1279&lt;=15,"Junior",G1279&lt;=30,"Mid level",G1279&gt;30,"Lead")</f>
        <v>Mid level</v>
      </c>
    </row>
    <row r="1280" spans="1:8" x14ac:dyDescent="0.3">
      <c r="A1280" s="8">
        <v>12031</v>
      </c>
      <c r="B1280" t="str" cm="1">
        <f t="array" ref="B1280">_xlfn.IFS(A1280&lt;=8000,"low",A1280&lt;15000,"medium",A1280&gt;=15000,"high")</f>
        <v>medium</v>
      </c>
      <c r="G1280" s="1">
        <v>10</v>
      </c>
      <c r="H1280" t="str" cm="1">
        <f t="array" ref="H1280">_xlfn.IFS(G1280&lt;=15,"Junior",G1280&lt;=30,"Mid level",G1280&gt;30,"Lead")</f>
        <v>Junior</v>
      </c>
    </row>
    <row r="1281" spans="1:8" x14ac:dyDescent="0.3">
      <c r="A1281" s="7">
        <v>12061</v>
      </c>
      <c r="B1281" t="str" cm="1">
        <f t="array" ref="B1281">_xlfn.IFS(A1281&lt;=8000,"low",A1281&lt;15000,"medium",A1281&gt;=15000,"high")</f>
        <v>medium</v>
      </c>
      <c r="G1281" s="2">
        <v>18</v>
      </c>
      <c r="H1281" t="str" cm="1">
        <f t="array" ref="H1281">_xlfn.IFS(G1281&lt;=15,"Junior",G1281&lt;=30,"Mid level",G1281&gt;30,"Lead")</f>
        <v>Mid level</v>
      </c>
    </row>
    <row r="1282" spans="1:8" x14ac:dyDescent="0.3">
      <c r="A1282" s="8">
        <v>12169</v>
      </c>
      <c r="B1282" t="str" cm="1">
        <f t="array" ref="B1282">_xlfn.IFS(A1282&lt;=8000,"low",A1282&lt;15000,"medium",A1282&gt;=15000,"high")</f>
        <v>medium</v>
      </c>
      <c r="G1282" s="1">
        <v>10</v>
      </c>
      <c r="H1282" t="str" cm="1">
        <f t="array" ref="H1282">_xlfn.IFS(G1282&lt;=15,"Junior",G1282&lt;=30,"Mid level",G1282&gt;30,"Lead")</f>
        <v>Junior</v>
      </c>
    </row>
    <row r="1283" spans="1:8" x14ac:dyDescent="0.3">
      <c r="A1283" s="7">
        <v>12185</v>
      </c>
      <c r="B1283" t="str" cm="1">
        <f t="array" ref="B1283">_xlfn.IFS(A1283&lt;=8000,"low",A1283&lt;15000,"medium",A1283&gt;=15000,"high")</f>
        <v>medium</v>
      </c>
      <c r="G1283" s="2">
        <v>10</v>
      </c>
      <c r="H1283" t="str" cm="1">
        <f t="array" ref="H1283">_xlfn.IFS(G1283&lt;=15,"Junior",G1283&lt;=30,"Mid level",G1283&gt;30,"Lead")</f>
        <v>Junior</v>
      </c>
    </row>
    <row r="1284" spans="1:8" x14ac:dyDescent="0.3">
      <c r="A1284" s="8">
        <v>12490</v>
      </c>
      <c r="B1284" t="str" cm="1">
        <f t="array" ref="B1284">_xlfn.IFS(A1284&lt;=8000,"low",A1284&lt;15000,"medium",A1284&gt;=15000,"high")</f>
        <v>medium</v>
      </c>
      <c r="G1284" s="1">
        <v>0</v>
      </c>
      <c r="H1284" t="str" cm="1">
        <f t="array" ref="H1284">_xlfn.IFS(G1284&lt;=15,"Junior",G1284&lt;=30,"Mid level",G1284&gt;30,"Lead")</f>
        <v>Junior</v>
      </c>
    </row>
    <row r="1285" spans="1:8" x14ac:dyDescent="0.3">
      <c r="A1285" s="7">
        <v>12504</v>
      </c>
      <c r="B1285" t="str" cm="1">
        <f t="array" ref="B1285">_xlfn.IFS(A1285&lt;=8000,"low",A1285&lt;15000,"medium",A1285&gt;=15000,"high")</f>
        <v>medium</v>
      </c>
      <c r="G1285" s="2">
        <v>21</v>
      </c>
      <c r="H1285" t="str" cm="1">
        <f t="array" ref="H1285">_xlfn.IFS(G1285&lt;=15,"Junior",G1285&lt;=30,"Mid level",G1285&gt;30,"Lead")</f>
        <v>Mid level</v>
      </c>
    </row>
    <row r="1286" spans="1:8" x14ac:dyDescent="0.3">
      <c r="A1286" s="8">
        <v>12742</v>
      </c>
      <c r="B1286" t="str" cm="1">
        <f t="array" ref="B1286">_xlfn.IFS(A1286&lt;=8000,"low",A1286&lt;15000,"medium",A1286&gt;=15000,"high")</f>
        <v>medium</v>
      </c>
      <c r="G1286" s="1">
        <v>9</v>
      </c>
      <c r="H1286" t="str" cm="1">
        <f t="array" ref="H1286">_xlfn.IFS(G1286&lt;=15,"Junior",G1286&lt;=30,"Mid level",G1286&gt;30,"Lead")</f>
        <v>Junior</v>
      </c>
    </row>
    <row r="1287" spans="1:8" x14ac:dyDescent="0.3">
      <c r="A1287" s="7">
        <v>12808</v>
      </c>
      <c r="B1287" t="str" cm="1">
        <f t="array" ref="B1287">_xlfn.IFS(A1287&lt;=8000,"low",A1287&lt;15000,"medium",A1287&gt;=15000,"high")</f>
        <v>medium</v>
      </c>
      <c r="G1287" s="2">
        <v>23</v>
      </c>
      <c r="H1287" t="str" cm="1">
        <f t="array" ref="H1287">_xlfn.IFS(G1287&lt;=15,"Junior",G1287&lt;=30,"Mid level",G1287&gt;30,"Lead")</f>
        <v>Mid level</v>
      </c>
    </row>
    <row r="1288" spans="1:8" x14ac:dyDescent="0.3">
      <c r="A1288" s="8">
        <v>12936</v>
      </c>
      <c r="B1288" t="str" cm="1">
        <f t="array" ref="B1288">_xlfn.IFS(A1288&lt;=8000,"low",A1288&lt;15000,"medium",A1288&gt;=15000,"high")</f>
        <v>medium</v>
      </c>
      <c r="G1288" s="1">
        <v>3</v>
      </c>
      <c r="H1288" t="str" cm="1">
        <f t="array" ref="H1288">_xlfn.IFS(G1288&lt;=15,"Junior",G1288&lt;=30,"Mid level",G1288&gt;30,"Lead")</f>
        <v>Junior</v>
      </c>
    </row>
    <row r="1289" spans="1:8" x14ac:dyDescent="0.3">
      <c r="A1289" s="7">
        <v>12965</v>
      </c>
      <c r="B1289" t="str" cm="1">
        <f t="array" ref="B1289">_xlfn.IFS(A1289&lt;=8000,"low",A1289&lt;15000,"medium",A1289&gt;=15000,"high")</f>
        <v>medium</v>
      </c>
      <c r="G1289" s="2">
        <v>2</v>
      </c>
      <c r="H1289" t="str" cm="1">
        <f t="array" ref="H1289">_xlfn.IFS(G1289&lt;=15,"Junior",G1289&lt;=30,"Mid level",G1289&gt;30,"Lead")</f>
        <v>Junior</v>
      </c>
    </row>
    <row r="1290" spans="1:8" x14ac:dyDescent="0.3">
      <c r="A1290" s="8">
        <v>13116</v>
      </c>
      <c r="B1290" t="str" cm="1">
        <f t="array" ref="B1290">_xlfn.IFS(A1290&lt;=8000,"low",A1290&lt;15000,"medium",A1290&gt;=15000,"high")</f>
        <v>medium</v>
      </c>
      <c r="G1290" s="1">
        <v>9</v>
      </c>
      <c r="H1290" t="str" cm="1">
        <f t="array" ref="H1290">_xlfn.IFS(G1290&lt;=15,"Junior",G1290&lt;=30,"Mid level",G1290&gt;30,"Lead")</f>
        <v>Junior</v>
      </c>
    </row>
    <row r="1291" spans="1:8" x14ac:dyDescent="0.3">
      <c r="A1291" s="7">
        <v>13120</v>
      </c>
      <c r="B1291" t="str" cm="1">
        <f t="array" ref="B1291">_xlfn.IFS(A1291&lt;=8000,"low",A1291&lt;15000,"medium",A1291&gt;=15000,"high")</f>
        <v>medium</v>
      </c>
      <c r="G1291" s="2">
        <v>5</v>
      </c>
      <c r="H1291" t="str" cm="1">
        <f t="array" ref="H1291">_xlfn.IFS(G1291&lt;=15,"Junior",G1291&lt;=30,"Mid level",G1291&gt;30,"Lead")</f>
        <v>Junior</v>
      </c>
    </row>
    <row r="1292" spans="1:8" x14ac:dyDescent="0.3">
      <c r="A1292" s="8">
        <v>13142</v>
      </c>
      <c r="B1292" t="str" cm="1">
        <f t="array" ref="B1292">_xlfn.IFS(A1292&lt;=8000,"low",A1292&lt;15000,"medium",A1292&gt;=15000,"high")</f>
        <v>medium</v>
      </c>
      <c r="G1292" s="1">
        <v>1</v>
      </c>
      <c r="H1292" t="str" cm="1">
        <f t="array" ref="H1292">_xlfn.IFS(G1292&lt;=15,"Junior",G1292&lt;=30,"Mid level",G1292&gt;30,"Lead")</f>
        <v>Junior</v>
      </c>
    </row>
    <row r="1293" spans="1:8" x14ac:dyDescent="0.3">
      <c r="A1293" s="7">
        <v>13191</v>
      </c>
      <c r="B1293" t="str" cm="1">
        <f t="array" ref="B1293">_xlfn.IFS(A1293&lt;=8000,"low",A1293&lt;15000,"medium",A1293&gt;=15000,"high")</f>
        <v>medium</v>
      </c>
      <c r="G1293" s="2">
        <v>1</v>
      </c>
      <c r="H1293" t="str" cm="1">
        <f t="array" ref="H1293">_xlfn.IFS(G1293&lt;=15,"Junior",G1293&lt;=30,"Mid level",G1293&gt;30,"Lead")</f>
        <v>Junior</v>
      </c>
    </row>
    <row r="1294" spans="1:8" x14ac:dyDescent="0.3">
      <c r="A1294" s="8">
        <v>13194</v>
      </c>
      <c r="B1294" t="str" cm="1">
        <f t="array" ref="B1294">_xlfn.IFS(A1294&lt;=8000,"low",A1294&lt;15000,"medium",A1294&gt;=15000,"high")</f>
        <v>medium</v>
      </c>
      <c r="G1294" s="1">
        <v>18</v>
      </c>
      <c r="H1294" t="str" cm="1">
        <f t="array" ref="H1294">_xlfn.IFS(G1294&lt;=15,"Junior",G1294&lt;=30,"Mid level",G1294&gt;30,"Lead")</f>
        <v>Mid level</v>
      </c>
    </row>
    <row r="1295" spans="1:8" x14ac:dyDescent="0.3">
      <c r="A1295" s="7">
        <v>13206</v>
      </c>
      <c r="B1295" t="str" cm="1">
        <f t="array" ref="B1295">_xlfn.IFS(A1295&lt;=8000,"low",A1295&lt;15000,"medium",A1295&gt;=15000,"high")</f>
        <v>medium</v>
      </c>
      <c r="G1295" s="2">
        <v>7</v>
      </c>
      <c r="H1295" t="str" cm="1">
        <f t="array" ref="H1295">_xlfn.IFS(G1295&lt;=15,"Junior",G1295&lt;=30,"Mid level",G1295&gt;30,"Lead")</f>
        <v>Junior</v>
      </c>
    </row>
    <row r="1296" spans="1:8" x14ac:dyDescent="0.3">
      <c r="A1296" s="8">
        <v>13212</v>
      </c>
      <c r="B1296" t="str" cm="1">
        <f t="array" ref="B1296">_xlfn.IFS(A1296&lt;=8000,"low",A1296&lt;15000,"medium",A1296&gt;=15000,"high")</f>
        <v>medium</v>
      </c>
      <c r="G1296" s="1">
        <v>19</v>
      </c>
      <c r="H1296" t="str" cm="1">
        <f t="array" ref="H1296">_xlfn.IFS(G1296&lt;=15,"Junior",G1296&lt;=30,"Mid level",G1296&gt;30,"Lead")</f>
        <v>Mid level</v>
      </c>
    </row>
    <row r="1297" spans="1:8" x14ac:dyDescent="0.3">
      <c r="A1297" s="7">
        <v>13225</v>
      </c>
      <c r="B1297" t="str" cm="1">
        <f t="array" ref="B1297">_xlfn.IFS(A1297&lt;=8000,"low",A1297&lt;15000,"medium",A1297&gt;=15000,"high")</f>
        <v>medium</v>
      </c>
      <c r="G1297" s="2">
        <v>20</v>
      </c>
      <c r="H1297" t="str" cm="1">
        <f t="array" ref="H1297">_xlfn.IFS(G1297&lt;=15,"Junior",G1297&lt;=30,"Mid level",G1297&gt;30,"Lead")</f>
        <v>Mid level</v>
      </c>
    </row>
    <row r="1298" spans="1:8" x14ac:dyDescent="0.3">
      <c r="A1298" s="8">
        <v>13237</v>
      </c>
      <c r="B1298" t="str" cm="1">
        <f t="array" ref="B1298">_xlfn.IFS(A1298&lt;=8000,"low",A1298&lt;15000,"medium",A1298&gt;=15000,"high")</f>
        <v>medium</v>
      </c>
      <c r="G1298" s="1">
        <v>0</v>
      </c>
      <c r="H1298" t="str" cm="1">
        <f t="array" ref="H1298">_xlfn.IFS(G1298&lt;=15,"Junior",G1298&lt;=30,"Mid level",G1298&gt;30,"Lead")</f>
        <v>Junior</v>
      </c>
    </row>
    <row r="1299" spans="1:8" x14ac:dyDescent="0.3">
      <c r="A1299" s="7">
        <v>13245</v>
      </c>
      <c r="B1299" t="str" cm="1">
        <f t="array" ref="B1299">_xlfn.IFS(A1299&lt;=8000,"low",A1299&lt;15000,"medium",A1299&gt;=15000,"high")</f>
        <v>medium</v>
      </c>
      <c r="G1299" s="2">
        <v>5</v>
      </c>
      <c r="H1299" t="str" cm="1">
        <f t="array" ref="H1299">_xlfn.IFS(G1299&lt;=15,"Junior",G1299&lt;=30,"Mid level",G1299&gt;30,"Lead")</f>
        <v>Junior</v>
      </c>
    </row>
    <row r="1300" spans="1:8" x14ac:dyDescent="0.3">
      <c r="A1300" s="8">
        <v>13247</v>
      </c>
      <c r="B1300" t="str" cm="1">
        <f t="array" ref="B1300">_xlfn.IFS(A1300&lt;=8000,"low",A1300&lt;15000,"medium",A1300&gt;=15000,"high")</f>
        <v>medium</v>
      </c>
      <c r="G1300" s="1">
        <v>14</v>
      </c>
      <c r="H1300" t="str" cm="1">
        <f t="array" ref="H1300">_xlfn.IFS(G1300&lt;=15,"Junior",G1300&lt;=30,"Mid level",G1300&gt;30,"Lead")</f>
        <v>Junior</v>
      </c>
    </row>
    <row r="1301" spans="1:8" x14ac:dyDescent="0.3">
      <c r="A1301" s="7">
        <v>13269</v>
      </c>
      <c r="B1301" t="str" cm="1">
        <f t="array" ref="B1301">_xlfn.IFS(A1301&lt;=8000,"low",A1301&lt;15000,"medium",A1301&gt;=15000,"high")</f>
        <v>medium</v>
      </c>
      <c r="G1301" s="2">
        <v>12</v>
      </c>
      <c r="H1301" t="str" cm="1">
        <f t="array" ref="H1301">_xlfn.IFS(G1301&lt;=15,"Junior",G1301&lt;=30,"Mid level",G1301&gt;30,"Lead")</f>
        <v>Junior</v>
      </c>
    </row>
    <row r="1302" spans="1:8" x14ac:dyDescent="0.3">
      <c r="A1302" s="8">
        <v>13320</v>
      </c>
      <c r="B1302" t="str" cm="1">
        <f t="array" ref="B1302">_xlfn.IFS(A1302&lt;=8000,"low",A1302&lt;15000,"medium",A1302&gt;=15000,"high")</f>
        <v>medium</v>
      </c>
      <c r="G1302" s="1">
        <v>20</v>
      </c>
      <c r="H1302" t="str" cm="1">
        <f t="array" ref="H1302">_xlfn.IFS(G1302&lt;=15,"Junior",G1302&lt;=30,"Mid level",G1302&gt;30,"Lead")</f>
        <v>Mid level</v>
      </c>
    </row>
    <row r="1303" spans="1:8" x14ac:dyDescent="0.3">
      <c r="A1303" s="7">
        <v>13341</v>
      </c>
      <c r="B1303" t="str" cm="1">
        <f t="array" ref="B1303">_xlfn.IFS(A1303&lt;=8000,"low",A1303&lt;15000,"medium",A1303&gt;=15000,"high")</f>
        <v>medium</v>
      </c>
      <c r="G1303" s="2">
        <v>13</v>
      </c>
      <c r="H1303" t="str" cm="1">
        <f t="array" ref="H1303">_xlfn.IFS(G1303&lt;=15,"Junior",G1303&lt;=30,"Mid level",G1303&gt;30,"Lead")</f>
        <v>Junior</v>
      </c>
    </row>
    <row r="1304" spans="1:8" x14ac:dyDescent="0.3">
      <c r="A1304" s="8">
        <v>13348</v>
      </c>
      <c r="B1304" t="str" cm="1">
        <f t="array" ref="B1304">_xlfn.IFS(A1304&lt;=8000,"low",A1304&lt;15000,"medium",A1304&gt;=15000,"high")</f>
        <v>medium</v>
      </c>
      <c r="G1304" s="1">
        <v>19</v>
      </c>
      <c r="H1304" t="str" cm="1">
        <f t="array" ref="H1304">_xlfn.IFS(G1304&lt;=15,"Junior",G1304&lt;=30,"Mid level",G1304&gt;30,"Lead")</f>
        <v>Mid level</v>
      </c>
    </row>
    <row r="1305" spans="1:8" x14ac:dyDescent="0.3">
      <c r="A1305" s="7">
        <v>13402</v>
      </c>
      <c r="B1305" t="str" cm="1">
        <f t="array" ref="B1305">_xlfn.IFS(A1305&lt;=8000,"low",A1305&lt;15000,"medium",A1305&gt;=15000,"high")</f>
        <v>medium</v>
      </c>
      <c r="G1305" s="2">
        <v>15</v>
      </c>
      <c r="H1305" t="str" cm="1">
        <f t="array" ref="H1305">_xlfn.IFS(G1305&lt;=15,"Junior",G1305&lt;=30,"Mid level",G1305&gt;30,"Lead")</f>
        <v>Junior</v>
      </c>
    </row>
    <row r="1306" spans="1:8" x14ac:dyDescent="0.3">
      <c r="A1306" s="8">
        <v>13458</v>
      </c>
      <c r="B1306" t="str" cm="1">
        <f t="array" ref="B1306">_xlfn.IFS(A1306&lt;=8000,"low",A1306&lt;15000,"medium",A1306&gt;=15000,"high")</f>
        <v>medium</v>
      </c>
      <c r="G1306" s="1">
        <v>4</v>
      </c>
      <c r="H1306" t="str" cm="1">
        <f t="array" ref="H1306">_xlfn.IFS(G1306&lt;=15,"Junior",G1306&lt;=30,"Mid level",G1306&gt;30,"Lead")</f>
        <v>Junior</v>
      </c>
    </row>
    <row r="1307" spans="1:8" x14ac:dyDescent="0.3">
      <c r="A1307" s="7">
        <v>13464</v>
      </c>
      <c r="B1307" t="str" cm="1">
        <f t="array" ref="B1307">_xlfn.IFS(A1307&lt;=8000,"low",A1307&lt;15000,"medium",A1307&gt;=15000,"high")</f>
        <v>medium</v>
      </c>
      <c r="G1307" s="2">
        <v>20</v>
      </c>
      <c r="H1307" t="str" cm="1">
        <f t="array" ref="H1307">_xlfn.IFS(G1307&lt;=15,"Junior",G1307&lt;=30,"Mid level",G1307&gt;30,"Lead")</f>
        <v>Mid level</v>
      </c>
    </row>
    <row r="1308" spans="1:8" x14ac:dyDescent="0.3">
      <c r="A1308" s="8">
        <v>13496</v>
      </c>
      <c r="B1308" t="str" cm="1">
        <f t="array" ref="B1308">_xlfn.IFS(A1308&lt;=8000,"low",A1308&lt;15000,"medium",A1308&gt;=15000,"high")</f>
        <v>medium</v>
      </c>
      <c r="G1308" s="1">
        <v>18</v>
      </c>
      <c r="H1308" t="str" cm="1">
        <f t="array" ref="H1308">_xlfn.IFS(G1308&lt;=15,"Junior",G1308&lt;=30,"Mid level",G1308&gt;30,"Lead")</f>
        <v>Mid level</v>
      </c>
    </row>
    <row r="1309" spans="1:8" x14ac:dyDescent="0.3">
      <c r="A1309" s="7">
        <v>13499</v>
      </c>
      <c r="B1309" t="str" cm="1">
        <f t="array" ref="B1309">_xlfn.IFS(A1309&lt;=8000,"low",A1309&lt;15000,"medium",A1309&gt;=15000,"high")</f>
        <v>medium</v>
      </c>
      <c r="G1309" s="2">
        <v>22</v>
      </c>
      <c r="H1309" t="str" cm="1">
        <f t="array" ref="H1309">_xlfn.IFS(G1309&lt;=15,"Junior",G1309&lt;=30,"Mid level",G1309&gt;30,"Lead")</f>
        <v>Mid level</v>
      </c>
    </row>
    <row r="1310" spans="1:8" x14ac:dyDescent="0.3">
      <c r="A1310" s="8">
        <v>13503</v>
      </c>
      <c r="B1310" t="str" cm="1">
        <f t="array" ref="B1310">_xlfn.IFS(A1310&lt;=8000,"low",A1310&lt;15000,"medium",A1310&gt;=15000,"high")</f>
        <v>medium</v>
      </c>
      <c r="G1310" s="1">
        <v>20</v>
      </c>
      <c r="H1310" t="str" cm="1">
        <f t="array" ref="H1310">_xlfn.IFS(G1310&lt;=15,"Junior",G1310&lt;=30,"Mid level",G1310&gt;30,"Lead")</f>
        <v>Mid level</v>
      </c>
    </row>
    <row r="1311" spans="1:8" x14ac:dyDescent="0.3">
      <c r="A1311" s="7">
        <v>13525</v>
      </c>
      <c r="B1311" t="str" cm="1">
        <f t="array" ref="B1311">_xlfn.IFS(A1311&lt;=8000,"low",A1311&lt;15000,"medium",A1311&gt;=15000,"high")</f>
        <v>medium</v>
      </c>
      <c r="G1311" s="2">
        <v>4</v>
      </c>
      <c r="H1311" t="str" cm="1">
        <f t="array" ref="H1311">_xlfn.IFS(G1311&lt;=15,"Junior",G1311&lt;=30,"Mid level",G1311&gt;30,"Lead")</f>
        <v>Junior</v>
      </c>
    </row>
    <row r="1312" spans="1:8" x14ac:dyDescent="0.3">
      <c r="A1312" s="8">
        <v>13549</v>
      </c>
      <c r="B1312" t="str" cm="1">
        <f t="array" ref="B1312">_xlfn.IFS(A1312&lt;=8000,"low",A1312&lt;15000,"medium",A1312&gt;=15000,"high")</f>
        <v>medium</v>
      </c>
      <c r="G1312" s="1">
        <v>20</v>
      </c>
      <c r="H1312" t="str" cm="1">
        <f t="array" ref="H1312">_xlfn.IFS(G1312&lt;=15,"Junior",G1312&lt;=30,"Mid level",G1312&gt;30,"Lead")</f>
        <v>Mid level</v>
      </c>
    </row>
    <row r="1313" spans="1:8" x14ac:dyDescent="0.3">
      <c r="A1313" s="7">
        <v>13570</v>
      </c>
      <c r="B1313" t="str" cm="1">
        <f t="array" ref="B1313">_xlfn.IFS(A1313&lt;=8000,"low",A1313&lt;15000,"medium",A1313&gt;=15000,"high")</f>
        <v>medium</v>
      </c>
      <c r="G1313" s="2">
        <v>33</v>
      </c>
      <c r="H1313" t="str" cm="1">
        <f t="array" ref="H1313">_xlfn.IFS(G1313&lt;=15,"Junior",G1313&lt;=30,"Mid level",G1313&gt;30,"Lead")</f>
        <v>Lead</v>
      </c>
    </row>
    <row r="1314" spans="1:8" x14ac:dyDescent="0.3">
      <c r="A1314" s="8">
        <v>13577</v>
      </c>
      <c r="B1314" t="str" cm="1">
        <f t="array" ref="B1314">_xlfn.IFS(A1314&lt;=8000,"low",A1314&lt;15000,"medium",A1314&gt;=15000,"high")</f>
        <v>medium</v>
      </c>
      <c r="G1314" s="1">
        <v>15</v>
      </c>
      <c r="H1314" t="str" cm="1">
        <f t="array" ref="H1314">_xlfn.IFS(G1314&lt;=15,"Junior",G1314&lt;=30,"Mid level",G1314&gt;30,"Lead")</f>
        <v>Junior</v>
      </c>
    </row>
    <row r="1315" spans="1:8" x14ac:dyDescent="0.3">
      <c r="A1315" s="7">
        <v>13582</v>
      </c>
      <c r="B1315" t="str" cm="1">
        <f t="array" ref="B1315">_xlfn.IFS(A1315&lt;=8000,"low",A1315&lt;15000,"medium",A1315&gt;=15000,"high")</f>
        <v>medium</v>
      </c>
      <c r="G1315" s="2">
        <v>1</v>
      </c>
      <c r="H1315" t="str" cm="1">
        <f t="array" ref="H1315">_xlfn.IFS(G1315&lt;=15,"Junior",G1315&lt;=30,"Mid level",G1315&gt;30,"Lead")</f>
        <v>Junior</v>
      </c>
    </row>
    <row r="1316" spans="1:8" x14ac:dyDescent="0.3">
      <c r="A1316" s="8">
        <v>13591</v>
      </c>
      <c r="B1316" t="str" cm="1">
        <f t="array" ref="B1316">_xlfn.IFS(A1316&lt;=8000,"low",A1316&lt;15000,"medium",A1316&gt;=15000,"high")</f>
        <v>medium</v>
      </c>
      <c r="G1316" s="1">
        <v>5</v>
      </c>
      <c r="H1316" t="str" cm="1">
        <f t="array" ref="H1316">_xlfn.IFS(G1316&lt;=15,"Junior",G1316&lt;=30,"Mid level",G1316&gt;30,"Lead")</f>
        <v>Junior</v>
      </c>
    </row>
    <row r="1317" spans="1:8" x14ac:dyDescent="0.3">
      <c r="A1317" s="7">
        <v>13603</v>
      </c>
      <c r="B1317" t="str" cm="1">
        <f t="array" ref="B1317">_xlfn.IFS(A1317&lt;=8000,"low",A1317&lt;15000,"medium",A1317&gt;=15000,"high")</f>
        <v>medium</v>
      </c>
      <c r="G1317" s="2">
        <v>7</v>
      </c>
      <c r="H1317" t="str" cm="1">
        <f t="array" ref="H1317">_xlfn.IFS(G1317&lt;=15,"Junior",G1317&lt;=30,"Mid level",G1317&gt;30,"Lead")</f>
        <v>Junior</v>
      </c>
    </row>
    <row r="1318" spans="1:8" x14ac:dyDescent="0.3">
      <c r="A1318" s="8">
        <v>13610</v>
      </c>
      <c r="B1318" t="str" cm="1">
        <f t="array" ref="B1318">_xlfn.IFS(A1318&lt;=8000,"low",A1318&lt;15000,"medium",A1318&gt;=15000,"high")</f>
        <v>medium</v>
      </c>
      <c r="G1318" s="1">
        <v>5</v>
      </c>
      <c r="H1318" t="str" cm="1">
        <f t="array" ref="H1318">_xlfn.IFS(G1318&lt;=15,"Junior",G1318&lt;=30,"Mid level",G1318&gt;30,"Lead")</f>
        <v>Junior</v>
      </c>
    </row>
    <row r="1319" spans="1:8" x14ac:dyDescent="0.3">
      <c r="A1319" s="7">
        <v>13664</v>
      </c>
      <c r="B1319" t="str" cm="1">
        <f t="array" ref="B1319">_xlfn.IFS(A1319&lt;=8000,"low",A1319&lt;15000,"medium",A1319&gt;=15000,"high")</f>
        <v>medium</v>
      </c>
      <c r="G1319" s="2">
        <v>2</v>
      </c>
      <c r="H1319" t="str" cm="1">
        <f t="array" ref="H1319">_xlfn.IFS(G1319&lt;=15,"Junior",G1319&lt;=30,"Mid level",G1319&gt;30,"Lead")</f>
        <v>Junior</v>
      </c>
    </row>
    <row r="1320" spans="1:8" x14ac:dyDescent="0.3">
      <c r="A1320" s="8">
        <v>13675</v>
      </c>
      <c r="B1320" t="str" cm="1">
        <f t="array" ref="B1320">_xlfn.IFS(A1320&lt;=8000,"low",A1320&lt;15000,"medium",A1320&gt;=15000,"high")</f>
        <v>medium</v>
      </c>
      <c r="G1320" s="1">
        <v>19</v>
      </c>
      <c r="H1320" t="str" cm="1">
        <f t="array" ref="H1320">_xlfn.IFS(G1320&lt;=15,"Junior",G1320&lt;=30,"Mid level",G1320&gt;30,"Lead")</f>
        <v>Mid level</v>
      </c>
    </row>
    <row r="1321" spans="1:8" x14ac:dyDescent="0.3">
      <c r="A1321" s="7">
        <v>13695</v>
      </c>
      <c r="B1321" t="str" cm="1">
        <f t="array" ref="B1321">_xlfn.IFS(A1321&lt;=8000,"low",A1321&lt;15000,"medium",A1321&gt;=15000,"high")</f>
        <v>medium</v>
      </c>
      <c r="G1321" s="2">
        <v>5</v>
      </c>
      <c r="H1321" t="str" cm="1">
        <f t="array" ref="H1321">_xlfn.IFS(G1321&lt;=15,"Junior",G1321&lt;=30,"Mid level",G1321&gt;30,"Lead")</f>
        <v>Junior</v>
      </c>
    </row>
    <row r="1322" spans="1:8" x14ac:dyDescent="0.3">
      <c r="A1322" s="8">
        <v>13726</v>
      </c>
      <c r="B1322" t="str" cm="1">
        <f t="array" ref="B1322">_xlfn.IFS(A1322&lt;=8000,"low",A1322&lt;15000,"medium",A1322&gt;=15000,"high")</f>
        <v>medium</v>
      </c>
      <c r="G1322" s="1">
        <v>7</v>
      </c>
      <c r="H1322" t="str" cm="1">
        <f t="array" ref="H1322">_xlfn.IFS(G1322&lt;=15,"Junior",G1322&lt;=30,"Mid level",G1322&gt;30,"Lead")</f>
        <v>Junior</v>
      </c>
    </row>
    <row r="1323" spans="1:8" x14ac:dyDescent="0.3">
      <c r="A1323" s="7">
        <v>13734</v>
      </c>
      <c r="B1323" t="str" cm="1">
        <f t="array" ref="B1323">_xlfn.IFS(A1323&lt;=8000,"low",A1323&lt;15000,"medium",A1323&gt;=15000,"high")</f>
        <v>medium</v>
      </c>
      <c r="G1323" s="2">
        <v>16</v>
      </c>
      <c r="H1323" t="str" cm="1">
        <f t="array" ref="H1323">_xlfn.IFS(G1323&lt;=15,"Junior",G1323&lt;=30,"Mid level",G1323&gt;30,"Lead")</f>
        <v>Mid level</v>
      </c>
    </row>
    <row r="1324" spans="1:8" x14ac:dyDescent="0.3">
      <c r="A1324" s="8">
        <v>13744</v>
      </c>
      <c r="B1324" t="str" cm="1">
        <f t="array" ref="B1324">_xlfn.IFS(A1324&lt;=8000,"low",A1324&lt;15000,"medium",A1324&gt;=15000,"high")</f>
        <v>medium</v>
      </c>
      <c r="G1324" s="1">
        <v>9</v>
      </c>
      <c r="H1324" t="str" cm="1">
        <f t="array" ref="H1324">_xlfn.IFS(G1324&lt;=15,"Junior",G1324&lt;=30,"Mid level",G1324&gt;30,"Lead")</f>
        <v>Junior</v>
      </c>
    </row>
    <row r="1325" spans="1:8" x14ac:dyDescent="0.3">
      <c r="A1325" s="7">
        <v>13757</v>
      </c>
      <c r="B1325" t="str" cm="1">
        <f t="array" ref="B1325">_xlfn.IFS(A1325&lt;=8000,"low",A1325&lt;15000,"medium",A1325&gt;=15000,"high")</f>
        <v>medium</v>
      </c>
      <c r="G1325" s="2">
        <v>21</v>
      </c>
      <c r="H1325" t="str" cm="1">
        <f t="array" ref="H1325">_xlfn.IFS(G1325&lt;=15,"Junior",G1325&lt;=30,"Mid level",G1325&gt;30,"Lead")</f>
        <v>Mid level</v>
      </c>
    </row>
    <row r="1326" spans="1:8" x14ac:dyDescent="0.3">
      <c r="A1326" s="8">
        <v>13758</v>
      </c>
      <c r="B1326" t="str" cm="1">
        <f t="array" ref="B1326">_xlfn.IFS(A1326&lt;=8000,"low",A1326&lt;15000,"medium",A1326&gt;=15000,"high")</f>
        <v>medium</v>
      </c>
      <c r="G1326" s="1">
        <v>22</v>
      </c>
      <c r="H1326" t="str" cm="1">
        <f t="array" ref="H1326">_xlfn.IFS(G1326&lt;=15,"Junior",G1326&lt;=30,"Mid level",G1326&gt;30,"Lead")</f>
        <v>Mid level</v>
      </c>
    </row>
    <row r="1327" spans="1:8" x14ac:dyDescent="0.3">
      <c r="A1327" s="7">
        <v>13770</v>
      </c>
      <c r="B1327" t="str" cm="1">
        <f t="array" ref="B1327">_xlfn.IFS(A1327&lt;=8000,"low",A1327&lt;15000,"medium",A1327&gt;=15000,"high")</f>
        <v>medium</v>
      </c>
      <c r="G1327" s="2">
        <v>9</v>
      </c>
      <c r="H1327" t="str" cm="1">
        <f t="array" ref="H1327">_xlfn.IFS(G1327&lt;=15,"Junior",G1327&lt;=30,"Mid level",G1327&gt;30,"Lead")</f>
        <v>Junior</v>
      </c>
    </row>
    <row r="1328" spans="1:8" x14ac:dyDescent="0.3">
      <c r="A1328" s="8">
        <v>13826</v>
      </c>
      <c r="B1328" t="str" cm="1">
        <f t="array" ref="B1328">_xlfn.IFS(A1328&lt;=8000,"low",A1328&lt;15000,"medium",A1328&gt;=15000,"high")</f>
        <v>medium</v>
      </c>
      <c r="G1328" s="1">
        <v>37</v>
      </c>
      <c r="H1328" t="str" cm="1">
        <f t="array" ref="H1328">_xlfn.IFS(G1328&lt;=15,"Junior",G1328&lt;=30,"Mid level",G1328&gt;30,"Lead")</f>
        <v>Lead</v>
      </c>
    </row>
    <row r="1329" spans="1:8" x14ac:dyDescent="0.3">
      <c r="A1329" s="7">
        <v>13872</v>
      </c>
      <c r="B1329" t="str" cm="1">
        <f t="array" ref="B1329">_xlfn.IFS(A1329&lt;=8000,"low",A1329&lt;15000,"medium",A1329&gt;=15000,"high")</f>
        <v>medium</v>
      </c>
      <c r="G1329" s="2">
        <v>7</v>
      </c>
      <c r="H1329" t="str" cm="1">
        <f t="array" ref="H1329">_xlfn.IFS(G1329&lt;=15,"Junior",G1329&lt;=30,"Mid level",G1329&gt;30,"Lead")</f>
        <v>Junior</v>
      </c>
    </row>
    <row r="1330" spans="1:8" x14ac:dyDescent="0.3">
      <c r="A1330" s="8">
        <v>13964</v>
      </c>
      <c r="B1330" t="str" cm="1">
        <f t="array" ref="B1330">_xlfn.IFS(A1330&lt;=8000,"low",A1330&lt;15000,"medium",A1330&gt;=15000,"high")</f>
        <v>medium</v>
      </c>
      <c r="G1330" s="1">
        <v>15</v>
      </c>
      <c r="H1330" t="str" cm="1">
        <f t="array" ref="H1330">_xlfn.IFS(G1330&lt;=15,"Junior",G1330&lt;=30,"Mid level",G1330&gt;30,"Lead")</f>
        <v>Junior</v>
      </c>
    </row>
    <row r="1331" spans="1:8" x14ac:dyDescent="0.3">
      <c r="A1331" s="7">
        <v>13966</v>
      </c>
      <c r="B1331" t="str" cm="1">
        <f t="array" ref="B1331">_xlfn.IFS(A1331&lt;=8000,"low",A1331&lt;15000,"medium",A1331&gt;=15000,"high")</f>
        <v>medium</v>
      </c>
      <c r="G1331" s="2">
        <v>12</v>
      </c>
      <c r="H1331" t="str" cm="1">
        <f t="array" ref="H1331">_xlfn.IFS(G1331&lt;=15,"Junior",G1331&lt;=30,"Mid level",G1331&gt;30,"Lead")</f>
        <v>Junior</v>
      </c>
    </row>
    <row r="1332" spans="1:8" x14ac:dyDescent="0.3">
      <c r="A1332" s="8">
        <v>13973</v>
      </c>
      <c r="B1332" t="str" cm="1">
        <f t="array" ref="B1332">_xlfn.IFS(A1332&lt;=8000,"low",A1332&lt;15000,"medium",A1332&gt;=15000,"high")</f>
        <v>medium</v>
      </c>
      <c r="G1332" s="1">
        <v>33</v>
      </c>
      <c r="H1332" t="str" cm="1">
        <f t="array" ref="H1332">_xlfn.IFS(G1332&lt;=15,"Junior",G1332&lt;=30,"Mid level",G1332&gt;30,"Lead")</f>
        <v>Lead</v>
      </c>
    </row>
    <row r="1333" spans="1:8" x14ac:dyDescent="0.3">
      <c r="A1333" s="7">
        <v>14026</v>
      </c>
      <c r="B1333" t="str" cm="1">
        <f t="array" ref="B1333">_xlfn.IFS(A1333&lt;=8000,"low",A1333&lt;15000,"medium",A1333&gt;=15000,"high")</f>
        <v>medium</v>
      </c>
      <c r="G1333" s="2">
        <v>1</v>
      </c>
      <c r="H1333" t="str" cm="1">
        <f t="array" ref="H1333">_xlfn.IFS(G1333&lt;=15,"Junior",G1333&lt;=30,"Mid level",G1333&gt;30,"Lead")</f>
        <v>Junior</v>
      </c>
    </row>
    <row r="1334" spans="1:8" x14ac:dyDescent="0.3">
      <c r="A1334" s="8">
        <v>14118</v>
      </c>
      <c r="B1334" t="str" cm="1">
        <f t="array" ref="B1334">_xlfn.IFS(A1334&lt;=8000,"low",A1334&lt;15000,"medium",A1334&gt;=15000,"high")</f>
        <v>medium</v>
      </c>
      <c r="G1334" s="1">
        <v>12</v>
      </c>
      <c r="H1334" t="str" cm="1">
        <f t="array" ref="H1334">_xlfn.IFS(G1334&lt;=15,"Junior",G1334&lt;=30,"Mid level",G1334&gt;30,"Lead")</f>
        <v>Junior</v>
      </c>
    </row>
    <row r="1335" spans="1:8" x14ac:dyDescent="0.3">
      <c r="A1335" s="7">
        <v>14275</v>
      </c>
      <c r="B1335" t="str" cm="1">
        <f t="array" ref="B1335">_xlfn.IFS(A1335&lt;=8000,"low",A1335&lt;15000,"medium",A1335&gt;=15000,"high")</f>
        <v>medium</v>
      </c>
      <c r="G1335" s="2">
        <v>25</v>
      </c>
      <c r="H1335" t="str" cm="1">
        <f t="array" ref="H1335">_xlfn.IFS(G1335&lt;=15,"Junior",G1335&lt;=30,"Mid level",G1335&gt;30,"Lead")</f>
        <v>Mid level</v>
      </c>
    </row>
    <row r="1336" spans="1:8" x14ac:dyDescent="0.3">
      <c r="A1336" s="8">
        <v>14336</v>
      </c>
      <c r="B1336" t="str" cm="1">
        <f t="array" ref="B1336">_xlfn.IFS(A1336&lt;=8000,"low",A1336&lt;15000,"medium",A1336&gt;=15000,"high")</f>
        <v>medium</v>
      </c>
      <c r="G1336" s="1">
        <v>32</v>
      </c>
      <c r="H1336" t="str" cm="1">
        <f t="array" ref="H1336">_xlfn.IFS(G1336&lt;=15,"Junior",G1336&lt;=30,"Mid level",G1336&gt;30,"Lead")</f>
        <v>Lead</v>
      </c>
    </row>
    <row r="1337" spans="1:8" x14ac:dyDescent="0.3">
      <c r="A1337" s="7">
        <v>14411</v>
      </c>
      <c r="B1337" t="str" cm="1">
        <f t="array" ref="B1337">_xlfn.IFS(A1337&lt;=8000,"low",A1337&lt;15000,"medium",A1337&gt;=15000,"high")</f>
        <v>medium</v>
      </c>
      <c r="G1337" s="2">
        <v>7</v>
      </c>
      <c r="H1337" t="str" cm="1">
        <f t="array" ref="H1337">_xlfn.IFS(G1337&lt;=15,"Junior",G1337&lt;=30,"Mid level",G1337&gt;30,"Lead")</f>
        <v>Junior</v>
      </c>
    </row>
    <row r="1338" spans="1:8" x14ac:dyDescent="0.3">
      <c r="A1338" s="8">
        <v>14732</v>
      </c>
      <c r="B1338" t="str" cm="1">
        <f t="array" ref="B1338">_xlfn.IFS(A1338&lt;=8000,"low",A1338&lt;15000,"medium",A1338&gt;=15000,"high")</f>
        <v>medium</v>
      </c>
      <c r="G1338" s="1">
        <v>5</v>
      </c>
      <c r="H1338" t="str" cm="1">
        <f t="array" ref="H1338">_xlfn.IFS(G1338&lt;=15,"Junior",G1338&lt;=30,"Mid level",G1338&gt;30,"Lead")</f>
        <v>Junior</v>
      </c>
    </row>
    <row r="1339" spans="1:8" x14ac:dyDescent="0.3">
      <c r="A1339" s="7">
        <v>14756</v>
      </c>
      <c r="B1339" t="str" cm="1">
        <f t="array" ref="B1339">_xlfn.IFS(A1339&lt;=8000,"low",A1339&lt;15000,"medium",A1339&gt;=15000,"high")</f>
        <v>medium</v>
      </c>
      <c r="G1339" s="2">
        <v>5</v>
      </c>
      <c r="H1339" t="str" cm="1">
        <f t="array" ref="H1339">_xlfn.IFS(G1339&lt;=15,"Junior",G1339&lt;=30,"Mid level",G1339&gt;30,"Lead")</f>
        <v>Junior</v>
      </c>
    </row>
    <row r="1340" spans="1:8" x14ac:dyDescent="0.3">
      <c r="A1340" s="8">
        <v>14814</v>
      </c>
      <c r="B1340" t="str" cm="1">
        <f t="array" ref="B1340">_xlfn.IFS(A1340&lt;=8000,"low",A1340&lt;15000,"medium",A1340&gt;=15000,"high")</f>
        <v>medium</v>
      </c>
      <c r="G1340" s="1">
        <v>17</v>
      </c>
      <c r="H1340" t="str" cm="1">
        <f t="array" ref="H1340">_xlfn.IFS(G1340&lt;=15,"Junior",G1340&lt;=30,"Mid level",G1340&gt;30,"Lead")</f>
        <v>Mid level</v>
      </c>
    </row>
    <row r="1341" spans="1:8" x14ac:dyDescent="0.3">
      <c r="A1341" s="7">
        <v>14852</v>
      </c>
      <c r="B1341" t="str" cm="1">
        <f t="array" ref="B1341">_xlfn.IFS(A1341&lt;=8000,"low",A1341&lt;15000,"medium",A1341&gt;=15000,"high")</f>
        <v>medium</v>
      </c>
      <c r="G1341" s="2">
        <v>2</v>
      </c>
      <c r="H1341" t="str" cm="1">
        <f t="array" ref="H1341">_xlfn.IFS(G1341&lt;=15,"Junior",G1341&lt;=30,"Mid level",G1341&gt;30,"Lead")</f>
        <v>Junior</v>
      </c>
    </row>
    <row r="1342" spans="1:8" x14ac:dyDescent="0.3">
      <c r="A1342" s="8">
        <v>15202</v>
      </c>
      <c r="B1342" t="str" cm="1">
        <f t="array" ref="B1342">_xlfn.IFS(A1342&lt;=8000,"low",A1342&lt;15000,"medium",A1342&gt;=15000,"high")</f>
        <v>high</v>
      </c>
      <c r="G1342" s="1">
        <v>8</v>
      </c>
      <c r="H1342" t="str" cm="1">
        <f t="array" ref="H1342">_xlfn.IFS(G1342&lt;=15,"Junior",G1342&lt;=30,"Mid level",G1342&gt;30,"Lead")</f>
        <v>Junior</v>
      </c>
    </row>
    <row r="1343" spans="1:8" x14ac:dyDescent="0.3">
      <c r="A1343" s="7">
        <v>15379</v>
      </c>
      <c r="B1343" t="str" cm="1">
        <f t="array" ref="B1343">_xlfn.IFS(A1343&lt;=8000,"low",A1343&lt;15000,"medium",A1343&gt;=15000,"high")</f>
        <v>high</v>
      </c>
      <c r="G1343" s="2">
        <v>3</v>
      </c>
      <c r="H1343" t="str" cm="1">
        <f t="array" ref="H1343">_xlfn.IFS(G1343&lt;=15,"Junior",G1343&lt;=30,"Mid level",G1343&gt;30,"Lead")</f>
        <v>Junior</v>
      </c>
    </row>
    <row r="1344" spans="1:8" x14ac:dyDescent="0.3">
      <c r="A1344" s="8">
        <v>15402</v>
      </c>
      <c r="B1344" t="str" cm="1">
        <f t="array" ref="B1344">_xlfn.IFS(A1344&lt;=8000,"low",A1344&lt;15000,"medium",A1344&gt;=15000,"high")</f>
        <v>high</v>
      </c>
      <c r="G1344" s="1">
        <v>25</v>
      </c>
      <c r="H1344" t="str" cm="1">
        <f t="array" ref="H1344">_xlfn.IFS(G1344&lt;=15,"Junior",G1344&lt;=30,"Mid level",G1344&gt;30,"Lead")</f>
        <v>Mid level</v>
      </c>
    </row>
    <row r="1345" spans="1:8" x14ac:dyDescent="0.3">
      <c r="A1345" s="7">
        <v>15427</v>
      </c>
      <c r="B1345" t="str" cm="1">
        <f t="array" ref="B1345">_xlfn.IFS(A1345&lt;=8000,"low",A1345&lt;15000,"medium",A1345&gt;=15000,"high")</f>
        <v>high</v>
      </c>
      <c r="G1345" s="2">
        <v>2</v>
      </c>
      <c r="H1345" t="str" cm="1">
        <f t="array" ref="H1345">_xlfn.IFS(G1345&lt;=15,"Junior",G1345&lt;=30,"Mid level",G1345&gt;30,"Lead")</f>
        <v>Junior</v>
      </c>
    </row>
    <row r="1346" spans="1:8" x14ac:dyDescent="0.3">
      <c r="A1346" s="8">
        <v>15787</v>
      </c>
      <c r="B1346" t="str" cm="1">
        <f t="array" ref="B1346">_xlfn.IFS(A1346&lt;=8000,"low",A1346&lt;15000,"medium",A1346&gt;=15000,"high")</f>
        <v>high</v>
      </c>
      <c r="G1346" s="1">
        <v>3</v>
      </c>
      <c r="H1346" t="str" cm="1">
        <f t="array" ref="H1346">_xlfn.IFS(G1346&lt;=15,"Junior",G1346&lt;=30,"Mid level",G1346&gt;30,"Lead")</f>
        <v>Junior</v>
      </c>
    </row>
    <row r="1347" spans="1:8" x14ac:dyDescent="0.3">
      <c r="A1347" s="7">
        <v>15972</v>
      </c>
      <c r="B1347" t="str" cm="1">
        <f t="array" ref="B1347">_xlfn.IFS(A1347&lt;=8000,"low",A1347&lt;15000,"medium",A1347&gt;=15000,"high")</f>
        <v>high</v>
      </c>
      <c r="G1347" s="2">
        <v>1</v>
      </c>
      <c r="H1347" t="str" cm="1">
        <f t="array" ref="H1347">_xlfn.IFS(G1347&lt;=15,"Junior",G1347&lt;=30,"Mid level",G1347&gt;30,"Lead")</f>
        <v>Junior</v>
      </c>
    </row>
    <row r="1348" spans="1:8" x14ac:dyDescent="0.3">
      <c r="A1348" s="8">
        <v>15992</v>
      </c>
      <c r="B1348" t="str" cm="1">
        <f t="array" ref="B1348">_xlfn.IFS(A1348&lt;=8000,"low",A1348&lt;15000,"medium",A1348&gt;=15000,"high")</f>
        <v>high</v>
      </c>
      <c r="G1348" s="1">
        <v>22</v>
      </c>
      <c r="H1348" t="str" cm="1">
        <f t="array" ref="H1348">_xlfn.IFS(G1348&lt;=15,"Junior",G1348&lt;=30,"Mid level",G1348&gt;30,"Lead")</f>
        <v>Mid level</v>
      </c>
    </row>
    <row r="1349" spans="1:8" x14ac:dyDescent="0.3">
      <c r="A1349" s="7">
        <v>16015</v>
      </c>
      <c r="B1349" t="str" cm="1">
        <f t="array" ref="B1349">_xlfn.IFS(A1349&lt;=8000,"low",A1349&lt;15000,"medium",A1349&gt;=15000,"high")</f>
        <v>high</v>
      </c>
      <c r="G1349" s="2">
        <v>14</v>
      </c>
      <c r="H1349" t="str" cm="1">
        <f t="array" ref="H1349">_xlfn.IFS(G1349&lt;=15,"Junior",G1349&lt;=30,"Mid level",G1349&gt;30,"Lead")</f>
        <v>Junior</v>
      </c>
    </row>
    <row r="1350" spans="1:8" x14ac:dyDescent="0.3">
      <c r="A1350" s="8">
        <v>16032</v>
      </c>
      <c r="B1350" t="str" cm="1">
        <f t="array" ref="B1350">_xlfn.IFS(A1350&lt;=8000,"low",A1350&lt;15000,"medium",A1350&gt;=15000,"high")</f>
        <v>high</v>
      </c>
      <c r="G1350" s="1">
        <v>17</v>
      </c>
      <c r="H1350" t="str" cm="1">
        <f t="array" ref="H1350">_xlfn.IFS(G1350&lt;=15,"Junior",G1350&lt;=30,"Mid level",G1350&gt;30,"Lead")</f>
        <v>Mid level</v>
      </c>
    </row>
    <row r="1351" spans="1:8" x14ac:dyDescent="0.3">
      <c r="A1351" s="7">
        <v>16064</v>
      </c>
      <c r="B1351" t="str" cm="1">
        <f t="array" ref="B1351">_xlfn.IFS(A1351&lt;=8000,"low",A1351&lt;15000,"medium",A1351&gt;=15000,"high")</f>
        <v>high</v>
      </c>
      <c r="G1351" s="2">
        <v>7</v>
      </c>
      <c r="H1351" t="str" cm="1">
        <f t="array" ref="H1351">_xlfn.IFS(G1351&lt;=15,"Junior",G1351&lt;=30,"Mid level",G1351&gt;30,"Lead")</f>
        <v>Junior</v>
      </c>
    </row>
    <row r="1352" spans="1:8" x14ac:dyDescent="0.3">
      <c r="A1352" s="8">
        <v>16124</v>
      </c>
      <c r="B1352" t="str" cm="1">
        <f t="array" ref="B1352">_xlfn.IFS(A1352&lt;=8000,"low",A1352&lt;15000,"medium",A1352&gt;=15000,"high")</f>
        <v>high</v>
      </c>
      <c r="G1352" s="1">
        <v>6</v>
      </c>
      <c r="H1352" t="str" cm="1">
        <f t="array" ref="H1352">_xlfn.IFS(G1352&lt;=15,"Junior",G1352&lt;=30,"Mid level",G1352&gt;30,"Lead")</f>
        <v>Junior</v>
      </c>
    </row>
    <row r="1353" spans="1:8" x14ac:dyDescent="0.3">
      <c r="A1353" s="7">
        <v>16184</v>
      </c>
      <c r="B1353" t="str" cm="1">
        <f t="array" ref="B1353">_xlfn.IFS(A1353&lt;=8000,"low",A1353&lt;15000,"medium",A1353&gt;=15000,"high")</f>
        <v>high</v>
      </c>
      <c r="G1353" s="2">
        <v>16</v>
      </c>
      <c r="H1353" t="str" cm="1">
        <f t="array" ref="H1353">_xlfn.IFS(G1353&lt;=15,"Junior",G1353&lt;=30,"Mid level",G1353&gt;30,"Lead")</f>
        <v>Mid level</v>
      </c>
    </row>
    <row r="1354" spans="1:8" x14ac:dyDescent="0.3">
      <c r="A1354" s="8">
        <v>16291</v>
      </c>
      <c r="B1354" t="str" cm="1">
        <f t="array" ref="B1354">_xlfn.IFS(A1354&lt;=8000,"low",A1354&lt;15000,"medium",A1354&gt;=15000,"high")</f>
        <v>high</v>
      </c>
      <c r="G1354" s="1">
        <v>20</v>
      </c>
      <c r="H1354" t="str" cm="1">
        <f t="array" ref="H1354">_xlfn.IFS(G1354&lt;=15,"Junior",G1354&lt;=30,"Mid level",G1354&gt;30,"Lead")</f>
        <v>Mid level</v>
      </c>
    </row>
    <row r="1355" spans="1:8" x14ac:dyDescent="0.3">
      <c r="A1355" s="7">
        <v>16307</v>
      </c>
      <c r="B1355" t="str" cm="1">
        <f t="array" ref="B1355">_xlfn.IFS(A1355&lt;=8000,"low",A1355&lt;15000,"medium",A1355&gt;=15000,"high")</f>
        <v>high</v>
      </c>
      <c r="G1355" s="2">
        <v>20</v>
      </c>
      <c r="H1355" t="str" cm="1">
        <f t="array" ref="H1355">_xlfn.IFS(G1355&lt;=15,"Junior",G1355&lt;=30,"Mid level",G1355&gt;30,"Lead")</f>
        <v>Mid level</v>
      </c>
    </row>
    <row r="1356" spans="1:8" x14ac:dyDescent="0.3">
      <c r="A1356" s="8">
        <v>16328</v>
      </c>
      <c r="B1356" t="str" cm="1">
        <f t="array" ref="B1356">_xlfn.IFS(A1356&lt;=8000,"low",A1356&lt;15000,"medium",A1356&gt;=15000,"high")</f>
        <v>high</v>
      </c>
      <c r="G1356" s="1">
        <v>4</v>
      </c>
      <c r="H1356" t="str" cm="1">
        <f t="array" ref="H1356">_xlfn.IFS(G1356&lt;=15,"Junior",G1356&lt;=30,"Mid level",G1356&gt;30,"Lead")</f>
        <v>Junior</v>
      </c>
    </row>
    <row r="1357" spans="1:8" x14ac:dyDescent="0.3">
      <c r="A1357" s="7">
        <v>16413</v>
      </c>
      <c r="B1357" t="str" cm="1">
        <f t="array" ref="B1357">_xlfn.IFS(A1357&lt;=8000,"low",A1357&lt;15000,"medium",A1357&gt;=15000,"high")</f>
        <v>high</v>
      </c>
      <c r="G1357" s="2">
        <v>3</v>
      </c>
      <c r="H1357" t="str" cm="1">
        <f t="array" ref="H1357">_xlfn.IFS(G1357&lt;=15,"Junior",G1357&lt;=30,"Mid level",G1357&gt;30,"Lead")</f>
        <v>Junior</v>
      </c>
    </row>
    <row r="1358" spans="1:8" x14ac:dyDescent="0.3">
      <c r="A1358" s="8">
        <v>16422</v>
      </c>
      <c r="B1358" t="str" cm="1">
        <f t="array" ref="B1358">_xlfn.IFS(A1358&lt;=8000,"low",A1358&lt;15000,"medium",A1358&gt;=15000,"high")</f>
        <v>high</v>
      </c>
      <c r="G1358" s="1">
        <v>21</v>
      </c>
      <c r="H1358" t="str" cm="1">
        <f t="array" ref="H1358">_xlfn.IFS(G1358&lt;=15,"Junior",G1358&lt;=30,"Mid level",G1358&gt;30,"Lead")</f>
        <v>Mid level</v>
      </c>
    </row>
    <row r="1359" spans="1:8" x14ac:dyDescent="0.3">
      <c r="A1359" s="7">
        <v>16437</v>
      </c>
      <c r="B1359" t="str" cm="1">
        <f t="array" ref="B1359">_xlfn.IFS(A1359&lt;=8000,"low",A1359&lt;15000,"medium",A1359&gt;=15000,"high")</f>
        <v>high</v>
      </c>
      <c r="G1359" s="2">
        <v>5</v>
      </c>
      <c r="H1359" t="str" cm="1">
        <f t="array" ref="H1359">_xlfn.IFS(G1359&lt;=15,"Junior",G1359&lt;=30,"Mid level",G1359&gt;30,"Lead")</f>
        <v>Junior</v>
      </c>
    </row>
    <row r="1360" spans="1:8" x14ac:dyDescent="0.3">
      <c r="A1360" s="8">
        <v>16555</v>
      </c>
      <c r="B1360" t="str" cm="1">
        <f t="array" ref="B1360">_xlfn.IFS(A1360&lt;=8000,"low",A1360&lt;15000,"medium",A1360&gt;=15000,"high")</f>
        <v>high</v>
      </c>
      <c r="G1360" s="1">
        <v>18</v>
      </c>
      <c r="H1360" t="str" cm="1">
        <f t="array" ref="H1360">_xlfn.IFS(G1360&lt;=15,"Junior",G1360&lt;=30,"Mid level",G1360&gt;30,"Lead")</f>
        <v>Mid level</v>
      </c>
    </row>
    <row r="1361" spans="1:8" x14ac:dyDescent="0.3">
      <c r="A1361" s="7">
        <v>16595</v>
      </c>
      <c r="B1361" t="str" cm="1">
        <f t="array" ref="B1361">_xlfn.IFS(A1361&lt;=8000,"low",A1361&lt;15000,"medium",A1361&gt;=15000,"high")</f>
        <v>high</v>
      </c>
      <c r="G1361" s="2">
        <v>9</v>
      </c>
      <c r="H1361" t="str" cm="1">
        <f t="array" ref="H1361">_xlfn.IFS(G1361&lt;=15,"Junior",G1361&lt;=30,"Mid level",G1361&gt;30,"Lead")</f>
        <v>Junior</v>
      </c>
    </row>
    <row r="1362" spans="1:8" x14ac:dyDescent="0.3">
      <c r="A1362" s="8">
        <v>16598</v>
      </c>
      <c r="B1362" t="str" cm="1">
        <f t="array" ref="B1362">_xlfn.IFS(A1362&lt;=8000,"low",A1362&lt;15000,"medium",A1362&gt;=15000,"high")</f>
        <v>high</v>
      </c>
      <c r="G1362" s="1">
        <v>13</v>
      </c>
      <c r="H1362" t="str" cm="1">
        <f t="array" ref="H1362">_xlfn.IFS(G1362&lt;=15,"Junior",G1362&lt;=30,"Mid level",G1362&gt;30,"Lead")</f>
        <v>Junior</v>
      </c>
    </row>
    <row r="1363" spans="1:8" x14ac:dyDescent="0.3">
      <c r="A1363" s="7">
        <v>16606</v>
      </c>
      <c r="B1363" t="str" cm="1">
        <f t="array" ref="B1363">_xlfn.IFS(A1363&lt;=8000,"low",A1363&lt;15000,"medium",A1363&gt;=15000,"high")</f>
        <v>high</v>
      </c>
      <c r="G1363" s="2">
        <v>1</v>
      </c>
      <c r="H1363" t="str" cm="1">
        <f t="array" ref="H1363">_xlfn.IFS(G1363&lt;=15,"Junior",G1363&lt;=30,"Mid level",G1363&gt;30,"Lead")</f>
        <v>Junior</v>
      </c>
    </row>
    <row r="1364" spans="1:8" x14ac:dyDescent="0.3">
      <c r="A1364" s="8">
        <v>16627</v>
      </c>
      <c r="B1364" t="str" cm="1">
        <f t="array" ref="B1364">_xlfn.IFS(A1364&lt;=8000,"low",A1364&lt;15000,"medium",A1364&gt;=15000,"high")</f>
        <v>high</v>
      </c>
      <c r="G1364" s="1">
        <v>5</v>
      </c>
      <c r="H1364" t="str" cm="1">
        <f t="array" ref="H1364">_xlfn.IFS(G1364&lt;=15,"Junior",G1364&lt;=30,"Mid level",G1364&gt;30,"Lead")</f>
        <v>Junior</v>
      </c>
    </row>
    <row r="1365" spans="1:8" x14ac:dyDescent="0.3">
      <c r="A1365" s="7">
        <v>16659</v>
      </c>
      <c r="B1365" t="str" cm="1">
        <f t="array" ref="B1365">_xlfn.IFS(A1365&lt;=8000,"low",A1365&lt;15000,"medium",A1365&gt;=15000,"high")</f>
        <v>high</v>
      </c>
      <c r="G1365" s="2">
        <v>21</v>
      </c>
      <c r="H1365" t="str" cm="1">
        <f t="array" ref="H1365">_xlfn.IFS(G1365&lt;=15,"Junior",G1365&lt;=30,"Mid level",G1365&gt;30,"Lead")</f>
        <v>Mid level</v>
      </c>
    </row>
    <row r="1366" spans="1:8" x14ac:dyDescent="0.3">
      <c r="A1366" s="8">
        <v>16704</v>
      </c>
      <c r="B1366" t="str" cm="1">
        <f t="array" ref="B1366">_xlfn.IFS(A1366&lt;=8000,"low",A1366&lt;15000,"medium",A1366&gt;=15000,"high")</f>
        <v>high</v>
      </c>
      <c r="G1366" s="1">
        <v>26</v>
      </c>
      <c r="H1366" t="str" cm="1">
        <f t="array" ref="H1366">_xlfn.IFS(G1366&lt;=15,"Junior",G1366&lt;=30,"Mid level",G1366&gt;30,"Lead")</f>
        <v>Mid level</v>
      </c>
    </row>
    <row r="1367" spans="1:8" x14ac:dyDescent="0.3">
      <c r="A1367" s="7">
        <v>16752</v>
      </c>
      <c r="B1367" t="str" cm="1">
        <f t="array" ref="B1367">_xlfn.IFS(A1367&lt;=8000,"low",A1367&lt;15000,"medium",A1367&gt;=15000,"high")</f>
        <v>high</v>
      </c>
      <c r="G1367" s="2">
        <v>9</v>
      </c>
      <c r="H1367" t="str" cm="1">
        <f t="array" ref="H1367">_xlfn.IFS(G1367&lt;=15,"Junior",G1367&lt;=30,"Mid level",G1367&gt;30,"Lead")</f>
        <v>Junior</v>
      </c>
    </row>
    <row r="1368" spans="1:8" x14ac:dyDescent="0.3">
      <c r="A1368" s="8">
        <v>16756</v>
      </c>
      <c r="B1368" t="str" cm="1">
        <f t="array" ref="B1368">_xlfn.IFS(A1368&lt;=8000,"low",A1368&lt;15000,"medium",A1368&gt;=15000,"high")</f>
        <v>high</v>
      </c>
      <c r="G1368" s="1">
        <v>20</v>
      </c>
      <c r="H1368" t="str" cm="1">
        <f t="array" ref="H1368">_xlfn.IFS(G1368&lt;=15,"Junior",G1368&lt;=30,"Mid level",G1368&gt;30,"Lead")</f>
        <v>Mid level</v>
      </c>
    </row>
    <row r="1369" spans="1:8" x14ac:dyDescent="0.3">
      <c r="A1369" s="7">
        <v>16792</v>
      </c>
      <c r="B1369" t="str" cm="1">
        <f t="array" ref="B1369">_xlfn.IFS(A1369&lt;=8000,"low",A1369&lt;15000,"medium",A1369&gt;=15000,"high")</f>
        <v>high</v>
      </c>
      <c r="G1369" s="2">
        <v>20</v>
      </c>
      <c r="H1369" t="str" cm="1">
        <f t="array" ref="H1369">_xlfn.IFS(G1369&lt;=15,"Junior",G1369&lt;=30,"Mid level",G1369&gt;30,"Lead")</f>
        <v>Mid level</v>
      </c>
    </row>
    <row r="1370" spans="1:8" x14ac:dyDescent="0.3">
      <c r="A1370" s="8">
        <v>16799</v>
      </c>
      <c r="B1370" t="str" cm="1">
        <f t="array" ref="B1370">_xlfn.IFS(A1370&lt;=8000,"low",A1370&lt;15000,"medium",A1370&gt;=15000,"high")</f>
        <v>high</v>
      </c>
      <c r="G1370" s="1">
        <v>19</v>
      </c>
      <c r="H1370" t="str" cm="1">
        <f t="array" ref="H1370">_xlfn.IFS(G1370&lt;=15,"Junior",G1370&lt;=30,"Mid level",G1370&gt;30,"Lead")</f>
        <v>Mid level</v>
      </c>
    </row>
    <row r="1371" spans="1:8" x14ac:dyDescent="0.3">
      <c r="A1371" s="7">
        <v>16823</v>
      </c>
      <c r="B1371" t="str" cm="1">
        <f t="array" ref="B1371">_xlfn.IFS(A1371&lt;=8000,"low",A1371&lt;15000,"medium",A1371&gt;=15000,"high")</f>
        <v>high</v>
      </c>
      <c r="G1371" s="2">
        <v>10</v>
      </c>
      <c r="H1371" t="str" cm="1">
        <f t="array" ref="H1371">_xlfn.IFS(G1371&lt;=15,"Junior",G1371&lt;=30,"Mid level",G1371&gt;30,"Lead")</f>
        <v>Junior</v>
      </c>
    </row>
    <row r="1372" spans="1:8" x14ac:dyDescent="0.3">
      <c r="A1372" s="8">
        <v>16835</v>
      </c>
      <c r="B1372" t="str" cm="1">
        <f t="array" ref="B1372">_xlfn.IFS(A1372&lt;=8000,"low",A1372&lt;15000,"medium",A1372&gt;=15000,"high")</f>
        <v>high</v>
      </c>
      <c r="G1372" s="1">
        <v>34</v>
      </c>
      <c r="H1372" t="str" cm="1">
        <f t="array" ref="H1372">_xlfn.IFS(G1372&lt;=15,"Junior",G1372&lt;=30,"Mid level",G1372&gt;30,"Lead")</f>
        <v>Lead</v>
      </c>
    </row>
    <row r="1373" spans="1:8" x14ac:dyDescent="0.3">
      <c r="A1373" s="7">
        <v>16856</v>
      </c>
      <c r="B1373" t="str" cm="1">
        <f t="array" ref="B1373">_xlfn.IFS(A1373&lt;=8000,"low",A1373&lt;15000,"medium",A1373&gt;=15000,"high")</f>
        <v>high</v>
      </c>
      <c r="G1373" s="2">
        <v>7</v>
      </c>
      <c r="H1373" t="str" cm="1">
        <f t="array" ref="H1373">_xlfn.IFS(G1373&lt;=15,"Junior",G1373&lt;=30,"Mid level",G1373&gt;30,"Lead")</f>
        <v>Junior</v>
      </c>
    </row>
    <row r="1374" spans="1:8" x14ac:dyDescent="0.3">
      <c r="A1374" s="8">
        <v>16872</v>
      </c>
      <c r="B1374" t="str" cm="1">
        <f t="array" ref="B1374">_xlfn.IFS(A1374&lt;=8000,"low",A1374&lt;15000,"medium",A1374&gt;=15000,"high")</f>
        <v>high</v>
      </c>
      <c r="G1374" s="1">
        <v>3</v>
      </c>
      <c r="H1374" t="str" cm="1">
        <f t="array" ref="H1374">_xlfn.IFS(G1374&lt;=15,"Junior",G1374&lt;=30,"Mid level",G1374&gt;30,"Lead")</f>
        <v>Junior</v>
      </c>
    </row>
    <row r="1375" spans="1:8" x14ac:dyDescent="0.3">
      <c r="A1375" s="7">
        <v>16880</v>
      </c>
      <c r="B1375" t="str" cm="1">
        <f t="array" ref="B1375">_xlfn.IFS(A1375&lt;=8000,"low",A1375&lt;15000,"medium",A1375&gt;=15000,"high")</f>
        <v>high</v>
      </c>
      <c r="G1375" s="2">
        <v>5</v>
      </c>
      <c r="H1375" t="str" cm="1">
        <f t="array" ref="H1375">_xlfn.IFS(G1375&lt;=15,"Junior",G1375&lt;=30,"Mid level",G1375&gt;30,"Lead")</f>
        <v>Junior</v>
      </c>
    </row>
    <row r="1376" spans="1:8" x14ac:dyDescent="0.3">
      <c r="A1376" s="8">
        <v>16885</v>
      </c>
      <c r="B1376" t="str" cm="1">
        <f t="array" ref="B1376">_xlfn.IFS(A1376&lt;=8000,"low",A1376&lt;15000,"medium",A1376&gt;=15000,"high")</f>
        <v>high</v>
      </c>
      <c r="G1376" s="1">
        <v>25</v>
      </c>
      <c r="H1376" t="str" cm="1">
        <f t="array" ref="H1376">_xlfn.IFS(G1376&lt;=15,"Junior",G1376&lt;=30,"Mid level",G1376&gt;30,"Lead")</f>
        <v>Mid level</v>
      </c>
    </row>
    <row r="1377" spans="1:8" x14ac:dyDescent="0.3">
      <c r="A1377" s="7">
        <v>16959</v>
      </c>
      <c r="B1377" t="str" cm="1">
        <f t="array" ref="B1377">_xlfn.IFS(A1377&lt;=8000,"low",A1377&lt;15000,"medium",A1377&gt;=15000,"high")</f>
        <v>high</v>
      </c>
      <c r="G1377" s="2">
        <v>14</v>
      </c>
      <c r="H1377" t="str" cm="1">
        <f t="array" ref="H1377">_xlfn.IFS(G1377&lt;=15,"Junior",G1377&lt;=30,"Mid level",G1377&gt;30,"Lead")</f>
        <v>Junior</v>
      </c>
    </row>
    <row r="1378" spans="1:8" x14ac:dyDescent="0.3">
      <c r="A1378" s="8">
        <v>17007</v>
      </c>
      <c r="B1378" t="str" cm="1">
        <f t="array" ref="B1378">_xlfn.IFS(A1378&lt;=8000,"low",A1378&lt;15000,"medium",A1378&gt;=15000,"high")</f>
        <v>high</v>
      </c>
      <c r="G1378" s="1">
        <v>27</v>
      </c>
      <c r="H1378" t="str" cm="1">
        <f t="array" ref="H1378">_xlfn.IFS(G1378&lt;=15,"Junior",G1378&lt;=30,"Mid level",G1378&gt;30,"Lead")</f>
        <v>Mid level</v>
      </c>
    </row>
    <row r="1379" spans="1:8" x14ac:dyDescent="0.3">
      <c r="A1379" s="7">
        <v>17046</v>
      </c>
      <c r="B1379" t="str" cm="1">
        <f t="array" ref="B1379">_xlfn.IFS(A1379&lt;=8000,"low",A1379&lt;15000,"medium",A1379&gt;=15000,"high")</f>
        <v>high</v>
      </c>
      <c r="G1379" s="2">
        <v>26</v>
      </c>
      <c r="H1379" t="str" cm="1">
        <f t="array" ref="H1379">_xlfn.IFS(G1379&lt;=15,"Junior",G1379&lt;=30,"Mid level",G1379&gt;30,"Lead")</f>
        <v>Mid level</v>
      </c>
    </row>
    <row r="1380" spans="1:8" x14ac:dyDescent="0.3">
      <c r="A1380" s="8">
        <v>17048</v>
      </c>
      <c r="B1380" t="str" cm="1">
        <f t="array" ref="B1380">_xlfn.IFS(A1380&lt;=8000,"low",A1380&lt;15000,"medium",A1380&gt;=15000,"high")</f>
        <v>high</v>
      </c>
      <c r="G1380" s="1">
        <v>21</v>
      </c>
      <c r="H1380" t="str" cm="1">
        <f t="array" ref="H1380">_xlfn.IFS(G1380&lt;=15,"Junior",G1380&lt;=30,"Mid level",G1380&gt;30,"Lead")</f>
        <v>Mid level</v>
      </c>
    </row>
    <row r="1381" spans="1:8" x14ac:dyDescent="0.3">
      <c r="A1381" s="7">
        <v>17068</v>
      </c>
      <c r="B1381" t="str" cm="1">
        <f t="array" ref="B1381">_xlfn.IFS(A1381&lt;=8000,"low",A1381&lt;15000,"medium",A1381&gt;=15000,"high")</f>
        <v>high</v>
      </c>
      <c r="G1381" s="2">
        <v>9</v>
      </c>
      <c r="H1381" t="str" cm="1">
        <f t="array" ref="H1381">_xlfn.IFS(G1381&lt;=15,"Junior",G1381&lt;=30,"Mid level",G1381&gt;30,"Lead")</f>
        <v>Junior</v>
      </c>
    </row>
    <row r="1382" spans="1:8" x14ac:dyDescent="0.3">
      <c r="A1382" s="8">
        <v>17099</v>
      </c>
      <c r="B1382" t="str" cm="1">
        <f t="array" ref="B1382">_xlfn.IFS(A1382&lt;=8000,"low",A1382&lt;15000,"medium",A1382&gt;=15000,"high")</f>
        <v>high</v>
      </c>
      <c r="G1382" s="1">
        <v>19</v>
      </c>
      <c r="H1382" t="str" cm="1">
        <f t="array" ref="H1382">_xlfn.IFS(G1382&lt;=15,"Junior",G1382&lt;=30,"Mid level",G1382&gt;30,"Lead")</f>
        <v>Mid level</v>
      </c>
    </row>
    <row r="1383" spans="1:8" x14ac:dyDescent="0.3">
      <c r="A1383" s="7">
        <v>17123</v>
      </c>
      <c r="B1383" t="str" cm="1">
        <f t="array" ref="B1383">_xlfn.IFS(A1383&lt;=8000,"low",A1383&lt;15000,"medium",A1383&gt;=15000,"high")</f>
        <v>high</v>
      </c>
      <c r="G1383" s="2">
        <v>4</v>
      </c>
      <c r="H1383" t="str" cm="1">
        <f t="array" ref="H1383">_xlfn.IFS(G1383&lt;=15,"Junior",G1383&lt;=30,"Mid level",G1383&gt;30,"Lead")</f>
        <v>Junior</v>
      </c>
    </row>
    <row r="1384" spans="1:8" x14ac:dyDescent="0.3">
      <c r="A1384" s="8">
        <v>17159</v>
      </c>
      <c r="B1384" t="str" cm="1">
        <f t="array" ref="B1384">_xlfn.IFS(A1384&lt;=8000,"low",A1384&lt;15000,"medium",A1384&gt;=15000,"high")</f>
        <v>high</v>
      </c>
      <c r="G1384" s="1">
        <v>20</v>
      </c>
      <c r="H1384" t="str" cm="1">
        <f t="array" ref="H1384">_xlfn.IFS(G1384&lt;=15,"Junior",G1384&lt;=30,"Mid level",G1384&gt;30,"Lead")</f>
        <v>Mid level</v>
      </c>
    </row>
    <row r="1385" spans="1:8" x14ac:dyDescent="0.3">
      <c r="A1385" s="7">
        <v>17169</v>
      </c>
      <c r="B1385" t="str" cm="1">
        <f t="array" ref="B1385">_xlfn.IFS(A1385&lt;=8000,"low",A1385&lt;15000,"medium",A1385&gt;=15000,"high")</f>
        <v>high</v>
      </c>
      <c r="G1385" s="2">
        <v>22</v>
      </c>
      <c r="H1385" t="str" cm="1">
        <f t="array" ref="H1385">_xlfn.IFS(G1385&lt;=15,"Junior",G1385&lt;=30,"Mid level",G1385&gt;30,"Lead")</f>
        <v>Mid level</v>
      </c>
    </row>
    <row r="1386" spans="1:8" x14ac:dyDescent="0.3">
      <c r="A1386" s="8">
        <v>17174</v>
      </c>
      <c r="B1386" t="str" cm="1">
        <f t="array" ref="B1386">_xlfn.IFS(A1386&lt;=8000,"low",A1386&lt;15000,"medium",A1386&gt;=15000,"high")</f>
        <v>high</v>
      </c>
      <c r="G1386" s="1">
        <v>7</v>
      </c>
      <c r="H1386" t="str" cm="1">
        <f t="array" ref="H1386">_xlfn.IFS(G1386&lt;=15,"Junior",G1386&lt;=30,"Mid level",G1386&gt;30,"Lead")</f>
        <v>Junior</v>
      </c>
    </row>
    <row r="1387" spans="1:8" x14ac:dyDescent="0.3">
      <c r="A1387" s="7">
        <v>17181</v>
      </c>
      <c r="B1387" t="str" cm="1">
        <f t="array" ref="B1387">_xlfn.IFS(A1387&lt;=8000,"low",A1387&lt;15000,"medium",A1387&gt;=15000,"high")</f>
        <v>high</v>
      </c>
      <c r="G1387" s="2">
        <v>5</v>
      </c>
      <c r="H1387" t="str" cm="1">
        <f t="array" ref="H1387">_xlfn.IFS(G1387&lt;=15,"Junior",G1387&lt;=30,"Mid level",G1387&gt;30,"Lead")</f>
        <v>Junior</v>
      </c>
    </row>
    <row r="1388" spans="1:8" x14ac:dyDescent="0.3">
      <c r="A1388" s="8">
        <v>17328</v>
      </c>
      <c r="B1388" t="str" cm="1">
        <f t="array" ref="B1388">_xlfn.IFS(A1388&lt;=8000,"low",A1388&lt;15000,"medium",A1388&gt;=15000,"high")</f>
        <v>high</v>
      </c>
      <c r="G1388" s="1">
        <v>20</v>
      </c>
      <c r="H1388" t="str" cm="1">
        <f t="array" ref="H1388">_xlfn.IFS(G1388&lt;=15,"Junior",G1388&lt;=30,"Mid level",G1388&gt;30,"Lead")</f>
        <v>Mid level</v>
      </c>
    </row>
    <row r="1389" spans="1:8" x14ac:dyDescent="0.3">
      <c r="A1389" s="7">
        <v>17328</v>
      </c>
      <c r="B1389" t="str" cm="1">
        <f t="array" ref="B1389">_xlfn.IFS(A1389&lt;=8000,"low",A1389&lt;15000,"medium",A1389&gt;=15000,"high")</f>
        <v>high</v>
      </c>
      <c r="G1389" s="2">
        <v>5</v>
      </c>
      <c r="H1389" t="str" cm="1">
        <f t="array" ref="H1389">_xlfn.IFS(G1389&lt;=15,"Junior",G1389&lt;=30,"Mid level",G1389&gt;30,"Lead")</f>
        <v>Junior</v>
      </c>
    </row>
    <row r="1390" spans="1:8" x14ac:dyDescent="0.3">
      <c r="A1390" s="8">
        <v>17399</v>
      </c>
      <c r="B1390" t="str" cm="1">
        <f t="array" ref="B1390">_xlfn.IFS(A1390&lt;=8000,"low",A1390&lt;15000,"medium",A1390&gt;=15000,"high")</f>
        <v>high</v>
      </c>
      <c r="G1390" s="1">
        <v>10</v>
      </c>
      <c r="H1390" t="str" cm="1">
        <f t="array" ref="H1390">_xlfn.IFS(G1390&lt;=15,"Junior",G1390&lt;=30,"Mid level",G1390&gt;30,"Lead")</f>
        <v>Junior</v>
      </c>
    </row>
    <row r="1391" spans="1:8" x14ac:dyDescent="0.3">
      <c r="A1391" s="7">
        <v>17426</v>
      </c>
      <c r="B1391" t="str" cm="1">
        <f t="array" ref="B1391">_xlfn.IFS(A1391&lt;=8000,"low",A1391&lt;15000,"medium",A1391&gt;=15000,"high")</f>
        <v>high</v>
      </c>
      <c r="G1391" s="2">
        <v>10</v>
      </c>
      <c r="H1391" t="str" cm="1">
        <f t="array" ref="H1391">_xlfn.IFS(G1391&lt;=15,"Junior",G1391&lt;=30,"Mid level",G1391&gt;30,"Lead")</f>
        <v>Junior</v>
      </c>
    </row>
    <row r="1392" spans="1:8" x14ac:dyDescent="0.3">
      <c r="A1392" s="8">
        <v>17444</v>
      </c>
      <c r="B1392" t="str" cm="1">
        <f t="array" ref="B1392">_xlfn.IFS(A1392&lt;=8000,"low",A1392&lt;15000,"medium",A1392&gt;=15000,"high")</f>
        <v>high</v>
      </c>
      <c r="G1392" s="1">
        <v>12</v>
      </c>
      <c r="H1392" t="str" cm="1">
        <f t="array" ref="H1392">_xlfn.IFS(G1392&lt;=15,"Junior",G1392&lt;=30,"Mid level",G1392&gt;30,"Lead")</f>
        <v>Junior</v>
      </c>
    </row>
    <row r="1393" spans="1:8" x14ac:dyDescent="0.3">
      <c r="A1393" s="7">
        <v>17465</v>
      </c>
      <c r="B1393" t="str" cm="1">
        <f t="array" ref="B1393">_xlfn.IFS(A1393&lt;=8000,"low",A1393&lt;15000,"medium",A1393&gt;=15000,"high")</f>
        <v>high</v>
      </c>
      <c r="G1393" s="2">
        <v>26</v>
      </c>
      <c r="H1393" t="str" cm="1">
        <f t="array" ref="H1393">_xlfn.IFS(G1393&lt;=15,"Junior",G1393&lt;=30,"Mid level",G1393&gt;30,"Lead")</f>
        <v>Mid level</v>
      </c>
    </row>
    <row r="1394" spans="1:8" x14ac:dyDescent="0.3">
      <c r="A1394" s="8">
        <v>17567</v>
      </c>
      <c r="B1394" t="str" cm="1">
        <f t="array" ref="B1394">_xlfn.IFS(A1394&lt;=8000,"low",A1394&lt;15000,"medium",A1394&gt;=15000,"high")</f>
        <v>high</v>
      </c>
      <c r="G1394" s="1">
        <v>5</v>
      </c>
      <c r="H1394" t="str" cm="1">
        <f t="array" ref="H1394">_xlfn.IFS(G1394&lt;=15,"Junior",G1394&lt;=30,"Mid level",G1394&gt;30,"Lead")</f>
        <v>Junior</v>
      </c>
    </row>
    <row r="1395" spans="1:8" x14ac:dyDescent="0.3">
      <c r="A1395" s="7">
        <v>17584</v>
      </c>
      <c r="B1395" t="str" cm="1">
        <f t="array" ref="B1395">_xlfn.IFS(A1395&lt;=8000,"low",A1395&lt;15000,"medium",A1395&gt;=15000,"high")</f>
        <v>high</v>
      </c>
      <c r="G1395" s="2">
        <v>14</v>
      </c>
      <c r="H1395" t="str" cm="1">
        <f t="array" ref="H1395">_xlfn.IFS(G1395&lt;=15,"Junior",G1395&lt;=30,"Mid level",G1395&gt;30,"Lead")</f>
        <v>Junior</v>
      </c>
    </row>
    <row r="1396" spans="1:8" x14ac:dyDescent="0.3">
      <c r="A1396" s="8">
        <v>17603</v>
      </c>
      <c r="B1396" t="str" cm="1">
        <f t="array" ref="B1396">_xlfn.IFS(A1396&lt;=8000,"low",A1396&lt;15000,"medium",A1396&gt;=15000,"high")</f>
        <v>high</v>
      </c>
      <c r="G1396" s="1">
        <v>4</v>
      </c>
      <c r="H1396" t="str" cm="1">
        <f t="array" ref="H1396">_xlfn.IFS(G1396&lt;=15,"Junior",G1396&lt;=30,"Mid level",G1396&gt;30,"Lead")</f>
        <v>Junior</v>
      </c>
    </row>
    <row r="1397" spans="1:8" x14ac:dyDescent="0.3">
      <c r="A1397" s="7">
        <v>17639</v>
      </c>
      <c r="B1397" t="str" cm="1">
        <f t="array" ref="B1397">_xlfn.IFS(A1397&lt;=8000,"low",A1397&lt;15000,"medium",A1397&gt;=15000,"high")</f>
        <v>high</v>
      </c>
      <c r="G1397" s="2">
        <v>9</v>
      </c>
      <c r="H1397" t="str" cm="1">
        <f t="array" ref="H1397">_xlfn.IFS(G1397&lt;=15,"Junior",G1397&lt;=30,"Mid level",G1397&gt;30,"Lead")</f>
        <v>Junior</v>
      </c>
    </row>
    <row r="1398" spans="1:8" x14ac:dyDescent="0.3">
      <c r="A1398" s="8">
        <v>17650</v>
      </c>
      <c r="B1398" t="str" cm="1">
        <f t="array" ref="B1398">_xlfn.IFS(A1398&lt;=8000,"low",A1398&lt;15000,"medium",A1398&gt;=15000,"high")</f>
        <v>high</v>
      </c>
      <c r="G1398" s="1">
        <v>22</v>
      </c>
      <c r="H1398" t="str" cm="1">
        <f t="array" ref="H1398">_xlfn.IFS(G1398&lt;=15,"Junior",G1398&lt;=30,"Mid level",G1398&gt;30,"Lead")</f>
        <v>Mid level</v>
      </c>
    </row>
    <row r="1399" spans="1:8" x14ac:dyDescent="0.3">
      <c r="A1399" s="7">
        <v>17665</v>
      </c>
      <c r="B1399" t="str" cm="1">
        <f t="array" ref="B1399">_xlfn.IFS(A1399&lt;=8000,"low",A1399&lt;15000,"medium",A1399&gt;=15000,"high")</f>
        <v>high</v>
      </c>
      <c r="G1399" s="2">
        <v>10</v>
      </c>
      <c r="H1399" t="str" cm="1">
        <f t="array" ref="H1399">_xlfn.IFS(G1399&lt;=15,"Junior",G1399&lt;=30,"Mid level",G1399&gt;30,"Lead")</f>
        <v>Junior</v>
      </c>
    </row>
    <row r="1400" spans="1:8" x14ac:dyDescent="0.3">
      <c r="A1400" s="8">
        <v>17779</v>
      </c>
      <c r="B1400" t="str" cm="1">
        <f t="array" ref="B1400">_xlfn.IFS(A1400&lt;=8000,"low",A1400&lt;15000,"medium",A1400&gt;=15000,"high")</f>
        <v>high</v>
      </c>
      <c r="G1400" s="1">
        <v>2</v>
      </c>
      <c r="H1400" t="str" cm="1">
        <f t="array" ref="H1400">_xlfn.IFS(G1400&lt;=15,"Junior",G1400&lt;=30,"Mid level",G1400&gt;30,"Lead")</f>
        <v>Junior</v>
      </c>
    </row>
    <row r="1401" spans="1:8" x14ac:dyDescent="0.3">
      <c r="A1401" s="7">
        <v>17856</v>
      </c>
      <c r="B1401" t="str" cm="1">
        <f t="array" ref="B1401">_xlfn.IFS(A1401&lt;=8000,"low",A1401&lt;15000,"medium",A1401&gt;=15000,"high")</f>
        <v>high</v>
      </c>
      <c r="G1401" s="2">
        <v>3</v>
      </c>
      <c r="H1401" t="str" cm="1">
        <f t="array" ref="H1401">_xlfn.IFS(G1401&lt;=15,"Junior",G1401&lt;=30,"Mid level",G1401&gt;30,"Lead")</f>
        <v>Junior</v>
      </c>
    </row>
    <row r="1402" spans="1:8" x14ac:dyDescent="0.3">
      <c r="A1402" s="8">
        <v>17861</v>
      </c>
      <c r="B1402" t="str" cm="1">
        <f t="array" ref="B1402">_xlfn.IFS(A1402&lt;=8000,"low",A1402&lt;15000,"medium",A1402&gt;=15000,"high")</f>
        <v>high</v>
      </c>
      <c r="G1402" s="1">
        <v>20</v>
      </c>
      <c r="H1402" t="str" cm="1">
        <f t="array" ref="H1402">_xlfn.IFS(G1402&lt;=15,"Junior",G1402&lt;=30,"Mid level",G1402&gt;30,"Lead")</f>
        <v>Mid level</v>
      </c>
    </row>
    <row r="1403" spans="1:8" x14ac:dyDescent="0.3">
      <c r="A1403" s="7">
        <v>17861</v>
      </c>
      <c r="B1403" t="str" cm="1">
        <f t="array" ref="B1403">_xlfn.IFS(A1403&lt;=8000,"low",A1403&lt;15000,"medium",A1403&gt;=15000,"high")</f>
        <v>high</v>
      </c>
      <c r="G1403" s="2">
        <v>1</v>
      </c>
      <c r="H1403" t="str" cm="1">
        <f t="array" ref="H1403">_xlfn.IFS(G1403&lt;=15,"Junior",G1403&lt;=30,"Mid level",G1403&gt;30,"Lead")</f>
        <v>Junior</v>
      </c>
    </row>
    <row r="1404" spans="1:8" x14ac:dyDescent="0.3">
      <c r="A1404" s="8">
        <v>17875</v>
      </c>
      <c r="B1404" t="str" cm="1">
        <f t="array" ref="B1404">_xlfn.IFS(A1404&lt;=8000,"low",A1404&lt;15000,"medium",A1404&gt;=15000,"high")</f>
        <v>high</v>
      </c>
      <c r="G1404" s="1">
        <v>31</v>
      </c>
      <c r="H1404" t="str" cm="1">
        <f t="array" ref="H1404">_xlfn.IFS(G1404&lt;=15,"Junior",G1404&lt;=30,"Mid level",G1404&gt;30,"Lead")</f>
        <v>Lead</v>
      </c>
    </row>
    <row r="1405" spans="1:8" x14ac:dyDescent="0.3">
      <c r="A1405" s="7">
        <v>17924</v>
      </c>
      <c r="B1405" t="str" cm="1">
        <f t="array" ref="B1405">_xlfn.IFS(A1405&lt;=8000,"low",A1405&lt;15000,"medium",A1405&gt;=15000,"high")</f>
        <v>high</v>
      </c>
      <c r="G1405" s="2">
        <v>20</v>
      </c>
      <c r="H1405" t="str" cm="1">
        <f t="array" ref="H1405">_xlfn.IFS(G1405&lt;=15,"Junior",G1405&lt;=30,"Mid level",G1405&gt;30,"Lead")</f>
        <v>Mid level</v>
      </c>
    </row>
    <row r="1406" spans="1:8" x14ac:dyDescent="0.3">
      <c r="A1406" s="8">
        <v>18041</v>
      </c>
      <c r="B1406" t="str" cm="1">
        <f t="array" ref="B1406">_xlfn.IFS(A1406&lt;=8000,"low",A1406&lt;15000,"medium",A1406&gt;=15000,"high")</f>
        <v>high</v>
      </c>
      <c r="G1406" s="1">
        <v>0</v>
      </c>
      <c r="H1406" t="str" cm="1">
        <f t="array" ref="H1406">_xlfn.IFS(G1406&lt;=15,"Junior",G1406&lt;=30,"Mid level",G1406&gt;30,"Lead")</f>
        <v>Junior</v>
      </c>
    </row>
    <row r="1407" spans="1:8" x14ac:dyDescent="0.3">
      <c r="A1407" s="7">
        <v>18061</v>
      </c>
      <c r="B1407" t="str" cm="1">
        <f t="array" ref="B1407">_xlfn.IFS(A1407&lt;=8000,"low",A1407&lt;15000,"medium",A1407&gt;=15000,"high")</f>
        <v>high</v>
      </c>
      <c r="G1407" s="2">
        <v>8</v>
      </c>
      <c r="H1407" t="str" cm="1">
        <f t="array" ref="H1407">_xlfn.IFS(G1407&lt;=15,"Junior",G1407&lt;=30,"Mid level",G1407&gt;30,"Lead")</f>
        <v>Junior</v>
      </c>
    </row>
    <row r="1408" spans="1:8" x14ac:dyDescent="0.3">
      <c r="A1408" s="8">
        <v>18172</v>
      </c>
      <c r="B1408" t="str" cm="1">
        <f t="array" ref="B1408">_xlfn.IFS(A1408&lt;=8000,"low",A1408&lt;15000,"medium",A1408&gt;=15000,"high")</f>
        <v>high</v>
      </c>
      <c r="G1408" s="1">
        <v>32</v>
      </c>
      <c r="H1408" t="str" cm="1">
        <f t="array" ref="H1408">_xlfn.IFS(G1408&lt;=15,"Junior",G1408&lt;=30,"Mid level",G1408&gt;30,"Lead")</f>
        <v>Lead</v>
      </c>
    </row>
    <row r="1409" spans="1:8" x14ac:dyDescent="0.3">
      <c r="A1409" s="7">
        <v>18200</v>
      </c>
      <c r="B1409" t="str" cm="1">
        <f t="array" ref="B1409">_xlfn.IFS(A1409&lt;=8000,"low",A1409&lt;15000,"medium",A1409&gt;=15000,"high")</f>
        <v>high</v>
      </c>
      <c r="G1409" s="2">
        <v>22</v>
      </c>
      <c r="H1409" t="str" cm="1">
        <f t="array" ref="H1409">_xlfn.IFS(G1409&lt;=15,"Junior",G1409&lt;=30,"Mid level",G1409&gt;30,"Lead")</f>
        <v>Mid level</v>
      </c>
    </row>
    <row r="1410" spans="1:8" x14ac:dyDescent="0.3">
      <c r="A1410" s="8">
        <v>18213</v>
      </c>
      <c r="B1410" t="str" cm="1">
        <f t="array" ref="B1410">_xlfn.IFS(A1410&lt;=8000,"low",A1410&lt;15000,"medium",A1410&gt;=15000,"high")</f>
        <v>high</v>
      </c>
      <c r="G1410" s="1">
        <v>1</v>
      </c>
      <c r="H1410" t="str" cm="1">
        <f t="array" ref="H1410">_xlfn.IFS(G1410&lt;=15,"Junior",G1410&lt;=30,"Mid level",G1410&gt;30,"Lead")</f>
        <v>Junior</v>
      </c>
    </row>
    <row r="1411" spans="1:8" x14ac:dyDescent="0.3">
      <c r="A1411" s="7">
        <v>18265</v>
      </c>
      <c r="B1411" t="str" cm="1">
        <f t="array" ref="B1411">_xlfn.IFS(A1411&lt;=8000,"low",A1411&lt;15000,"medium",A1411&gt;=15000,"high")</f>
        <v>high</v>
      </c>
      <c r="G1411" s="2">
        <v>3</v>
      </c>
      <c r="H1411" t="str" cm="1">
        <f t="array" ref="H1411">_xlfn.IFS(G1411&lt;=15,"Junior",G1411&lt;=30,"Mid level",G1411&gt;30,"Lead")</f>
        <v>Junior</v>
      </c>
    </row>
    <row r="1412" spans="1:8" x14ac:dyDescent="0.3">
      <c r="A1412" s="8">
        <v>18300</v>
      </c>
      <c r="B1412" t="str" cm="1">
        <f t="array" ref="B1412">_xlfn.IFS(A1412&lt;=8000,"low",A1412&lt;15000,"medium",A1412&gt;=15000,"high")</f>
        <v>high</v>
      </c>
      <c r="G1412" s="1">
        <v>1</v>
      </c>
      <c r="H1412" t="str" cm="1">
        <f t="array" ref="H1412">_xlfn.IFS(G1412&lt;=15,"Junior",G1412&lt;=30,"Mid level",G1412&gt;30,"Lead")</f>
        <v>Junior</v>
      </c>
    </row>
    <row r="1413" spans="1:8" x14ac:dyDescent="0.3">
      <c r="A1413" s="7">
        <v>18303</v>
      </c>
      <c r="B1413" t="str" cm="1">
        <f t="array" ref="B1413">_xlfn.IFS(A1413&lt;=8000,"low",A1413&lt;15000,"medium",A1413&gt;=15000,"high")</f>
        <v>high</v>
      </c>
      <c r="G1413" s="2">
        <v>24</v>
      </c>
      <c r="H1413" t="str" cm="1">
        <f t="array" ref="H1413">_xlfn.IFS(G1413&lt;=15,"Junior",G1413&lt;=30,"Mid level",G1413&gt;30,"Lead")</f>
        <v>Mid level</v>
      </c>
    </row>
    <row r="1414" spans="1:8" x14ac:dyDescent="0.3">
      <c r="A1414" s="8">
        <v>18430</v>
      </c>
      <c r="B1414" t="str" cm="1">
        <f t="array" ref="B1414">_xlfn.IFS(A1414&lt;=8000,"low",A1414&lt;15000,"medium",A1414&gt;=15000,"high")</f>
        <v>high</v>
      </c>
      <c r="G1414" s="1">
        <v>7</v>
      </c>
      <c r="H1414" t="str" cm="1">
        <f t="array" ref="H1414">_xlfn.IFS(G1414&lt;=15,"Junior",G1414&lt;=30,"Mid level",G1414&gt;30,"Lead")</f>
        <v>Junior</v>
      </c>
    </row>
    <row r="1415" spans="1:8" x14ac:dyDescent="0.3">
      <c r="A1415" s="7">
        <v>18606</v>
      </c>
      <c r="B1415" t="str" cm="1">
        <f t="array" ref="B1415">_xlfn.IFS(A1415&lt;=8000,"low",A1415&lt;15000,"medium",A1415&gt;=15000,"high")</f>
        <v>high</v>
      </c>
      <c r="G1415" s="2">
        <v>3</v>
      </c>
      <c r="H1415" t="str" cm="1">
        <f t="array" ref="H1415">_xlfn.IFS(G1415&lt;=15,"Junior",G1415&lt;=30,"Mid level",G1415&gt;30,"Lead")</f>
        <v>Junior</v>
      </c>
    </row>
    <row r="1416" spans="1:8" x14ac:dyDescent="0.3">
      <c r="A1416" s="8">
        <v>18665</v>
      </c>
      <c r="B1416" t="str" cm="1">
        <f t="array" ref="B1416">_xlfn.IFS(A1416&lt;=8000,"low",A1416&lt;15000,"medium",A1416&gt;=15000,"high")</f>
        <v>high</v>
      </c>
      <c r="G1416" s="1">
        <v>1</v>
      </c>
      <c r="H1416" t="str" cm="1">
        <f t="array" ref="H1416">_xlfn.IFS(G1416&lt;=15,"Junior",G1416&lt;=30,"Mid level",G1416&gt;30,"Lead")</f>
        <v>Junior</v>
      </c>
    </row>
    <row r="1417" spans="1:8" x14ac:dyDescent="0.3">
      <c r="A1417" s="7">
        <v>18711</v>
      </c>
      <c r="B1417" t="str" cm="1">
        <f t="array" ref="B1417">_xlfn.IFS(A1417&lt;=8000,"low",A1417&lt;15000,"medium",A1417&gt;=15000,"high")</f>
        <v>high</v>
      </c>
      <c r="G1417" s="2">
        <v>24</v>
      </c>
      <c r="H1417" t="str" cm="1">
        <f t="array" ref="H1417">_xlfn.IFS(G1417&lt;=15,"Junior",G1417&lt;=30,"Mid level",G1417&gt;30,"Lead")</f>
        <v>Mid level</v>
      </c>
    </row>
    <row r="1418" spans="1:8" x14ac:dyDescent="0.3">
      <c r="A1418" s="8">
        <v>18722</v>
      </c>
      <c r="B1418" t="str" cm="1">
        <f t="array" ref="B1418">_xlfn.IFS(A1418&lt;=8000,"low",A1418&lt;15000,"medium",A1418&gt;=15000,"high")</f>
        <v>high</v>
      </c>
      <c r="G1418" s="1">
        <v>27</v>
      </c>
      <c r="H1418" t="str" cm="1">
        <f t="array" ref="H1418">_xlfn.IFS(G1418&lt;=15,"Junior",G1418&lt;=30,"Mid level",G1418&gt;30,"Lead")</f>
        <v>Mid level</v>
      </c>
    </row>
    <row r="1419" spans="1:8" x14ac:dyDescent="0.3">
      <c r="A1419" s="7">
        <v>18740</v>
      </c>
      <c r="B1419" t="str" cm="1">
        <f t="array" ref="B1419">_xlfn.IFS(A1419&lt;=8000,"low",A1419&lt;15000,"medium",A1419&gt;=15000,"high")</f>
        <v>high</v>
      </c>
      <c r="G1419" s="2">
        <v>11</v>
      </c>
      <c r="H1419" t="str" cm="1">
        <f t="array" ref="H1419">_xlfn.IFS(G1419&lt;=15,"Junior",G1419&lt;=30,"Mid level",G1419&gt;30,"Lead")</f>
        <v>Junior</v>
      </c>
    </row>
    <row r="1420" spans="1:8" x14ac:dyDescent="0.3">
      <c r="A1420" s="8">
        <v>18789</v>
      </c>
      <c r="B1420" t="str" cm="1">
        <f t="array" ref="B1420">_xlfn.IFS(A1420&lt;=8000,"low",A1420&lt;15000,"medium",A1420&gt;=15000,"high")</f>
        <v>high</v>
      </c>
      <c r="G1420" s="1">
        <v>24</v>
      </c>
      <c r="H1420" t="str" cm="1">
        <f t="array" ref="H1420">_xlfn.IFS(G1420&lt;=15,"Junior",G1420&lt;=30,"Mid level",G1420&gt;30,"Lead")</f>
        <v>Mid level</v>
      </c>
    </row>
    <row r="1421" spans="1:8" x14ac:dyDescent="0.3">
      <c r="A1421" s="7">
        <v>18824</v>
      </c>
      <c r="B1421" t="str" cm="1">
        <f t="array" ref="B1421">_xlfn.IFS(A1421&lt;=8000,"low",A1421&lt;15000,"medium",A1421&gt;=15000,"high")</f>
        <v>high</v>
      </c>
      <c r="G1421" s="2">
        <v>3</v>
      </c>
      <c r="H1421" t="str" cm="1">
        <f t="array" ref="H1421">_xlfn.IFS(G1421&lt;=15,"Junior",G1421&lt;=30,"Mid level",G1421&gt;30,"Lead")</f>
        <v>Junior</v>
      </c>
    </row>
    <row r="1422" spans="1:8" x14ac:dyDescent="0.3">
      <c r="A1422" s="8">
        <v>18844</v>
      </c>
      <c r="B1422" t="str" cm="1">
        <f t="array" ref="B1422">_xlfn.IFS(A1422&lt;=8000,"low",A1422&lt;15000,"medium",A1422&gt;=15000,"high")</f>
        <v>high</v>
      </c>
      <c r="G1422" s="1">
        <v>22</v>
      </c>
      <c r="H1422" t="str" cm="1">
        <f t="array" ref="H1422">_xlfn.IFS(G1422&lt;=15,"Junior",G1422&lt;=30,"Mid level",G1422&gt;30,"Lead")</f>
        <v>Mid level</v>
      </c>
    </row>
    <row r="1423" spans="1:8" x14ac:dyDescent="0.3">
      <c r="A1423" s="7">
        <v>18880</v>
      </c>
      <c r="B1423" t="str" cm="1">
        <f t="array" ref="B1423">_xlfn.IFS(A1423&lt;=8000,"low",A1423&lt;15000,"medium",A1423&gt;=15000,"high")</f>
        <v>high</v>
      </c>
      <c r="G1423" s="2">
        <v>2</v>
      </c>
      <c r="H1423" t="str" cm="1">
        <f t="array" ref="H1423">_xlfn.IFS(G1423&lt;=15,"Junior",G1423&lt;=30,"Mid level",G1423&gt;30,"Lead")</f>
        <v>Junior</v>
      </c>
    </row>
    <row r="1424" spans="1:8" x14ac:dyDescent="0.3">
      <c r="A1424" s="8">
        <v>18947</v>
      </c>
      <c r="B1424" t="str" cm="1">
        <f t="array" ref="B1424">_xlfn.IFS(A1424&lt;=8000,"low",A1424&lt;15000,"medium",A1424&gt;=15000,"high")</f>
        <v>high</v>
      </c>
      <c r="G1424" s="1">
        <v>20</v>
      </c>
      <c r="H1424" t="str" cm="1">
        <f t="array" ref="H1424">_xlfn.IFS(G1424&lt;=15,"Junior",G1424&lt;=30,"Mid level",G1424&gt;30,"Lead")</f>
        <v>Mid level</v>
      </c>
    </row>
    <row r="1425" spans="1:8" x14ac:dyDescent="0.3">
      <c r="A1425" s="7">
        <v>19033</v>
      </c>
      <c r="B1425" t="str" cm="1">
        <f t="array" ref="B1425">_xlfn.IFS(A1425&lt;=8000,"low",A1425&lt;15000,"medium",A1425&gt;=15000,"high")</f>
        <v>high</v>
      </c>
      <c r="G1425" s="2">
        <v>1</v>
      </c>
      <c r="H1425" t="str" cm="1">
        <f t="array" ref="H1425">_xlfn.IFS(G1425&lt;=15,"Junior",G1425&lt;=30,"Mid level",G1425&gt;30,"Lead")</f>
        <v>Junior</v>
      </c>
    </row>
    <row r="1426" spans="1:8" x14ac:dyDescent="0.3">
      <c r="A1426" s="8">
        <v>19038</v>
      </c>
      <c r="B1426" t="str" cm="1">
        <f t="array" ref="B1426">_xlfn.IFS(A1426&lt;=8000,"low",A1426&lt;15000,"medium",A1426&gt;=15000,"high")</f>
        <v>high</v>
      </c>
      <c r="G1426" s="1">
        <v>36</v>
      </c>
      <c r="H1426" t="str" cm="1">
        <f t="array" ref="H1426">_xlfn.IFS(G1426&lt;=15,"Junior",G1426&lt;=30,"Mid level",G1426&gt;30,"Lead")</f>
        <v>Lead</v>
      </c>
    </row>
    <row r="1427" spans="1:8" x14ac:dyDescent="0.3">
      <c r="A1427" s="7">
        <v>19045</v>
      </c>
      <c r="B1427" t="str" cm="1">
        <f t="array" ref="B1427">_xlfn.IFS(A1427&lt;=8000,"low",A1427&lt;15000,"medium",A1427&gt;=15000,"high")</f>
        <v>high</v>
      </c>
      <c r="G1427" s="2">
        <v>22</v>
      </c>
      <c r="H1427" t="str" cm="1">
        <f t="array" ref="H1427">_xlfn.IFS(G1427&lt;=15,"Junior",G1427&lt;=30,"Mid level",G1427&gt;30,"Lead")</f>
        <v>Mid level</v>
      </c>
    </row>
    <row r="1428" spans="1:8" x14ac:dyDescent="0.3">
      <c r="A1428" s="8">
        <v>19049</v>
      </c>
      <c r="B1428" t="str" cm="1">
        <f t="array" ref="B1428">_xlfn.IFS(A1428&lt;=8000,"low",A1428&lt;15000,"medium",A1428&gt;=15000,"high")</f>
        <v>high</v>
      </c>
      <c r="G1428" s="1">
        <v>33</v>
      </c>
      <c r="H1428" t="str" cm="1">
        <f t="array" ref="H1428">_xlfn.IFS(G1428&lt;=15,"Junior",G1428&lt;=30,"Mid level",G1428&gt;30,"Lead")</f>
        <v>Lead</v>
      </c>
    </row>
    <row r="1429" spans="1:8" x14ac:dyDescent="0.3">
      <c r="A1429" s="7">
        <v>19068</v>
      </c>
      <c r="B1429" t="str" cm="1">
        <f t="array" ref="B1429">_xlfn.IFS(A1429&lt;=8000,"low",A1429&lt;15000,"medium",A1429&gt;=15000,"high")</f>
        <v>high</v>
      </c>
      <c r="G1429" s="2">
        <v>4</v>
      </c>
      <c r="H1429" t="str" cm="1">
        <f t="array" ref="H1429">_xlfn.IFS(G1429&lt;=15,"Junior",G1429&lt;=30,"Mid level",G1429&gt;30,"Lead")</f>
        <v>Junior</v>
      </c>
    </row>
    <row r="1430" spans="1:8" x14ac:dyDescent="0.3">
      <c r="A1430" s="8">
        <v>19081</v>
      </c>
      <c r="B1430" t="str" cm="1">
        <f t="array" ref="B1430">_xlfn.IFS(A1430&lt;=8000,"low",A1430&lt;15000,"medium",A1430&gt;=15000,"high")</f>
        <v>high</v>
      </c>
      <c r="G1430" s="1">
        <v>14</v>
      </c>
      <c r="H1430" t="str" cm="1">
        <f t="array" ref="H1430">_xlfn.IFS(G1430&lt;=15,"Junior",G1430&lt;=30,"Mid level",G1430&gt;30,"Lead")</f>
        <v>Junior</v>
      </c>
    </row>
    <row r="1431" spans="1:8" x14ac:dyDescent="0.3">
      <c r="A1431" s="7">
        <v>19094</v>
      </c>
      <c r="B1431" t="str" cm="1">
        <f t="array" ref="B1431">_xlfn.IFS(A1431&lt;=8000,"low",A1431&lt;15000,"medium",A1431&gt;=15000,"high")</f>
        <v>high</v>
      </c>
      <c r="G1431" s="2">
        <v>21</v>
      </c>
      <c r="H1431" t="str" cm="1">
        <f t="array" ref="H1431">_xlfn.IFS(G1431&lt;=15,"Junior",G1431&lt;=30,"Mid level",G1431&gt;30,"Lead")</f>
        <v>Mid level</v>
      </c>
    </row>
    <row r="1432" spans="1:8" x14ac:dyDescent="0.3">
      <c r="A1432" s="8">
        <v>19141</v>
      </c>
      <c r="B1432" t="str" cm="1">
        <f t="array" ref="B1432">_xlfn.IFS(A1432&lt;=8000,"low",A1432&lt;15000,"medium",A1432&gt;=15000,"high")</f>
        <v>high</v>
      </c>
      <c r="G1432" s="1">
        <v>10</v>
      </c>
      <c r="H1432" t="str" cm="1">
        <f t="array" ref="H1432">_xlfn.IFS(G1432&lt;=15,"Junior",G1432&lt;=30,"Mid level",G1432&gt;30,"Lead")</f>
        <v>Junior</v>
      </c>
    </row>
    <row r="1433" spans="1:8" x14ac:dyDescent="0.3">
      <c r="A1433" s="7">
        <v>19144</v>
      </c>
      <c r="B1433" t="str" cm="1">
        <f t="array" ref="B1433">_xlfn.IFS(A1433&lt;=8000,"low",A1433&lt;15000,"medium",A1433&gt;=15000,"high")</f>
        <v>high</v>
      </c>
      <c r="G1433" s="2">
        <v>5</v>
      </c>
      <c r="H1433" t="str" cm="1">
        <f t="array" ref="H1433">_xlfn.IFS(G1433&lt;=15,"Junior",G1433&lt;=30,"Mid level",G1433&gt;30,"Lead")</f>
        <v>Junior</v>
      </c>
    </row>
    <row r="1434" spans="1:8" x14ac:dyDescent="0.3">
      <c r="A1434" s="8">
        <v>19161</v>
      </c>
      <c r="B1434" t="str" cm="1">
        <f t="array" ref="B1434">_xlfn.IFS(A1434&lt;=8000,"low",A1434&lt;15000,"medium",A1434&gt;=15000,"high")</f>
        <v>high</v>
      </c>
      <c r="G1434" s="1">
        <v>19</v>
      </c>
      <c r="H1434" t="str" cm="1">
        <f t="array" ref="H1434">_xlfn.IFS(G1434&lt;=15,"Junior",G1434&lt;=30,"Mid level",G1434&gt;30,"Lead")</f>
        <v>Mid level</v>
      </c>
    </row>
    <row r="1435" spans="1:8" x14ac:dyDescent="0.3">
      <c r="A1435" s="7">
        <v>19187</v>
      </c>
      <c r="B1435" t="str" cm="1">
        <f t="array" ref="B1435">_xlfn.IFS(A1435&lt;=8000,"low",A1435&lt;15000,"medium",A1435&gt;=15000,"high")</f>
        <v>high</v>
      </c>
      <c r="G1435" s="2">
        <v>22</v>
      </c>
      <c r="H1435" t="str" cm="1">
        <f t="array" ref="H1435">_xlfn.IFS(G1435&lt;=15,"Junior",G1435&lt;=30,"Mid level",G1435&gt;30,"Lead")</f>
        <v>Mid level</v>
      </c>
    </row>
    <row r="1436" spans="1:8" x14ac:dyDescent="0.3">
      <c r="A1436" s="8">
        <v>19189</v>
      </c>
      <c r="B1436" t="str" cm="1">
        <f t="array" ref="B1436">_xlfn.IFS(A1436&lt;=8000,"low",A1436&lt;15000,"medium",A1436&gt;=15000,"high")</f>
        <v>high</v>
      </c>
      <c r="G1436" s="1">
        <v>25</v>
      </c>
      <c r="H1436" t="str" cm="1">
        <f t="array" ref="H1436">_xlfn.IFS(G1436&lt;=15,"Junior",G1436&lt;=30,"Mid level",G1436&gt;30,"Lead")</f>
        <v>Mid level</v>
      </c>
    </row>
    <row r="1437" spans="1:8" x14ac:dyDescent="0.3">
      <c r="A1437" s="7">
        <v>19190</v>
      </c>
      <c r="B1437" t="str" cm="1">
        <f t="array" ref="B1437">_xlfn.IFS(A1437&lt;=8000,"low",A1437&lt;15000,"medium",A1437&gt;=15000,"high")</f>
        <v>high</v>
      </c>
      <c r="G1437" s="2">
        <v>21</v>
      </c>
      <c r="H1437" t="str" cm="1">
        <f t="array" ref="H1437">_xlfn.IFS(G1437&lt;=15,"Junior",G1437&lt;=30,"Mid level",G1437&gt;30,"Lead")</f>
        <v>Mid level</v>
      </c>
    </row>
    <row r="1438" spans="1:8" x14ac:dyDescent="0.3">
      <c r="A1438" s="8">
        <v>19197</v>
      </c>
      <c r="B1438" t="str" cm="1">
        <f t="array" ref="B1438">_xlfn.IFS(A1438&lt;=8000,"low",A1438&lt;15000,"medium",A1438&gt;=15000,"high")</f>
        <v>high</v>
      </c>
      <c r="G1438" s="1">
        <v>24</v>
      </c>
      <c r="H1438" t="str" cm="1">
        <f t="array" ref="H1438">_xlfn.IFS(G1438&lt;=15,"Junior",G1438&lt;=30,"Mid level",G1438&gt;30,"Lead")</f>
        <v>Mid level</v>
      </c>
    </row>
    <row r="1439" spans="1:8" x14ac:dyDescent="0.3">
      <c r="A1439" s="7">
        <v>19202</v>
      </c>
      <c r="B1439" t="str" cm="1">
        <f t="array" ref="B1439">_xlfn.IFS(A1439&lt;=8000,"low",A1439&lt;15000,"medium",A1439&gt;=15000,"high")</f>
        <v>high</v>
      </c>
      <c r="G1439" s="2">
        <v>22</v>
      </c>
      <c r="H1439" t="str" cm="1">
        <f t="array" ref="H1439">_xlfn.IFS(G1439&lt;=15,"Junior",G1439&lt;=30,"Mid level",G1439&gt;30,"Lead")</f>
        <v>Mid level</v>
      </c>
    </row>
    <row r="1440" spans="1:8" x14ac:dyDescent="0.3">
      <c r="A1440" s="8">
        <v>19232</v>
      </c>
      <c r="B1440" t="str" cm="1">
        <f t="array" ref="B1440">_xlfn.IFS(A1440&lt;=8000,"low",A1440&lt;15000,"medium",A1440&gt;=15000,"high")</f>
        <v>high</v>
      </c>
      <c r="G1440" s="1">
        <v>8</v>
      </c>
      <c r="H1440" t="str" cm="1">
        <f t="array" ref="H1440">_xlfn.IFS(G1440&lt;=15,"Junior",G1440&lt;=30,"Mid level",G1440&gt;30,"Lead")</f>
        <v>Junior</v>
      </c>
    </row>
    <row r="1441" spans="1:8" x14ac:dyDescent="0.3">
      <c r="A1441" s="7">
        <v>19237</v>
      </c>
      <c r="B1441" t="str" cm="1">
        <f t="array" ref="B1441">_xlfn.IFS(A1441&lt;=8000,"low",A1441&lt;15000,"medium",A1441&gt;=15000,"high")</f>
        <v>high</v>
      </c>
      <c r="G1441" s="2">
        <v>31</v>
      </c>
      <c r="H1441" t="str" cm="1">
        <f t="array" ref="H1441">_xlfn.IFS(G1441&lt;=15,"Junior",G1441&lt;=30,"Mid level",G1441&gt;30,"Lead")</f>
        <v>Lead</v>
      </c>
    </row>
    <row r="1442" spans="1:8" x14ac:dyDescent="0.3">
      <c r="A1442" s="8">
        <v>19246</v>
      </c>
      <c r="B1442" t="str" cm="1">
        <f t="array" ref="B1442">_xlfn.IFS(A1442&lt;=8000,"low",A1442&lt;15000,"medium",A1442&gt;=15000,"high")</f>
        <v>high</v>
      </c>
      <c r="G1442" s="1">
        <v>21</v>
      </c>
      <c r="H1442" t="str" cm="1">
        <f t="array" ref="H1442">_xlfn.IFS(G1442&lt;=15,"Junior",G1442&lt;=30,"Mid level",G1442&gt;30,"Lead")</f>
        <v>Mid level</v>
      </c>
    </row>
    <row r="1443" spans="1:8" x14ac:dyDescent="0.3">
      <c r="A1443" s="7">
        <v>19272</v>
      </c>
      <c r="B1443" t="str" cm="1">
        <f t="array" ref="B1443">_xlfn.IFS(A1443&lt;=8000,"low",A1443&lt;15000,"medium",A1443&gt;=15000,"high")</f>
        <v>high</v>
      </c>
      <c r="G1443" s="2">
        <v>2</v>
      </c>
      <c r="H1443" t="str" cm="1">
        <f t="array" ref="H1443">_xlfn.IFS(G1443&lt;=15,"Junior",G1443&lt;=30,"Mid level",G1443&gt;30,"Lead")</f>
        <v>Junior</v>
      </c>
    </row>
    <row r="1444" spans="1:8" x14ac:dyDescent="0.3">
      <c r="A1444" s="8">
        <v>19328</v>
      </c>
      <c r="B1444" t="str" cm="1">
        <f t="array" ref="B1444">_xlfn.IFS(A1444&lt;=8000,"low",A1444&lt;15000,"medium",A1444&gt;=15000,"high")</f>
        <v>high</v>
      </c>
      <c r="G1444" s="1">
        <v>1</v>
      </c>
      <c r="H1444" t="str" cm="1">
        <f t="array" ref="H1444">_xlfn.IFS(G1444&lt;=15,"Junior",G1444&lt;=30,"Mid level",G1444&gt;30,"Lead")</f>
        <v>Junior</v>
      </c>
    </row>
    <row r="1445" spans="1:8" x14ac:dyDescent="0.3">
      <c r="A1445" s="7">
        <v>19331</v>
      </c>
      <c r="B1445" t="str" cm="1">
        <f t="array" ref="B1445">_xlfn.IFS(A1445&lt;=8000,"low",A1445&lt;15000,"medium",A1445&gt;=15000,"high")</f>
        <v>high</v>
      </c>
      <c r="G1445" s="2">
        <v>16</v>
      </c>
      <c r="H1445" t="str" cm="1">
        <f t="array" ref="H1445">_xlfn.IFS(G1445&lt;=15,"Junior",G1445&lt;=30,"Mid level",G1445&gt;30,"Lead")</f>
        <v>Mid level</v>
      </c>
    </row>
    <row r="1446" spans="1:8" x14ac:dyDescent="0.3">
      <c r="A1446" s="8">
        <v>19392</v>
      </c>
      <c r="B1446" t="str" cm="1">
        <f t="array" ref="B1446">_xlfn.IFS(A1446&lt;=8000,"low",A1446&lt;15000,"medium",A1446&gt;=15000,"high")</f>
        <v>high</v>
      </c>
      <c r="G1446" s="1">
        <v>4</v>
      </c>
      <c r="H1446" t="str" cm="1">
        <f t="array" ref="H1446">_xlfn.IFS(G1446&lt;=15,"Junior",G1446&lt;=30,"Mid level",G1446&gt;30,"Lead")</f>
        <v>Junior</v>
      </c>
    </row>
    <row r="1447" spans="1:8" x14ac:dyDescent="0.3">
      <c r="A1447" s="7">
        <v>19406</v>
      </c>
      <c r="B1447" t="str" cm="1">
        <f t="array" ref="B1447">_xlfn.IFS(A1447&lt;=8000,"low",A1447&lt;15000,"medium",A1447&gt;=15000,"high")</f>
        <v>high</v>
      </c>
      <c r="G1447" s="2">
        <v>18</v>
      </c>
      <c r="H1447" t="str" cm="1">
        <f t="array" ref="H1447">_xlfn.IFS(G1447&lt;=15,"Junior",G1447&lt;=30,"Mid level",G1447&gt;30,"Lead")</f>
        <v>Mid level</v>
      </c>
    </row>
    <row r="1448" spans="1:8" x14ac:dyDescent="0.3">
      <c r="A1448" s="8">
        <v>19419</v>
      </c>
      <c r="B1448" t="str" cm="1">
        <f t="array" ref="B1448">_xlfn.IFS(A1448&lt;=8000,"low",A1448&lt;15000,"medium",A1448&gt;=15000,"high")</f>
        <v>high</v>
      </c>
      <c r="G1448" s="1">
        <v>6</v>
      </c>
      <c r="H1448" t="str" cm="1">
        <f t="array" ref="H1448">_xlfn.IFS(G1448&lt;=15,"Junior",G1448&lt;=30,"Mid level",G1448&gt;30,"Lead")</f>
        <v>Junior</v>
      </c>
    </row>
    <row r="1449" spans="1:8" x14ac:dyDescent="0.3">
      <c r="A1449" s="7">
        <v>19431</v>
      </c>
      <c r="B1449" t="str" cm="1">
        <f t="array" ref="B1449">_xlfn.IFS(A1449&lt;=8000,"low",A1449&lt;15000,"medium",A1449&gt;=15000,"high")</f>
        <v>high</v>
      </c>
      <c r="G1449" s="2">
        <v>21</v>
      </c>
      <c r="H1449" t="str" cm="1">
        <f t="array" ref="H1449">_xlfn.IFS(G1449&lt;=15,"Junior",G1449&lt;=30,"Mid level",G1449&gt;30,"Lead")</f>
        <v>Mid level</v>
      </c>
    </row>
    <row r="1450" spans="1:8" x14ac:dyDescent="0.3">
      <c r="A1450" s="8">
        <v>19436</v>
      </c>
      <c r="B1450" t="str" cm="1">
        <f t="array" ref="B1450">_xlfn.IFS(A1450&lt;=8000,"low",A1450&lt;15000,"medium",A1450&gt;=15000,"high")</f>
        <v>high</v>
      </c>
      <c r="G1450" s="1">
        <v>31</v>
      </c>
      <c r="H1450" t="str" cm="1">
        <f t="array" ref="H1450">_xlfn.IFS(G1450&lt;=15,"Junior",G1450&lt;=30,"Mid level",G1450&gt;30,"Lead")</f>
        <v>Lead</v>
      </c>
    </row>
    <row r="1451" spans="1:8" x14ac:dyDescent="0.3">
      <c r="A1451" s="7">
        <v>19502</v>
      </c>
      <c r="B1451" t="str" cm="1">
        <f t="array" ref="B1451">_xlfn.IFS(A1451&lt;=8000,"low",A1451&lt;15000,"medium",A1451&gt;=15000,"high")</f>
        <v>high</v>
      </c>
      <c r="G1451" s="2">
        <v>2</v>
      </c>
      <c r="H1451" t="str" cm="1">
        <f t="array" ref="H1451">_xlfn.IFS(G1451&lt;=15,"Junior",G1451&lt;=30,"Mid level",G1451&gt;30,"Lead")</f>
        <v>Junior</v>
      </c>
    </row>
    <row r="1452" spans="1:8" x14ac:dyDescent="0.3">
      <c r="A1452" s="8">
        <v>19513</v>
      </c>
      <c r="B1452" t="str" cm="1">
        <f t="array" ref="B1452">_xlfn.IFS(A1452&lt;=8000,"low",A1452&lt;15000,"medium",A1452&gt;=15000,"high")</f>
        <v>high</v>
      </c>
      <c r="G1452" s="1">
        <v>7</v>
      </c>
      <c r="H1452" t="str" cm="1">
        <f t="array" ref="H1452">_xlfn.IFS(G1452&lt;=15,"Junior",G1452&lt;=30,"Mid level",G1452&gt;30,"Lead")</f>
        <v>Junior</v>
      </c>
    </row>
    <row r="1453" spans="1:8" x14ac:dyDescent="0.3">
      <c r="A1453" s="7">
        <v>19517</v>
      </c>
      <c r="B1453" t="str" cm="1">
        <f t="array" ref="B1453">_xlfn.IFS(A1453&lt;=8000,"low",A1453&lt;15000,"medium",A1453&gt;=15000,"high")</f>
        <v>high</v>
      </c>
      <c r="G1453" s="2">
        <v>20</v>
      </c>
      <c r="H1453" t="str" cm="1">
        <f t="array" ref="H1453">_xlfn.IFS(G1453&lt;=15,"Junior",G1453&lt;=30,"Mid level",G1453&gt;30,"Lead")</f>
        <v>Mid level</v>
      </c>
    </row>
    <row r="1454" spans="1:8" x14ac:dyDescent="0.3">
      <c r="A1454" s="8">
        <v>19537</v>
      </c>
      <c r="B1454" t="str" cm="1">
        <f t="array" ref="B1454">_xlfn.IFS(A1454&lt;=8000,"low",A1454&lt;15000,"medium",A1454&gt;=15000,"high")</f>
        <v>high</v>
      </c>
      <c r="G1454" s="1">
        <v>22</v>
      </c>
      <c r="H1454" t="str" cm="1">
        <f t="array" ref="H1454">_xlfn.IFS(G1454&lt;=15,"Junior",G1454&lt;=30,"Mid level",G1454&gt;30,"Lead")</f>
        <v>Mid level</v>
      </c>
    </row>
    <row r="1455" spans="1:8" x14ac:dyDescent="0.3">
      <c r="A1455" s="7">
        <v>19545</v>
      </c>
      <c r="B1455" t="str" cm="1">
        <f t="array" ref="B1455">_xlfn.IFS(A1455&lt;=8000,"low",A1455&lt;15000,"medium",A1455&gt;=15000,"high")</f>
        <v>high</v>
      </c>
      <c r="G1455" s="2">
        <v>29</v>
      </c>
      <c r="H1455" t="str" cm="1">
        <f t="array" ref="H1455">_xlfn.IFS(G1455&lt;=15,"Junior",G1455&lt;=30,"Mid level",G1455&gt;30,"Lead")</f>
        <v>Mid level</v>
      </c>
    </row>
    <row r="1456" spans="1:8" x14ac:dyDescent="0.3">
      <c r="A1456" s="8">
        <v>19566</v>
      </c>
      <c r="B1456" t="str" cm="1">
        <f t="array" ref="B1456">_xlfn.IFS(A1456&lt;=8000,"low",A1456&lt;15000,"medium",A1456&gt;=15000,"high")</f>
        <v>high</v>
      </c>
      <c r="G1456" s="1">
        <v>36</v>
      </c>
      <c r="H1456" t="str" cm="1">
        <f t="array" ref="H1456">_xlfn.IFS(G1456&lt;=15,"Junior",G1456&lt;=30,"Mid level",G1456&gt;30,"Lead")</f>
        <v>Lead</v>
      </c>
    </row>
    <row r="1457" spans="1:8" x14ac:dyDescent="0.3">
      <c r="A1457" s="7">
        <v>19586</v>
      </c>
      <c r="B1457" t="str" cm="1">
        <f t="array" ref="B1457">_xlfn.IFS(A1457&lt;=8000,"low",A1457&lt;15000,"medium",A1457&gt;=15000,"high")</f>
        <v>high</v>
      </c>
      <c r="G1457" s="2">
        <v>1</v>
      </c>
      <c r="H1457" t="str" cm="1">
        <f t="array" ref="H1457">_xlfn.IFS(G1457&lt;=15,"Junior",G1457&lt;=30,"Mid level",G1457&gt;30,"Lead")</f>
        <v>Junior</v>
      </c>
    </row>
    <row r="1458" spans="1:8" x14ac:dyDescent="0.3">
      <c r="A1458" s="8">
        <v>19613</v>
      </c>
      <c r="B1458" t="str" cm="1">
        <f t="array" ref="B1458">_xlfn.IFS(A1458&lt;=8000,"low",A1458&lt;15000,"medium",A1458&gt;=15000,"high")</f>
        <v>high</v>
      </c>
      <c r="G1458" s="1">
        <v>20</v>
      </c>
      <c r="H1458" t="str" cm="1">
        <f t="array" ref="H1458">_xlfn.IFS(G1458&lt;=15,"Junior",G1458&lt;=30,"Mid level",G1458&gt;30,"Lead")</f>
        <v>Mid level</v>
      </c>
    </row>
    <row r="1459" spans="1:8" x14ac:dyDescent="0.3">
      <c r="A1459" s="7">
        <v>19626</v>
      </c>
      <c r="B1459" t="str" cm="1">
        <f t="array" ref="B1459">_xlfn.IFS(A1459&lt;=8000,"low",A1459&lt;15000,"medium",A1459&gt;=15000,"high")</f>
        <v>high</v>
      </c>
      <c r="G1459" s="2">
        <v>2</v>
      </c>
      <c r="H1459" t="str" cm="1">
        <f t="array" ref="H1459">_xlfn.IFS(G1459&lt;=15,"Junior",G1459&lt;=30,"Mid level",G1459&gt;30,"Lead")</f>
        <v>Junior</v>
      </c>
    </row>
    <row r="1460" spans="1:8" x14ac:dyDescent="0.3">
      <c r="A1460" s="8">
        <v>19627</v>
      </c>
      <c r="B1460" t="str" cm="1">
        <f t="array" ref="B1460">_xlfn.IFS(A1460&lt;=8000,"low",A1460&lt;15000,"medium",A1460&gt;=15000,"high")</f>
        <v>high</v>
      </c>
      <c r="G1460" s="1">
        <v>10</v>
      </c>
      <c r="H1460" t="str" cm="1">
        <f t="array" ref="H1460">_xlfn.IFS(G1460&lt;=15,"Junior",G1460&lt;=30,"Mid level",G1460&gt;30,"Lead")</f>
        <v>Junior</v>
      </c>
    </row>
    <row r="1461" spans="1:8" x14ac:dyDescent="0.3">
      <c r="A1461" s="7">
        <v>19636</v>
      </c>
      <c r="B1461" t="str" cm="1">
        <f t="array" ref="B1461">_xlfn.IFS(A1461&lt;=8000,"low",A1461&lt;15000,"medium",A1461&gt;=15000,"high")</f>
        <v>high</v>
      </c>
      <c r="G1461" s="2">
        <v>5</v>
      </c>
      <c r="H1461" t="str" cm="1">
        <f t="array" ref="H1461">_xlfn.IFS(G1461&lt;=15,"Junior",G1461&lt;=30,"Mid level",G1461&gt;30,"Lead")</f>
        <v>Junior</v>
      </c>
    </row>
    <row r="1462" spans="1:8" x14ac:dyDescent="0.3">
      <c r="A1462" s="8">
        <v>19658</v>
      </c>
      <c r="B1462" t="str" cm="1">
        <f t="array" ref="B1462">_xlfn.IFS(A1462&lt;=8000,"low",A1462&lt;15000,"medium",A1462&gt;=15000,"high")</f>
        <v>high</v>
      </c>
      <c r="G1462" s="1">
        <v>22</v>
      </c>
      <c r="H1462" t="str" cm="1">
        <f t="array" ref="H1462">_xlfn.IFS(G1462&lt;=15,"Junior",G1462&lt;=30,"Mid level",G1462&gt;30,"Lead")</f>
        <v>Mid level</v>
      </c>
    </row>
    <row r="1463" spans="1:8" x14ac:dyDescent="0.3">
      <c r="A1463" s="7">
        <v>19665</v>
      </c>
      <c r="B1463" t="str" cm="1">
        <f t="array" ref="B1463">_xlfn.IFS(A1463&lt;=8000,"low",A1463&lt;15000,"medium",A1463&gt;=15000,"high")</f>
        <v>high</v>
      </c>
      <c r="G1463" s="2">
        <v>9</v>
      </c>
      <c r="H1463" t="str" cm="1">
        <f t="array" ref="H1463">_xlfn.IFS(G1463&lt;=15,"Junior",G1463&lt;=30,"Mid level",G1463&gt;30,"Lead")</f>
        <v>Junior</v>
      </c>
    </row>
    <row r="1464" spans="1:8" x14ac:dyDescent="0.3">
      <c r="A1464" s="8">
        <v>19701</v>
      </c>
      <c r="B1464" t="str" cm="1">
        <f t="array" ref="B1464">_xlfn.IFS(A1464&lt;=8000,"low",A1464&lt;15000,"medium",A1464&gt;=15000,"high")</f>
        <v>high</v>
      </c>
      <c r="G1464" s="1">
        <v>7</v>
      </c>
      <c r="H1464" t="str" cm="1">
        <f t="array" ref="H1464">_xlfn.IFS(G1464&lt;=15,"Junior",G1464&lt;=30,"Mid level",G1464&gt;30,"Lead")</f>
        <v>Junior</v>
      </c>
    </row>
    <row r="1465" spans="1:8" x14ac:dyDescent="0.3">
      <c r="A1465" s="7">
        <v>19717</v>
      </c>
      <c r="B1465" t="str" cm="1">
        <f t="array" ref="B1465">_xlfn.IFS(A1465&lt;=8000,"low",A1465&lt;15000,"medium",A1465&gt;=15000,"high")</f>
        <v>high</v>
      </c>
      <c r="G1465" s="2">
        <v>8</v>
      </c>
      <c r="H1465" t="str" cm="1">
        <f t="array" ref="H1465">_xlfn.IFS(G1465&lt;=15,"Junior",G1465&lt;=30,"Mid level",G1465&gt;30,"Lead")</f>
        <v>Junior</v>
      </c>
    </row>
    <row r="1466" spans="1:8" x14ac:dyDescent="0.3">
      <c r="A1466" s="8">
        <v>19740</v>
      </c>
      <c r="B1466" t="str" cm="1">
        <f t="array" ref="B1466">_xlfn.IFS(A1466&lt;=8000,"low",A1466&lt;15000,"medium",A1466&gt;=15000,"high")</f>
        <v>high</v>
      </c>
      <c r="G1466" s="1">
        <v>21</v>
      </c>
      <c r="H1466" t="str" cm="1">
        <f t="array" ref="H1466">_xlfn.IFS(G1466&lt;=15,"Junior",G1466&lt;=30,"Mid level",G1466&gt;30,"Lead")</f>
        <v>Mid level</v>
      </c>
    </row>
    <row r="1467" spans="1:8" x14ac:dyDescent="0.3">
      <c r="A1467" s="7">
        <v>19833</v>
      </c>
      <c r="B1467" t="str" cm="1">
        <f t="array" ref="B1467">_xlfn.IFS(A1467&lt;=8000,"low",A1467&lt;15000,"medium",A1467&gt;=15000,"high")</f>
        <v>high</v>
      </c>
      <c r="G1467" s="2">
        <v>32</v>
      </c>
      <c r="H1467" t="str" cm="1">
        <f t="array" ref="H1467">_xlfn.IFS(G1467&lt;=15,"Junior",G1467&lt;=30,"Mid level",G1467&gt;30,"Lead")</f>
        <v>Lead</v>
      </c>
    </row>
    <row r="1468" spans="1:8" x14ac:dyDescent="0.3">
      <c r="A1468" s="8">
        <v>19845</v>
      </c>
      <c r="B1468" t="str" cm="1">
        <f t="array" ref="B1468">_xlfn.IFS(A1468&lt;=8000,"low",A1468&lt;15000,"medium",A1468&gt;=15000,"high")</f>
        <v>high</v>
      </c>
      <c r="G1468" s="1">
        <v>29</v>
      </c>
      <c r="H1468" t="str" cm="1">
        <f t="array" ref="H1468">_xlfn.IFS(G1468&lt;=15,"Junior",G1468&lt;=30,"Mid level",G1468&gt;30,"Lead")</f>
        <v>Mid level</v>
      </c>
    </row>
    <row r="1469" spans="1:8" x14ac:dyDescent="0.3">
      <c r="A1469" s="7">
        <v>19847</v>
      </c>
      <c r="B1469" t="str" cm="1">
        <f t="array" ref="B1469">_xlfn.IFS(A1469&lt;=8000,"low",A1469&lt;15000,"medium",A1469&gt;=15000,"high")</f>
        <v>high</v>
      </c>
      <c r="G1469" s="2">
        <v>5</v>
      </c>
      <c r="H1469" t="str" cm="1">
        <f t="array" ref="H1469">_xlfn.IFS(G1469&lt;=15,"Junior",G1469&lt;=30,"Mid level",G1469&gt;30,"Lead")</f>
        <v>Junior</v>
      </c>
    </row>
    <row r="1470" spans="1:8" x14ac:dyDescent="0.3">
      <c r="A1470" s="8">
        <v>19859</v>
      </c>
      <c r="B1470" t="str" cm="1">
        <f t="array" ref="B1470">_xlfn.IFS(A1470&lt;=8000,"low",A1470&lt;15000,"medium",A1470&gt;=15000,"high")</f>
        <v>high</v>
      </c>
      <c r="G1470" s="1">
        <v>5</v>
      </c>
      <c r="H1470" t="str" cm="1">
        <f t="array" ref="H1470">_xlfn.IFS(G1470&lt;=15,"Junior",G1470&lt;=30,"Mid level",G1470&gt;30,"Lead")</f>
        <v>Junior</v>
      </c>
    </row>
    <row r="1471" spans="1:8" x14ac:dyDescent="0.3">
      <c r="A1471" s="7">
        <v>19926</v>
      </c>
      <c r="B1471" t="str" cm="1">
        <f t="array" ref="B1471">_xlfn.IFS(A1471&lt;=8000,"low",A1471&lt;15000,"medium",A1471&gt;=15000,"high")</f>
        <v>high</v>
      </c>
      <c r="G1471" s="2">
        <v>5</v>
      </c>
      <c r="H1471" t="str" cm="1">
        <f t="array" ref="H1471">_xlfn.IFS(G1471&lt;=15,"Junior",G1471&lt;=30,"Mid level",G1471&gt;30,"Lead")</f>
        <v>Junior</v>
      </c>
    </row>
    <row r="1472" spans="1:8" x14ac:dyDescent="0.3">
      <c r="A1472" s="8">
        <v>19943</v>
      </c>
      <c r="B1472" t="str" cm="1">
        <f t="array" ref="B1472">_xlfn.IFS(A1472&lt;=8000,"low",A1472&lt;15000,"medium",A1472&gt;=15000,"high")</f>
        <v>high</v>
      </c>
      <c r="G1472" s="1">
        <v>21</v>
      </c>
      <c r="H1472" t="str" cm="1">
        <f t="array" ref="H1472">_xlfn.IFS(G1472&lt;=15,"Junior",G1472&lt;=30,"Mid level",G1472&gt;30,"Lead")</f>
        <v>Mid level</v>
      </c>
    </row>
    <row r="1473" spans="1:8" x14ac:dyDescent="0.3">
      <c r="A1473" s="7">
        <v>19973</v>
      </c>
      <c r="B1473" t="str" cm="1">
        <f t="array" ref="B1473">_xlfn.IFS(A1473&lt;=8000,"low",A1473&lt;15000,"medium",A1473&gt;=15000,"high")</f>
        <v>high</v>
      </c>
      <c r="G1473" s="3">
        <v>33</v>
      </c>
      <c r="H1473" t="str" cm="1">
        <f t="array" ref="H1473">_xlfn.IFS(G1473&lt;=15,"Junior",G1473&lt;=30,"Mid level",G1473&gt;30,"Lead")</f>
        <v>Lead</v>
      </c>
    </row>
    <row r="1474" spans="1:8" x14ac:dyDescent="0.3">
      <c r="A1474" s="9">
        <v>19999</v>
      </c>
      <c r="B1474" t="str" cm="1">
        <f t="array" ref="B1474">_xlfn.IFS(A1474&lt;=8000,"low",A1474&lt;15000,"medium",A1474&gt;=15000,"high")</f>
        <v>high</v>
      </c>
    </row>
  </sheetData>
  <mergeCells count="2">
    <mergeCell ref="E1:M1"/>
    <mergeCell ref="J13:P1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302D8-8A0B-411E-A254-5DFF5381DE17}">
  <dimension ref="A1:R16"/>
  <sheetViews>
    <sheetView showGridLines="0" workbookViewId="0">
      <selection activeCell="B21" sqref="B20:B21"/>
    </sheetView>
  </sheetViews>
  <sheetFormatPr defaultRowHeight="14.4" x14ac:dyDescent="0.3"/>
  <cols>
    <col min="2" max="2" width="17.33203125" customWidth="1"/>
    <col min="12" max="12" width="12.109375" customWidth="1"/>
  </cols>
  <sheetData>
    <row r="1" spans="1:18" ht="25.8" x14ac:dyDescent="0.5">
      <c r="A1" s="57" t="s">
        <v>106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</row>
    <row r="4" spans="1:18" ht="21" customHeight="1" x14ac:dyDescent="0.3">
      <c r="B4" s="51" t="s">
        <v>105</v>
      </c>
      <c r="C4" s="51"/>
      <c r="E4" s="49" t="s">
        <v>107</v>
      </c>
      <c r="F4" s="49"/>
      <c r="G4" s="49"/>
      <c r="H4" s="49"/>
    </row>
    <row r="5" spans="1:18" ht="21" customHeight="1" x14ac:dyDescent="0.3">
      <c r="B5" s="51"/>
      <c r="C5" s="51"/>
      <c r="E5" s="49"/>
      <c r="F5" s="49"/>
      <c r="G5" s="49"/>
      <c r="H5" s="49"/>
    </row>
    <row r="6" spans="1:18" ht="14.4" customHeight="1" x14ac:dyDescent="0.3">
      <c r="B6" s="52">
        <v>1470</v>
      </c>
      <c r="C6" s="52"/>
      <c r="E6" s="50">
        <f>COUNTIF(Table1[Attrition],"Yes")</f>
        <v>237</v>
      </c>
      <c r="F6" s="50"/>
      <c r="G6" s="50"/>
      <c r="H6" s="50"/>
    </row>
    <row r="7" spans="1:18" ht="14.4" customHeight="1" x14ac:dyDescent="0.3">
      <c r="B7" s="52"/>
      <c r="C7" s="52"/>
      <c r="E7" s="50"/>
      <c r="F7" s="50"/>
      <c r="G7" s="50"/>
      <c r="H7" s="50"/>
    </row>
    <row r="8" spans="1:18" x14ac:dyDescent="0.3">
      <c r="B8" s="52"/>
      <c r="C8" s="52"/>
    </row>
    <row r="9" spans="1:18" x14ac:dyDescent="0.3">
      <c r="B9" s="53"/>
      <c r="C9" s="53"/>
    </row>
    <row r="10" spans="1:18" ht="21" x14ac:dyDescent="0.4">
      <c r="B10" s="36"/>
      <c r="C10" s="36"/>
      <c r="E10" s="55" t="s">
        <v>108</v>
      </c>
      <c r="F10" s="55"/>
    </row>
    <row r="11" spans="1:18" x14ac:dyDescent="0.3">
      <c r="B11" s="36"/>
      <c r="C11" s="36"/>
      <c r="E11" s="56">
        <f>COUNTIF(Table1[Attrition],"Yes") / COUNTA(Table1[EmployeeNumber])</f>
        <v>0.16122448979591836</v>
      </c>
      <c r="F11" s="56"/>
    </row>
    <row r="12" spans="1:18" x14ac:dyDescent="0.3">
      <c r="E12" s="56"/>
      <c r="F12" s="56"/>
    </row>
    <row r="13" spans="1:18" x14ac:dyDescent="0.3">
      <c r="E13" s="56"/>
      <c r="F13" s="56"/>
    </row>
    <row r="15" spans="1:18" x14ac:dyDescent="0.3">
      <c r="E15" s="54"/>
      <c r="F15" s="54"/>
    </row>
    <row r="16" spans="1:18" x14ac:dyDescent="0.3">
      <c r="E16" s="54"/>
      <c r="F16" s="54"/>
    </row>
  </sheetData>
  <mergeCells count="8">
    <mergeCell ref="B9:C9"/>
    <mergeCell ref="B6:C8"/>
    <mergeCell ref="E10:F10"/>
    <mergeCell ref="E11:F13"/>
    <mergeCell ref="E4:H5"/>
    <mergeCell ref="E6:H7"/>
    <mergeCell ref="E15:F16"/>
    <mergeCell ref="B4:C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Datasets</vt:lpstr>
      <vt:lpstr> Data Understanding</vt:lpstr>
      <vt:lpstr>Demographic Insights</vt:lpstr>
      <vt:lpstr>Job Satisfaction &amp; Work-Life Ba</vt:lpstr>
      <vt:lpstr> Salary &amp; Experience Impact</vt:lpstr>
      <vt:lpstr>KPIs for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Nithish Kumar</cp:lastModifiedBy>
  <dcterms:created xsi:type="dcterms:W3CDTF">2026-02-06T13:36:49Z</dcterms:created>
  <dcterms:modified xsi:type="dcterms:W3CDTF">2026-02-07T18:36:40Z</dcterms:modified>
</cp:coreProperties>
</file>